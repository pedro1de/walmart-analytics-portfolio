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8_{14C28166-5248-4CE3-8525-9A9926CAD4D4}" xr6:coauthVersionLast="47" xr6:coauthVersionMax="47" xr10:uidLastSave="{00000000-0000-0000-0000-000000000000}"/>
  <bookViews>
    <workbookView xWindow="-120" yWindow="-120" windowWidth="38640" windowHeight="16440" tabRatio="937" firstSheet="1" activeTab="1" xr2:uid="{980A0594-976F-41A9-90E5-3B81AF4A8952}"/>
  </bookViews>
  <sheets>
    <sheet name="Walmart_Sales" sheetId="2" state="hidden" r:id="rId1"/>
    <sheet name="Home" sheetId="12" r:id="rId2"/>
    <sheet name="Descritiva" sheetId="1" r:id="rId3"/>
    <sheet name="Revisão Descritiva" sheetId="9" r:id="rId4"/>
    <sheet name="Diagnóstica" sheetId="5" r:id="rId5"/>
    <sheet name="Revisão Diagnóstica" sheetId="7" r:id="rId6"/>
    <sheet name="Preditiva" sheetId="8" r:id="rId7"/>
    <sheet name="Revisão Preditiva" sheetId="10" r:id="rId8"/>
    <sheet name="Prescritiva" sheetId="11" r:id="rId9"/>
  </sheets>
  <definedNames>
    <definedName name="_xlnm.Print_Area" localSheetId="3">'Revisão Descritiva'!$A$1:$BT$67</definedName>
    <definedName name="_xlnm.Print_Area" localSheetId="5">'Revisão Diagnóstica'!$A$1:$BB$104</definedName>
    <definedName name="DadosExternos_1" localSheetId="0" hidden="1">Walmart_Sales!$A$1:$J$2566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8" l="1"/>
  <c r="O2" i="8"/>
  <c r="N2" i="8"/>
  <c r="M3" i="8"/>
  <c r="M4" i="8"/>
  <c r="M5" i="8"/>
  <c r="M6" i="8"/>
  <c r="M7" i="8"/>
  <c r="M2" i="8"/>
  <c r="L3" i="8"/>
  <c r="L4" i="8"/>
  <c r="L5" i="8"/>
  <c r="L6" i="8"/>
  <c r="L7" i="8"/>
  <c r="L2" i="8"/>
  <c r="K3" i="8"/>
  <c r="K4" i="8"/>
  <c r="K5" i="8"/>
  <c r="K6" i="8"/>
  <c r="K7" i="8"/>
  <c r="K2" i="8"/>
  <c r="G7" i="8"/>
  <c r="G6" i="8"/>
  <c r="G5" i="8"/>
  <c r="G4" i="8"/>
  <c r="G3" i="8"/>
  <c r="G2" i="8"/>
  <c r="E39" i="8"/>
  <c r="E40" i="8"/>
  <c r="E41" i="8"/>
  <c r="E42" i="8"/>
  <c r="E43" i="8"/>
  <c r="E44" i="8"/>
  <c r="E45" i="8"/>
  <c r="E46" i="8"/>
  <c r="E47" i="8"/>
  <c r="E48" i="8"/>
  <c r="E49" i="8"/>
  <c r="E38" i="8"/>
  <c r="I2" i="8"/>
  <c r="H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" i="8"/>
  <c r="AL75" i="5" l="1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M75" i="5"/>
  <c r="AM76" i="5" s="1"/>
  <c r="AM77" i="5" s="1"/>
  <c r="AM78" i="5" s="1"/>
  <c r="AM79" i="5" s="1"/>
  <c r="AM80" i="5" s="1"/>
  <c r="AM81" i="5" s="1"/>
  <c r="AM82" i="5" s="1"/>
  <c r="AM83" i="5" s="1"/>
  <c r="AM84" i="5" s="1"/>
  <c r="AE20" i="5"/>
  <c r="AE70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25" i="5"/>
  <c r="AE9" i="5"/>
  <c r="AE10" i="5"/>
  <c r="AE11" i="5"/>
  <c r="AE12" i="5"/>
  <c r="AE13" i="5"/>
  <c r="AE14" i="5"/>
  <c r="AE15" i="5"/>
  <c r="AE16" i="5"/>
  <c r="AE17" i="5"/>
  <c r="AE18" i="5"/>
  <c r="AE19" i="5"/>
  <c r="AE8" i="5"/>
  <c r="AM85" i="5" l="1"/>
  <c r="AM86" i="5" s="1"/>
  <c r="AM87" i="5" s="1"/>
  <c r="AM88" i="5" s="1"/>
  <c r="AM89" i="5" s="1"/>
  <c r="AM90" i="5" s="1"/>
  <c r="AM91" i="5" s="1"/>
  <c r="AM92" i="5" s="1"/>
  <c r="AM93" i="5" s="1"/>
  <c r="AM94" i="5" s="1"/>
  <c r="AM95" i="5" s="1"/>
  <c r="AM96" i="5" s="1"/>
  <c r="AM97" i="5" s="1"/>
  <c r="AM98" i="5" s="1"/>
  <c r="AM99" i="5" s="1"/>
  <c r="AM100" i="5" s="1"/>
  <c r="AM101" i="5" s="1"/>
  <c r="AM102" i="5" s="1"/>
  <c r="AM103" i="5" s="1"/>
  <c r="AM104" i="5" s="1"/>
  <c r="AM105" i="5" s="1"/>
  <c r="AM106" i="5" s="1"/>
  <c r="AM107" i="5" s="1"/>
  <c r="AM108" i="5" s="1"/>
  <c r="AM109" i="5" s="1"/>
  <c r="AM110" i="5" s="1"/>
  <c r="AM111" i="5" s="1"/>
  <c r="AM112" i="5" s="1"/>
  <c r="AM113" i="5" s="1"/>
  <c r="AM114" i="5" s="1"/>
  <c r="AM115" i="5" s="1"/>
  <c r="AM116" i="5" s="1"/>
  <c r="AM117" i="5" s="1"/>
  <c r="AM118" i="5" s="1"/>
  <c r="AM119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BFA61-61A0-448D-B1BB-1B801130C406}" keepAlive="1" name="Consulta - Walmart_Sales" description="Conexão com a consulta 'Walmart_Sales' na pasta de trabalho." type="5" refreshedVersion="8" background="1" saveData="1">
    <dbPr connection="Provider=Microsoft.Mashup.OleDb.1;Data Source=$Workbook$;Location=Walmart_Sales;Extended Properties=&quot;&quot;" command="SELECT * FROM [Walmart_Sales]"/>
  </connection>
</connections>
</file>

<file path=xl/sharedStrings.xml><?xml version="1.0" encoding="utf-8"?>
<sst xmlns="http://schemas.openxmlformats.org/spreadsheetml/2006/main" count="127" uniqueCount="90">
  <si>
    <t>Store</t>
  </si>
  <si>
    <t>Date</t>
  </si>
  <si>
    <t>Month</t>
  </si>
  <si>
    <t>Year</t>
  </si>
  <si>
    <t>Weekly_Sales</t>
  </si>
  <si>
    <t>Holiday_Flag</t>
  </si>
  <si>
    <t>Temperature</t>
  </si>
  <si>
    <t>Fuel_Price</t>
  </si>
  <si>
    <t>CPI</t>
  </si>
  <si>
    <t>Unemployment</t>
  </si>
  <si>
    <t>Rótulos de Linha</t>
  </si>
  <si>
    <t>Total Geral</t>
  </si>
  <si>
    <t>Soma de Weekly_Sales</t>
  </si>
  <si>
    <t>Mês</t>
  </si>
  <si>
    <t>Ano</t>
  </si>
  <si>
    <t>Loja</t>
  </si>
  <si>
    <t>Total de Semanas</t>
  </si>
  <si>
    <t>Média Semanal de Vendas</t>
  </si>
  <si>
    <t>Maior Semana (Pico Máximo de Vendas)</t>
  </si>
  <si>
    <t>Menor Semana (Pior Semana de Vendas)</t>
  </si>
  <si>
    <t>Desvio Padrão (Volatilidade das Vendas)</t>
  </si>
  <si>
    <t>Semana Normal</t>
  </si>
  <si>
    <t>Semana Feriado</t>
  </si>
  <si>
    <t>Total Sales</t>
  </si>
  <si>
    <t>Participação</t>
  </si>
  <si>
    <t>%</t>
  </si>
  <si>
    <t>%Acumulado</t>
  </si>
  <si>
    <t>Lojas</t>
  </si>
  <si>
    <t>VALOR</t>
  </si>
  <si>
    <t>Vendas</t>
  </si>
  <si>
    <t>Loja 20</t>
  </si>
  <si>
    <t>Loja 21</t>
  </si>
  <si>
    <t>Loja 4</t>
  </si>
  <si>
    <t>Loja14</t>
  </si>
  <si>
    <t>Loja 13</t>
  </si>
  <si>
    <t>Loja 2</t>
  </si>
  <si>
    <t>Loja 10</t>
  </si>
  <si>
    <t>Loja 27</t>
  </si>
  <si>
    <t>Loja 1</t>
  </si>
  <si>
    <t>Loja 6</t>
  </si>
  <si>
    <t>Loja 19</t>
  </si>
  <si>
    <t>Loja 39</t>
  </si>
  <si>
    <t>Loja 28</t>
  </si>
  <si>
    <t>Loja 31</t>
  </si>
  <si>
    <t>Loja 24</t>
  </si>
  <si>
    <t>Loja 23</t>
  </si>
  <si>
    <t>Loja 11</t>
  </si>
  <si>
    <t>Loja 41</t>
  </si>
  <si>
    <t>Loja 32</t>
  </si>
  <si>
    <t>Loja 18</t>
  </si>
  <si>
    <t>Loja 26</t>
  </si>
  <si>
    <t>Loja 22</t>
  </si>
  <si>
    <t>Loja 12</t>
  </si>
  <si>
    <t>Loja 40</t>
  </si>
  <si>
    <t>Loja 34</t>
  </si>
  <si>
    <t>Loja 35</t>
  </si>
  <si>
    <t>Loja 8</t>
  </si>
  <si>
    <t>Loja 17</t>
  </si>
  <si>
    <t>Loja 45</t>
  </si>
  <si>
    <t>Loja 25</t>
  </si>
  <si>
    <t>Loja 43</t>
  </si>
  <si>
    <t>Loja 15</t>
  </si>
  <si>
    <t>Loja 42</t>
  </si>
  <si>
    <t>Loja 7</t>
  </si>
  <si>
    <t>Loja 9</t>
  </si>
  <si>
    <t>Loja 29</t>
  </si>
  <si>
    <t>Loja 37</t>
  </si>
  <si>
    <t>Loja 16</t>
  </si>
  <si>
    <t>Loja 30</t>
  </si>
  <si>
    <t>Loja 3</t>
  </si>
  <si>
    <t>Loja 38</t>
  </si>
  <si>
    <t>Loja 36</t>
  </si>
  <si>
    <t>Loja 5</t>
  </si>
  <si>
    <t>Loja 44</t>
  </si>
  <si>
    <t>Loja 33</t>
  </si>
  <si>
    <t>Tempo</t>
  </si>
  <si>
    <t>Valor Mensal</t>
  </si>
  <si>
    <t>Previsão Linear</t>
  </si>
  <si>
    <t>Média Movél</t>
  </si>
  <si>
    <t>Erro ABS</t>
  </si>
  <si>
    <t>Erro %</t>
  </si>
  <si>
    <t>Erro²</t>
  </si>
  <si>
    <t>MAPE</t>
  </si>
  <si>
    <t>MSE</t>
  </si>
  <si>
    <t>RMSE</t>
  </si>
  <si>
    <t>Inclinação</t>
  </si>
  <si>
    <t>Valor Real</t>
  </si>
  <si>
    <t>Intercepção</t>
  </si>
  <si>
    <t>Previsão Linear (31-36)</t>
  </si>
  <si>
    <t>Tempo (37-48)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</si>
</sst>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2" borderId="0" xfId="2" applyFont="1" applyAlignment="1">
      <alignment horizontal="center"/>
    </xf>
    <xf numFmtId="164" fontId="2" fillId="2" borderId="0" xfId="2" applyNumberFormat="1" applyFont="1" applyAlignment="1">
      <alignment horizontal="center"/>
    </xf>
    <xf numFmtId="9" fontId="0" fillId="0" borderId="0" xfId="3" applyFont="1"/>
    <xf numFmtId="9" fontId="2" fillId="2" borderId="0" xfId="2" applyNumberFormat="1" applyFont="1" applyAlignment="1">
      <alignment horizontal="center"/>
    </xf>
    <xf numFmtId="9" fontId="2" fillId="2" borderId="0" xfId="3" applyFont="1" applyFill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left"/>
    </xf>
    <xf numFmtId="165" fontId="0" fillId="0" borderId="0" xfId="3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4" fontId="2" fillId="2" borderId="0" xfId="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0" fontId="1" fillId="4" borderId="0" xfId="5" applyAlignment="1">
      <alignment horizontal="center"/>
    </xf>
    <xf numFmtId="44" fontId="1" fillId="4" borderId="0" xfId="5" applyNumberFormat="1" applyAlignment="1">
      <alignment horizontal="center"/>
    </xf>
    <xf numFmtId="0" fontId="2" fillId="2" borderId="0" xfId="3" applyNumberFormat="1" applyFont="1" applyFill="1" applyAlignment="1">
      <alignment horizontal="center"/>
    </xf>
    <xf numFmtId="0" fontId="2" fillId="2" borderId="0" xfId="2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3" applyNumberFormat="1" applyFont="1" applyAlignment="1">
      <alignment horizontal="center"/>
    </xf>
    <xf numFmtId="9" fontId="0" fillId="0" borderId="0" xfId="3" applyFont="1" applyAlignment="1">
      <alignment horizontal="center"/>
    </xf>
    <xf numFmtId="9" fontId="0" fillId="0" borderId="0" xfId="0" applyNumberFormat="1" applyAlignment="1">
      <alignment horizontal="center"/>
    </xf>
    <xf numFmtId="0" fontId="6" fillId="3" borderId="0" xfId="4" applyFont="1" applyAlignment="1">
      <alignment horizontal="center"/>
    </xf>
  </cellXfs>
  <cellStyles count="6">
    <cellStyle name="20% - Ênfase1" xfId="2" builtinId="30"/>
    <cellStyle name="60% - Ênfase4" xfId="5" builtinId="44"/>
    <cellStyle name="Bom" xfId="4" builtinId="26"/>
    <cellStyle name="Moeda" xfId="1" builtinId="4"/>
    <cellStyle name="Normal" xfId="0" builtinId="0"/>
    <cellStyle name="Porcentagem" xfId="3" builtinId="5"/>
  </cellStyles>
  <dxfs count="39"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164" formatCode="&quot;R$&quot;\ #,##0.00"/>
    </dxf>
    <dxf>
      <numFmt numFmtId="2" formatCode="0.00"/>
    </dxf>
    <dxf>
      <numFmt numFmtId="164" formatCode="&quot;R$&quot;\ #,##0.00"/>
    </dxf>
    <dxf>
      <numFmt numFmtId="2" formatCode="0.00"/>
    </dxf>
    <dxf>
      <numFmt numFmtId="164" formatCode="&quot;R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Temperatura vs Vendas Semanais</a:t>
            </a:r>
            <a:endParaRPr lang="pt-BR"/>
          </a:p>
        </c:rich>
      </c:tx>
      <c:layout>
        <c:manualLayout>
          <c:xMode val="edge"/>
          <c:yMode val="edge"/>
          <c:x val="0.19040256557334306"/>
          <c:y val="7.54441012725234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30051624341659"/>
          <c:y val="0.10233123295172458"/>
          <c:w val="0.79464601885918529"/>
          <c:h val="0.73163704057548251"/>
        </c:manualLayout>
      </c:layout>
      <c:scatterChart>
        <c:scatterStyle val="lineMarker"/>
        <c:varyColors val="0"/>
        <c:ser>
          <c:idx val="0"/>
          <c:order val="0"/>
          <c:tx>
            <c:strRef>
              <c:f>Walmart_Sales!$G$1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174323408249466E-2"/>
                  <c:y val="-0.304533138684034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xVal>
          <c:yVal>
            <c:numRef>
              <c:f>Walmart_Sales!$G$2:$G$2566</c:f>
              <c:numCache>
                <c:formatCode>0.00</c:formatCode>
                <c:ptCount val="2565"/>
                <c:pt idx="0">
                  <c:v>42.31</c:v>
                </c:pt>
                <c:pt idx="1">
                  <c:v>38.51</c:v>
                </c:pt>
                <c:pt idx="2">
                  <c:v>46.5</c:v>
                </c:pt>
                <c:pt idx="3">
                  <c:v>57.79</c:v>
                </c:pt>
                <c:pt idx="4">
                  <c:v>62.27</c:v>
                </c:pt>
                <c:pt idx="5">
                  <c:v>65.86</c:v>
                </c:pt>
                <c:pt idx="6">
                  <c:v>72.55</c:v>
                </c:pt>
                <c:pt idx="7">
                  <c:v>80.69</c:v>
                </c:pt>
                <c:pt idx="8">
                  <c:v>80.430000000000007</c:v>
                </c:pt>
                <c:pt idx="9">
                  <c:v>80.91</c:v>
                </c:pt>
                <c:pt idx="10">
                  <c:v>80.48</c:v>
                </c:pt>
                <c:pt idx="11">
                  <c:v>87.16</c:v>
                </c:pt>
                <c:pt idx="12">
                  <c:v>81.209999999999994</c:v>
                </c:pt>
                <c:pt idx="13">
                  <c:v>78.69</c:v>
                </c:pt>
                <c:pt idx="14">
                  <c:v>71.89</c:v>
                </c:pt>
                <c:pt idx="15">
                  <c:v>63.93</c:v>
                </c:pt>
                <c:pt idx="16">
                  <c:v>58.74</c:v>
                </c:pt>
                <c:pt idx="17">
                  <c:v>59.61</c:v>
                </c:pt>
                <c:pt idx="18">
                  <c:v>49.27</c:v>
                </c:pt>
                <c:pt idx="19">
                  <c:v>46.33</c:v>
                </c:pt>
                <c:pt idx="20">
                  <c:v>48.27</c:v>
                </c:pt>
                <c:pt idx="21">
                  <c:v>42.27</c:v>
                </c:pt>
                <c:pt idx="22">
                  <c:v>36.39</c:v>
                </c:pt>
                <c:pt idx="23">
                  <c:v>59.58</c:v>
                </c:pt>
                <c:pt idx="24">
                  <c:v>53.56</c:v>
                </c:pt>
                <c:pt idx="25">
                  <c:v>59.17</c:v>
                </c:pt>
                <c:pt idx="26">
                  <c:v>67.84</c:v>
                </c:pt>
                <c:pt idx="27">
                  <c:v>64.61</c:v>
                </c:pt>
                <c:pt idx="28">
                  <c:v>83</c:v>
                </c:pt>
                <c:pt idx="29">
                  <c:v>83.13</c:v>
                </c:pt>
                <c:pt idx="30">
                  <c:v>85.55</c:v>
                </c:pt>
                <c:pt idx="31">
                  <c:v>85.83</c:v>
                </c:pt>
                <c:pt idx="32">
                  <c:v>91.65</c:v>
                </c:pt>
                <c:pt idx="33">
                  <c:v>90.76</c:v>
                </c:pt>
                <c:pt idx="34">
                  <c:v>87.83</c:v>
                </c:pt>
                <c:pt idx="35">
                  <c:v>76</c:v>
                </c:pt>
                <c:pt idx="36">
                  <c:v>69.31</c:v>
                </c:pt>
                <c:pt idx="37">
                  <c:v>54.98</c:v>
                </c:pt>
                <c:pt idx="38">
                  <c:v>59.11</c:v>
                </c:pt>
                <c:pt idx="39">
                  <c:v>48.91</c:v>
                </c:pt>
                <c:pt idx="40">
                  <c:v>43.93</c:v>
                </c:pt>
                <c:pt idx="41">
                  <c:v>49.01</c:v>
                </c:pt>
                <c:pt idx="42">
                  <c:v>56.55</c:v>
                </c:pt>
                <c:pt idx="43">
                  <c:v>48.02</c:v>
                </c:pt>
                <c:pt idx="44">
                  <c:v>60.96</c:v>
                </c:pt>
                <c:pt idx="45">
                  <c:v>58.76</c:v>
                </c:pt>
                <c:pt idx="46">
                  <c:v>70.430000000000007</c:v>
                </c:pt>
                <c:pt idx="47">
                  <c:v>75.55</c:v>
                </c:pt>
                <c:pt idx="48">
                  <c:v>73.77</c:v>
                </c:pt>
                <c:pt idx="49">
                  <c:v>77.95</c:v>
                </c:pt>
                <c:pt idx="50">
                  <c:v>78.3</c:v>
                </c:pt>
                <c:pt idx="51">
                  <c:v>81.569999999999993</c:v>
                </c:pt>
                <c:pt idx="52">
                  <c:v>86.11</c:v>
                </c:pt>
                <c:pt idx="53">
                  <c:v>85.05</c:v>
                </c:pt>
                <c:pt idx="54">
                  <c:v>83.96</c:v>
                </c:pt>
                <c:pt idx="55">
                  <c:v>68.55</c:v>
                </c:pt>
                <c:pt idx="56">
                  <c:v>62.99</c:v>
                </c:pt>
                <c:pt idx="57">
                  <c:v>40.19</c:v>
                </c:pt>
                <c:pt idx="58">
                  <c:v>38.49</c:v>
                </c:pt>
                <c:pt idx="59">
                  <c:v>47.17</c:v>
                </c:pt>
                <c:pt idx="60">
                  <c:v>57.56</c:v>
                </c:pt>
                <c:pt idx="61">
                  <c:v>63.27</c:v>
                </c:pt>
                <c:pt idx="62">
                  <c:v>65.41</c:v>
                </c:pt>
                <c:pt idx="63">
                  <c:v>71.28</c:v>
                </c:pt>
                <c:pt idx="64">
                  <c:v>81.81</c:v>
                </c:pt>
                <c:pt idx="65">
                  <c:v>83.4</c:v>
                </c:pt>
                <c:pt idx="66">
                  <c:v>82.74</c:v>
                </c:pt>
                <c:pt idx="67">
                  <c:v>82.59</c:v>
                </c:pt>
                <c:pt idx="68">
                  <c:v>89.53</c:v>
                </c:pt>
                <c:pt idx="69">
                  <c:v>81.83</c:v>
                </c:pt>
                <c:pt idx="70">
                  <c:v>79.09</c:v>
                </c:pt>
                <c:pt idx="71">
                  <c:v>69.239999999999995</c:v>
                </c:pt>
                <c:pt idx="72">
                  <c:v>63.19</c:v>
                </c:pt>
                <c:pt idx="73">
                  <c:v>57.85</c:v>
                </c:pt>
                <c:pt idx="74">
                  <c:v>59.69</c:v>
                </c:pt>
                <c:pt idx="75">
                  <c:v>49.33</c:v>
                </c:pt>
                <c:pt idx="76">
                  <c:v>45.5</c:v>
                </c:pt>
                <c:pt idx="77">
                  <c:v>44.69</c:v>
                </c:pt>
                <c:pt idx="78">
                  <c:v>38.25</c:v>
                </c:pt>
                <c:pt idx="79">
                  <c:v>33.19</c:v>
                </c:pt>
                <c:pt idx="80">
                  <c:v>57.77</c:v>
                </c:pt>
                <c:pt idx="81">
                  <c:v>52.7</c:v>
                </c:pt>
                <c:pt idx="82">
                  <c:v>55.43</c:v>
                </c:pt>
                <c:pt idx="83">
                  <c:v>67</c:v>
                </c:pt>
                <c:pt idx="84">
                  <c:v>61.48</c:v>
                </c:pt>
                <c:pt idx="85">
                  <c:v>83.07</c:v>
                </c:pt>
                <c:pt idx="86">
                  <c:v>83.4</c:v>
                </c:pt>
                <c:pt idx="87">
                  <c:v>85.69</c:v>
                </c:pt>
                <c:pt idx="88">
                  <c:v>87.7</c:v>
                </c:pt>
                <c:pt idx="89">
                  <c:v>93.34</c:v>
                </c:pt>
                <c:pt idx="90">
                  <c:v>91.58</c:v>
                </c:pt>
                <c:pt idx="91">
                  <c:v>89.64</c:v>
                </c:pt>
                <c:pt idx="92">
                  <c:v>77.97</c:v>
                </c:pt>
                <c:pt idx="93">
                  <c:v>69.92</c:v>
                </c:pt>
                <c:pt idx="94">
                  <c:v>55.53</c:v>
                </c:pt>
                <c:pt idx="95">
                  <c:v>59.33</c:v>
                </c:pt>
                <c:pt idx="96">
                  <c:v>48.74</c:v>
                </c:pt>
                <c:pt idx="97">
                  <c:v>41.76</c:v>
                </c:pt>
                <c:pt idx="98">
                  <c:v>46.75</c:v>
                </c:pt>
                <c:pt idx="99">
                  <c:v>55.21</c:v>
                </c:pt>
                <c:pt idx="100">
                  <c:v>46.98</c:v>
                </c:pt>
                <c:pt idx="101">
                  <c:v>58.79</c:v>
                </c:pt>
                <c:pt idx="102">
                  <c:v>57.11</c:v>
                </c:pt>
                <c:pt idx="103">
                  <c:v>68.430000000000007</c:v>
                </c:pt>
                <c:pt idx="104">
                  <c:v>76.73</c:v>
                </c:pt>
                <c:pt idx="105">
                  <c:v>73.87</c:v>
                </c:pt>
                <c:pt idx="106">
                  <c:v>78.38</c:v>
                </c:pt>
                <c:pt idx="107">
                  <c:v>78.69</c:v>
                </c:pt>
                <c:pt idx="108">
                  <c:v>84.2</c:v>
                </c:pt>
                <c:pt idx="109">
                  <c:v>90.22</c:v>
                </c:pt>
                <c:pt idx="110">
                  <c:v>88.55</c:v>
                </c:pt>
                <c:pt idx="111">
                  <c:v>87.65</c:v>
                </c:pt>
                <c:pt idx="112">
                  <c:v>70.27</c:v>
                </c:pt>
                <c:pt idx="113">
                  <c:v>60.97</c:v>
                </c:pt>
                <c:pt idx="114">
                  <c:v>45.71</c:v>
                </c:pt>
                <c:pt idx="115">
                  <c:v>47.93</c:v>
                </c:pt>
                <c:pt idx="116">
                  <c:v>53.04</c:v>
                </c:pt>
                <c:pt idx="117">
                  <c:v>63.08</c:v>
                </c:pt>
                <c:pt idx="118">
                  <c:v>65.56</c:v>
                </c:pt>
                <c:pt idx="119">
                  <c:v>68</c:v>
                </c:pt>
                <c:pt idx="120">
                  <c:v>73.47</c:v>
                </c:pt>
                <c:pt idx="121">
                  <c:v>78.53</c:v>
                </c:pt>
                <c:pt idx="122">
                  <c:v>82.1</c:v>
                </c:pt>
                <c:pt idx="123">
                  <c:v>82.2</c:v>
                </c:pt>
                <c:pt idx="124">
                  <c:v>81.75</c:v>
                </c:pt>
                <c:pt idx="125">
                  <c:v>85.13</c:v>
                </c:pt>
                <c:pt idx="126">
                  <c:v>84.16</c:v>
                </c:pt>
                <c:pt idx="127">
                  <c:v>80.84</c:v>
                </c:pt>
                <c:pt idx="128">
                  <c:v>73.599999999999994</c:v>
                </c:pt>
                <c:pt idx="129">
                  <c:v>66.989999999999995</c:v>
                </c:pt>
                <c:pt idx="130">
                  <c:v>62.94</c:v>
                </c:pt>
                <c:pt idx="131">
                  <c:v>62.79</c:v>
                </c:pt>
                <c:pt idx="132">
                  <c:v>53.76</c:v>
                </c:pt>
                <c:pt idx="133">
                  <c:v>51.13</c:v>
                </c:pt>
                <c:pt idx="134">
                  <c:v>53.35</c:v>
                </c:pt>
                <c:pt idx="135">
                  <c:v>45.95</c:v>
                </c:pt>
                <c:pt idx="136">
                  <c:v>43.57</c:v>
                </c:pt>
                <c:pt idx="137">
                  <c:v>65.11</c:v>
                </c:pt>
                <c:pt idx="138">
                  <c:v>61.29</c:v>
                </c:pt>
                <c:pt idx="139">
                  <c:v>68.760000000000005</c:v>
                </c:pt>
                <c:pt idx="140">
                  <c:v>72.55</c:v>
                </c:pt>
                <c:pt idx="141">
                  <c:v>69.45</c:v>
                </c:pt>
                <c:pt idx="142">
                  <c:v>84.29</c:v>
                </c:pt>
                <c:pt idx="143">
                  <c:v>84.84</c:v>
                </c:pt>
                <c:pt idx="144">
                  <c:v>85.1</c:v>
                </c:pt>
                <c:pt idx="145">
                  <c:v>85.38</c:v>
                </c:pt>
                <c:pt idx="146">
                  <c:v>88.45</c:v>
                </c:pt>
                <c:pt idx="147">
                  <c:v>88.88</c:v>
                </c:pt>
                <c:pt idx="148">
                  <c:v>89.12</c:v>
                </c:pt>
                <c:pt idx="149">
                  <c:v>81.72</c:v>
                </c:pt>
                <c:pt idx="150">
                  <c:v>75.540000000000006</c:v>
                </c:pt>
                <c:pt idx="151">
                  <c:v>59.31</c:v>
                </c:pt>
                <c:pt idx="152">
                  <c:v>61.7</c:v>
                </c:pt>
                <c:pt idx="153">
                  <c:v>54.97</c:v>
                </c:pt>
                <c:pt idx="154">
                  <c:v>49.26</c:v>
                </c:pt>
                <c:pt idx="155">
                  <c:v>52.42</c:v>
                </c:pt>
                <c:pt idx="156">
                  <c:v>59.33</c:v>
                </c:pt>
                <c:pt idx="157">
                  <c:v>51.65</c:v>
                </c:pt>
                <c:pt idx="158">
                  <c:v>61.65</c:v>
                </c:pt>
                <c:pt idx="159">
                  <c:v>60.71</c:v>
                </c:pt>
                <c:pt idx="160">
                  <c:v>73.010000000000005</c:v>
                </c:pt>
                <c:pt idx="161">
                  <c:v>79.510000000000005</c:v>
                </c:pt>
                <c:pt idx="162">
                  <c:v>75.19</c:v>
                </c:pt>
                <c:pt idx="163">
                  <c:v>81.55</c:v>
                </c:pt>
                <c:pt idx="164">
                  <c:v>81.650000000000006</c:v>
                </c:pt>
                <c:pt idx="165">
                  <c:v>83.14</c:v>
                </c:pt>
                <c:pt idx="166">
                  <c:v>86.55</c:v>
                </c:pt>
                <c:pt idx="167">
                  <c:v>85.85</c:v>
                </c:pt>
                <c:pt idx="168">
                  <c:v>84.99</c:v>
                </c:pt>
                <c:pt idx="169">
                  <c:v>72.739999999999995</c:v>
                </c:pt>
                <c:pt idx="170">
                  <c:v>70.31</c:v>
                </c:pt>
                <c:pt idx="171">
                  <c:v>43.76</c:v>
                </c:pt>
                <c:pt idx="172">
                  <c:v>28.84</c:v>
                </c:pt>
                <c:pt idx="173">
                  <c:v>43.49</c:v>
                </c:pt>
                <c:pt idx="174">
                  <c:v>49.63</c:v>
                </c:pt>
                <c:pt idx="175">
                  <c:v>48.77</c:v>
                </c:pt>
                <c:pt idx="176">
                  <c:v>54.16</c:v>
                </c:pt>
                <c:pt idx="177">
                  <c:v>56.77</c:v>
                </c:pt>
                <c:pt idx="178">
                  <c:v>70.83</c:v>
                </c:pt>
                <c:pt idx="179">
                  <c:v>78.45</c:v>
                </c:pt>
                <c:pt idx="180">
                  <c:v>73.66</c:v>
                </c:pt>
                <c:pt idx="181">
                  <c:v>80.349999999999994</c:v>
                </c:pt>
                <c:pt idx="182">
                  <c:v>76.53</c:v>
                </c:pt>
                <c:pt idx="183">
                  <c:v>76.8</c:v>
                </c:pt>
                <c:pt idx="184">
                  <c:v>73.540000000000006</c:v>
                </c:pt>
                <c:pt idx="185">
                  <c:v>63.96</c:v>
                </c:pt>
                <c:pt idx="186">
                  <c:v>67.73</c:v>
                </c:pt>
                <c:pt idx="187">
                  <c:v>51.6</c:v>
                </c:pt>
                <c:pt idx="188">
                  <c:v>52.65</c:v>
                </c:pt>
                <c:pt idx="189">
                  <c:v>46.4</c:v>
                </c:pt>
                <c:pt idx="190">
                  <c:v>42.4</c:v>
                </c:pt>
                <c:pt idx="191">
                  <c:v>39.340000000000003</c:v>
                </c:pt>
                <c:pt idx="192">
                  <c:v>34.61</c:v>
                </c:pt>
                <c:pt idx="193">
                  <c:v>33.29</c:v>
                </c:pt>
                <c:pt idx="194">
                  <c:v>46.56</c:v>
                </c:pt>
                <c:pt idx="195">
                  <c:v>50.93</c:v>
                </c:pt>
                <c:pt idx="196">
                  <c:v>56.99</c:v>
                </c:pt>
                <c:pt idx="197">
                  <c:v>62.61</c:v>
                </c:pt>
                <c:pt idx="198">
                  <c:v>63.41</c:v>
                </c:pt>
                <c:pt idx="199">
                  <c:v>78.260000000000005</c:v>
                </c:pt>
                <c:pt idx="200">
                  <c:v>80.05</c:v>
                </c:pt>
                <c:pt idx="201">
                  <c:v>84.54</c:v>
                </c:pt>
                <c:pt idx="202">
                  <c:v>84.59</c:v>
                </c:pt>
                <c:pt idx="203">
                  <c:v>86.09</c:v>
                </c:pt>
                <c:pt idx="204">
                  <c:v>82.98</c:v>
                </c:pt>
                <c:pt idx="205">
                  <c:v>77.989999999999995</c:v>
                </c:pt>
                <c:pt idx="206">
                  <c:v>73.34</c:v>
                </c:pt>
                <c:pt idx="207">
                  <c:v>65.790000000000006</c:v>
                </c:pt>
                <c:pt idx="208">
                  <c:v>49.86</c:v>
                </c:pt>
                <c:pt idx="209">
                  <c:v>47.12</c:v>
                </c:pt>
                <c:pt idx="210">
                  <c:v>38.71</c:v>
                </c:pt>
                <c:pt idx="211">
                  <c:v>31.64</c:v>
                </c:pt>
                <c:pt idx="212">
                  <c:v>38.64</c:v>
                </c:pt>
                <c:pt idx="213">
                  <c:v>41.81</c:v>
                </c:pt>
                <c:pt idx="214">
                  <c:v>33</c:v>
                </c:pt>
                <c:pt idx="215">
                  <c:v>50.38</c:v>
                </c:pt>
                <c:pt idx="216">
                  <c:v>53.63</c:v>
                </c:pt>
                <c:pt idx="217">
                  <c:v>67.69</c:v>
                </c:pt>
                <c:pt idx="218">
                  <c:v>80.14</c:v>
                </c:pt>
                <c:pt idx="219">
                  <c:v>67.64</c:v>
                </c:pt>
                <c:pt idx="220">
                  <c:v>77.41</c:v>
                </c:pt>
                <c:pt idx="221">
                  <c:v>78.11</c:v>
                </c:pt>
                <c:pt idx="222">
                  <c:v>80.37</c:v>
                </c:pt>
                <c:pt idx="223">
                  <c:v>83.86</c:v>
                </c:pt>
                <c:pt idx="224">
                  <c:v>83.21</c:v>
                </c:pt>
                <c:pt idx="225">
                  <c:v>82.09</c:v>
                </c:pt>
                <c:pt idx="226">
                  <c:v>63.07</c:v>
                </c:pt>
                <c:pt idx="227">
                  <c:v>57.11</c:v>
                </c:pt>
                <c:pt idx="228">
                  <c:v>39.700000000000003</c:v>
                </c:pt>
                <c:pt idx="229">
                  <c:v>39.81</c:v>
                </c:pt>
                <c:pt idx="230">
                  <c:v>48.89</c:v>
                </c:pt>
                <c:pt idx="231">
                  <c:v>58.5</c:v>
                </c:pt>
                <c:pt idx="232">
                  <c:v>63.18</c:v>
                </c:pt>
                <c:pt idx="233">
                  <c:v>65.19</c:v>
                </c:pt>
                <c:pt idx="234">
                  <c:v>71.53</c:v>
                </c:pt>
                <c:pt idx="235">
                  <c:v>79.540000000000006</c:v>
                </c:pt>
                <c:pt idx="236">
                  <c:v>80.7</c:v>
                </c:pt>
                <c:pt idx="237">
                  <c:v>81.25</c:v>
                </c:pt>
                <c:pt idx="238">
                  <c:v>81.14</c:v>
                </c:pt>
                <c:pt idx="239">
                  <c:v>86.1</c:v>
                </c:pt>
                <c:pt idx="240">
                  <c:v>84.06</c:v>
                </c:pt>
                <c:pt idx="241">
                  <c:v>79.86</c:v>
                </c:pt>
                <c:pt idx="242">
                  <c:v>71.099999999999994</c:v>
                </c:pt>
                <c:pt idx="243">
                  <c:v>64.989999999999995</c:v>
                </c:pt>
                <c:pt idx="244">
                  <c:v>58.88</c:v>
                </c:pt>
                <c:pt idx="245">
                  <c:v>62.37</c:v>
                </c:pt>
                <c:pt idx="246">
                  <c:v>51.31</c:v>
                </c:pt>
                <c:pt idx="247">
                  <c:v>48.27</c:v>
                </c:pt>
                <c:pt idx="248">
                  <c:v>48.3</c:v>
                </c:pt>
                <c:pt idx="249">
                  <c:v>41.67</c:v>
                </c:pt>
                <c:pt idx="250">
                  <c:v>38.25</c:v>
                </c:pt>
                <c:pt idx="251">
                  <c:v>60.35</c:v>
                </c:pt>
                <c:pt idx="252">
                  <c:v>55.74</c:v>
                </c:pt>
                <c:pt idx="253">
                  <c:v>61.5</c:v>
                </c:pt>
                <c:pt idx="254">
                  <c:v>69.64</c:v>
                </c:pt>
                <c:pt idx="255">
                  <c:v>66.27</c:v>
                </c:pt>
                <c:pt idx="256">
                  <c:v>83.81</c:v>
                </c:pt>
                <c:pt idx="257">
                  <c:v>83.61</c:v>
                </c:pt>
                <c:pt idx="258">
                  <c:v>85.81</c:v>
                </c:pt>
                <c:pt idx="259">
                  <c:v>86.64</c:v>
                </c:pt>
                <c:pt idx="260">
                  <c:v>91.07</c:v>
                </c:pt>
                <c:pt idx="261">
                  <c:v>90.16</c:v>
                </c:pt>
                <c:pt idx="262">
                  <c:v>90.38</c:v>
                </c:pt>
                <c:pt idx="263">
                  <c:v>79.040000000000006</c:v>
                </c:pt>
                <c:pt idx="264">
                  <c:v>71.64</c:v>
                </c:pt>
                <c:pt idx="265">
                  <c:v>56.71</c:v>
                </c:pt>
                <c:pt idx="266">
                  <c:v>60.71</c:v>
                </c:pt>
                <c:pt idx="267">
                  <c:v>51.14</c:v>
                </c:pt>
                <c:pt idx="268">
                  <c:v>44.12</c:v>
                </c:pt>
                <c:pt idx="269">
                  <c:v>50.21</c:v>
                </c:pt>
                <c:pt idx="270">
                  <c:v>57.35</c:v>
                </c:pt>
                <c:pt idx="271">
                  <c:v>48.57</c:v>
                </c:pt>
                <c:pt idx="272">
                  <c:v>60.66</c:v>
                </c:pt>
                <c:pt idx="273">
                  <c:v>57.69</c:v>
                </c:pt>
                <c:pt idx="274">
                  <c:v>70.400000000000006</c:v>
                </c:pt>
                <c:pt idx="275">
                  <c:v>77.099999999999994</c:v>
                </c:pt>
                <c:pt idx="276">
                  <c:v>73.45</c:v>
                </c:pt>
                <c:pt idx="277">
                  <c:v>79.72</c:v>
                </c:pt>
                <c:pt idx="278">
                  <c:v>81.02</c:v>
                </c:pt>
                <c:pt idx="279">
                  <c:v>82.35</c:v>
                </c:pt>
                <c:pt idx="280">
                  <c:v>86.91</c:v>
                </c:pt>
                <c:pt idx="281">
                  <c:v>86.96</c:v>
                </c:pt>
                <c:pt idx="282">
                  <c:v>86.3</c:v>
                </c:pt>
                <c:pt idx="283">
                  <c:v>71.17</c:v>
                </c:pt>
                <c:pt idx="284">
                  <c:v>66.239999999999995</c:v>
                </c:pt>
                <c:pt idx="285">
                  <c:v>40.43</c:v>
                </c:pt>
                <c:pt idx="286">
                  <c:v>40.57</c:v>
                </c:pt>
                <c:pt idx="287">
                  <c:v>49.63</c:v>
                </c:pt>
                <c:pt idx="288">
                  <c:v>58.82</c:v>
                </c:pt>
                <c:pt idx="289">
                  <c:v>64.94</c:v>
                </c:pt>
                <c:pt idx="290">
                  <c:v>66.150000000000006</c:v>
                </c:pt>
                <c:pt idx="291">
                  <c:v>73.680000000000007</c:v>
                </c:pt>
                <c:pt idx="292">
                  <c:v>79.44</c:v>
                </c:pt>
                <c:pt idx="293">
                  <c:v>81.81</c:v>
                </c:pt>
                <c:pt idx="294">
                  <c:v>80.34</c:v>
                </c:pt>
                <c:pt idx="295">
                  <c:v>80.930000000000007</c:v>
                </c:pt>
                <c:pt idx="296">
                  <c:v>86.61</c:v>
                </c:pt>
                <c:pt idx="297">
                  <c:v>82.15</c:v>
                </c:pt>
                <c:pt idx="298">
                  <c:v>78.78</c:v>
                </c:pt>
                <c:pt idx="299">
                  <c:v>70.69</c:v>
                </c:pt>
                <c:pt idx="300">
                  <c:v>65.209999999999994</c:v>
                </c:pt>
                <c:pt idx="301">
                  <c:v>59.9</c:v>
                </c:pt>
                <c:pt idx="302">
                  <c:v>62.11</c:v>
                </c:pt>
                <c:pt idx="303">
                  <c:v>52.3</c:v>
                </c:pt>
                <c:pt idx="304">
                  <c:v>48.46</c:v>
                </c:pt>
                <c:pt idx="305">
                  <c:v>47.78</c:v>
                </c:pt>
                <c:pt idx="306">
                  <c:v>40.590000000000003</c:v>
                </c:pt>
                <c:pt idx="307">
                  <c:v>39.380000000000003</c:v>
                </c:pt>
                <c:pt idx="308">
                  <c:v>60.45</c:v>
                </c:pt>
                <c:pt idx="309">
                  <c:v>57.71</c:v>
                </c:pt>
                <c:pt idx="310">
                  <c:v>62.25</c:v>
                </c:pt>
                <c:pt idx="311">
                  <c:v>70.349999999999994</c:v>
                </c:pt>
                <c:pt idx="312">
                  <c:v>65.42</c:v>
                </c:pt>
                <c:pt idx="313">
                  <c:v>84.01</c:v>
                </c:pt>
                <c:pt idx="314">
                  <c:v>84.49</c:v>
                </c:pt>
                <c:pt idx="315">
                  <c:v>87</c:v>
                </c:pt>
                <c:pt idx="316">
                  <c:v>88.36</c:v>
                </c:pt>
                <c:pt idx="317">
                  <c:v>91.46</c:v>
                </c:pt>
                <c:pt idx="318">
                  <c:v>90.49</c:v>
                </c:pt>
                <c:pt idx="319">
                  <c:v>91.22</c:v>
                </c:pt>
                <c:pt idx="320">
                  <c:v>80.209999999999994</c:v>
                </c:pt>
                <c:pt idx="321">
                  <c:v>74.099999999999994</c:v>
                </c:pt>
                <c:pt idx="322">
                  <c:v>58.54</c:v>
                </c:pt>
                <c:pt idx="323">
                  <c:v>61.33</c:v>
                </c:pt>
                <c:pt idx="324">
                  <c:v>51.18</c:v>
                </c:pt>
                <c:pt idx="325">
                  <c:v>43.64</c:v>
                </c:pt>
                <c:pt idx="326">
                  <c:v>50.82</c:v>
                </c:pt>
                <c:pt idx="327">
                  <c:v>57.45</c:v>
                </c:pt>
                <c:pt idx="328">
                  <c:v>48.58</c:v>
                </c:pt>
                <c:pt idx="329">
                  <c:v>60.32</c:v>
                </c:pt>
                <c:pt idx="330">
                  <c:v>57.89</c:v>
                </c:pt>
                <c:pt idx="331">
                  <c:v>71.599999999999994</c:v>
                </c:pt>
                <c:pt idx="332">
                  <c:v>77.66</c:v>
                </c:pt>
                <c:pt idx="333">
                  <c:v>72.66</c:v>
                </c:pt>
                <c:pt idx="334">
                  <c:v>80.39</c:v>
                </c:pt>
                <c:pt idx="335">
                  <c:v>80.5</c:v>
                </c:pt>
                <c:pt idx="336">
                  <c:v>82.95</c:v>
                </c:pt>
                <c:pt idx="337">
                  <c:v>87.55</c:v>
                </c:pt>
                <c:pt idx="338">
                  <c:v>87.04</c:v>
                </c:pt>
                <c:pt idx="339">
                  <c:v>86.33</c:v>
                </c:pt>
                <c:pt idx="340">
                  <c:v>70.84</c:v>
                </c:pt>
                <c:pt idx="341">
                  <c:v>65.430000000000007</c:v>
                </c:pt>
                <c:pt idx="342">
                  <c:v>10.53</c:v>
                </c:pt>
                <c:pt idx="343">
                  <c:v>25.9</c:v>
                </c:pt>
                <c:pt idx="344">
                  <c:v>35.86</c:v>
                </c:pt>
                <c:pt idx="345">
                  <c:v>27.25</c:v>
                </c:pt>
                <c:pt idx="346">
                  <c:v>38.26</c:v>
                </c:pt>
                <c:pt idx="347">
                  <c:v>33.79</c:v>
                </c:pt>
                <c:pt idx="348">
                  <c:v>40.07</c:v>
                </c:pt>
                <c:pt idx="349">
                  <c:v>53.63</c:v>
                </c:pt>
                <c:pt idx="350">
                  <c:v>63.59</c:v>
                </c:pt>
                <c:pt idx="351">
                  <c:v>61.31</c:v>
                </c:pt>
                <c:pt idx="352">
                  <c:v>58</c:v>
                </c:pt>
                <c:pt idx="353">
                  <c:v>61.7</c:v>
                </c:pt>
                <c:pt idx="354">
                  <c:v>49.84</c:v>
                </c:pt>
                <c:pt idx="355">
                  <c:v>48.5</c:v>
                </c:pt>
                <c:pt idx="356">
                  <c:v>49.99</c:v>
                </c:pt>
                <c:pt idx="357">
                  <c:v>44.13</c:v>
                </c:pt>
                <c:pt idx="358">
                  <c:v>49.44</c:v>
                </c:pt>
                <c:pt idx="359">
                  <c:v>22.12</c:v>
                </c:pt>
                <c:pt idx="360">
                  <c:v>21.88</c:v>
                </c:pt>
                <c:pt idx="361">
                  <c:v>24.24</c:v>
                </c:pt>
                <c:pt idx="362">
                  <c:v>10.09</c:v>
                </c:pt>
                <c:pt idx="363">
                  <c:v>-2.06</c:v>
                </c:pt>
                <c:pt idx="364">
                  <c:v>10.24</c:v>
                </c:pt>
                <c:pt idx="365">
                  <c:v>21.84</c:v>
                </c:pt>
                <c:pt idx="366">
                  <c:v>20.7</c:v>
                </c:pt>
                <c:pt idx="367">
                  <c:v>24.83</c:v>
                </c:pt>
                <c:pt idx="368">
                  <c:v>30.64</c:v>
                </c:pt>
                <c:pt idx="369">
                  <c:v>26.54</c:v>
                </c:pt>
                <c:pt idx="370">
                  <c:v>45.77</c:v>
                </c:pt>
                <c:pt idx="371">
                  <c:v>53.3</c:v>
                </c:pt>
                <c:pt idx="372">
                  <c:v>58.54</c:v>
                </c:pt>
                <c:pt idx="373">
                  <c:v>59.08</c:v>
                </c:pt>
                <c:pt idx="374">
                  <c:v>55.91</c:v>
                </c:pt>
                <c:pt idx="375">
                  <c:v>54.56</c:v>
                </c:pt>
                <c:pt idx="376">
                  <c:v>53.4</c:v>
                </c:pt>
                <c:pt idx="377">
                  <c:v>45.61</c:v>
                </c:pt>
                <c:pt idx="378">
                  <c:v>40.65</c:v>
                </c:pt>
                <c:pt idx="379">
                  <c:v>23.41</c:v>
                </c:pt>
                <c:pt idx="380">
                  <c:v>19.53</c:v>
                </c:pt>
                <c:pt idx="381">
                  <c:v>20.38</c:v>
                </c:pt>
                <c:pt idx="382">
                  <c:v>11.17</c:v>
                </c:pt>
                <c:pt idx="383">
                  <c:v>18.670000000000002</c:v>
                </c:pt>
                <c:pt idx="384">
                  <c:v>22.2</c:v>
                </c:pt>
                <c:pt idx="385">
                  <c:v>18.79</c:v>
                </c:pt>
                <c:pt idx="386">
                  <c:v>21.64</c:v>
                </c:pt>
                <c:pt idx="387">
                  <c:v>30.1</c:v>
                </c:pt>
                <c:pt idx="388">
                  <c:v>44.29</c:v>
                </c:pt>
                <c:pt idx="389">
                  <c:v>45.38</c:v>
                </c:pt>
                <c:pt idx="390">
                  <c:v>48.54</c:v>
                </c:pt>
                <c:pt idx="391">
                  <c:v>55.06</c:v>
                </c:pt>
                <c:pt idx="392">
                  <c:v>63.07</c:v>
                </c:pt>
                <c:pt idx="393">
                  <c:v>64.67</c:v>
                </c:pt>
                <c:pt idx="394">
                  <c:v>61.83</c:v>
                </c:pt>
                <c:pt idx="395">
                  <c:v>63.41</c:v>
                </c:pt>
                <c:pt idx="396">
                  <c:v>57.84</c:v>
                </c:pt>
                <c:pt idx="397">
                  <c:v>48.43</c:v>
                </c:pt>
                <c:pt idx="398">
                  <c:v>41.43</c:v>
                </c:pt>
                <c:pt idx="399">
                  <c:v>34.14</c:v>
                </c:pt>
                <c:pt idx="400">
                  <c:v>33.340000000000003</c:v>
                </c:pt>
                <c:pt idx="401">
                  <c:v>45.64</c:v>
                </c:pt>
                <c:pt idx="402">
                  <c:v>49.76</c:v>
                </c:pt>
                <c:pt idx="403">
                  <c:v>60.18</c:v>
                </c:pt>
                <c:pt idx="404">
                  <c:v>59.25</c:v>
                </c:pt>
                <c:pt idx="405">
                  <c:v>62.68</c:v>
                </c:pt>
                <c:pt idx="406">
                  <c:v>75.709999999999994</c:v>
                </c:pt>
                <c:pt idx="407">
                  <c:v>82.21</c:v>
                </c:pt>
                <c:pt idx="408">
                  <c:v>74.78</c:v>
                </c:pt>
                <c:pt idx="409">
                  <c:v>72.489999999999995</c:v>
                </c:pt>
                <c:pt idx="410">
                  <c:v>80.37</c:v>
                </c:pt>
                <c:pt idx="411">
                  <c:v>76.14</c:v>
                </c:pt>
                <c:pt idx="412">
                  <c:v>74.34</c:v>
                </c:pt>
                <c:pt idx="413">
                  <c:v>68.7</c:v>
                </c:pt>
                <c:pt idx="414">
                  <c:v>62.94</c:v>
                </c:pt>
                <c:pt idx="415">
                  <c:v>55.76</c:v>
                </c:pt>
                <c:pt idx="416">
                  <c:v>54.89</c:v>
                </c:pt>
                <c:pt idx="417">
                  <c:v>42.85</c:v>
                </c:pt>
                <c:pt idx="418">
                  <c:v>42.47</c:v>
                </c:pt>
                <c:pt idx="419">
                  <c:v>35.770000000000003</c:v>
                </c:pt>
                <c:pt idx="420">
                  <c:v>24.48</c:v>
                </c:pt>
                <c:pt idx="421">
                  <c:v>28.26</c:v>
                </c:pt>
                <c:pt idx="422">
                  <c:v>53.18</c:v>
                </c:pt>
                <c:pt idx="423">
                  <c:v>49.14</c:v>
                </c:pt>
                <c:pt idx="424">
                  <c:v>49.86</c:v>
                </c:pt>
                <c:pt idx="425">
                  <c:v>65.62</c:v>
                </c:pt>
                <c:pt idx="426">
                  <c:v>58.92</c:v>
                </c:pt>
                <c:pt idx="427">
                  <c:v>82.05</c:v>
                </c:pt>
                <c:pt idx="428">
                  <c:v>82.21</c:v>
                </c:pt>
                <c:pt idx="429">
                  <c:v>87.26</c:v>
                </c:pt>
                <c:pt idx="430">
                  <c:v>83.57</c:v>
                </c:pt>
                <c:pt idx="431">
                  <c:v>85.15</c:v>
                </c:pt>
                <c:pt idx="432">
                  <c:v>86.05</c:v>
                </c:pt>
                <c:pt idx="433">
                  <c:v>84.77</c:v>
                </c:pt>
                <c:pt idx="434">
                  <c:v>69.010000000000005</c:v>
                </c:pt>
                <c:pt idx="435">
                  <c:v>67.61</c:v>
                </c:pt>
                <c:pt idx="436">
                  <c:v>49.68</c:v>
                </c:pt>
                <c:pt idx="437">
                  <c:v>50.56</c:v>
                </c:pt>
                <c:pt idx="438">
                  <c:v>40.82</c:v>
                </c:pt>
                <c:pt idx="439">
                  <c:v>30.51</c:v>
                </c:pt>
                <c:pt idx="440">
                  <c:v>43.47</c:v>
                </c:pt>
                <c:pt idx="441">
                  <c:v>45.56</c:v>
                </c:pt>
                <c:pt idx="442">
                  <c:v>35.71</c:v>
                </c:pt>
                <c:pt idx="443">
                  <c:v>50.95</c:v>
                </c:pt>
                <c:pt idx="444">
                  <c:v>49.59</c:v>
                </c:pt>
                <c:pt idx="445">
                  <c:v>62.18</c:v>
                </c:pt>
                <c:pt idx="446">
                  <c:v>73.959999999999994</c:v>
                </c:pt>
                <c:pt idx="447">
                  <c:v>64.959999999999994</c:v>
                </c:pt>
                <c:pt idx="448">
                  <c:v>78.31</c:v>
                </c:pt>
                <c:pt idx="449">
                  <c:v>74.28</c:v>
                </c:pt>
                <c:pt idx="450">
                  <c:v>81.239999999999995</c:v>
                </c:pt>
                <c:pt idx="451">
                  <c:v>85.06</c:v>
                </c:pt>
                <c:pt idx="452">
                  <c:v>83.74</c:v>
                </c:pt>
                <c:pt idx="453">
                  <c:v>80.87</c:v>
                </c:pt>
                <c:pt idx="454">
                  <c:v>61.41</c:v>
                </c:pt>
                <c:pt idx="455">
                  <c:v>55.03</c:v>
                </c:pt>
                <c:pt idx="456">
                  <c:v>38.01</c:v>
                </c:pt>
                <c:pt idx="457">
                  <c:v>37.08</c:v>
                </c:pt>
                <c:pt idx="458">
                  <c:v>48.43</c:v>
                </c:pt>
                <c:pt idx="459">
                  <c:v>55.76</c:v>
                </c:pt>
                <c:pt idx="460">
                  <c:v>65.209999999999994</c:v>
                </c:pt>
                <c:pt idx="461">
                  <c:v>64.95</c:v>
                </c:pt>
                <c:pt idx="462">
                  <c:v>68.58</c:v>
                </c:pt>
                <c:pt idx="463">
                  <c:v>79.650000000000006</c:v>
                </c:pt>
                <c:pt idx="464">
                  <c:v>83.75</c:v>
                </c:pt>
                <c:pt idx="465">
                  <c:v>78.55</c:v>
                </c:pt>
                <c:pt idx="466">
                  <c:v>78.510000000000005</c:v>
                </c:pt>
                <c:pt idx="467">
                  <c:v>87.09</c:v>
                </c:pt>
                <c:pt idx="468">
                  <c:v>82.47</c:v>
                </c:pt>
                <c:pt idx="469">
                  <c:v>77.7</c:v>
                </c:pt>
                <c:pt idx="470">
                  <c:v>69.08</c:v>
                </c:pt>
                <c:pt idx="471">
                  <c:v>65.349999999999994</c:v>
                </c:pt>
                <c:pt idx="472">
                  <c:v>58.69</c:v>
                </c:pt>
                <c:pt idx="473">
                  <c:v>61.59</c:v>
                </c:pt>
                <c:pt idx="474">
                  <c:v>49.89</c:v>
                </c:pt>
                <c:pt idx="475">
                  <c:v>46.1</c:v>
                </c:pt>
                <c:pt idx="476">
                  <c:v>41.82</c:v>
                </c:pt>
                <c:pt idx="477">
                  <c:v>31.82</c:v>
                </c:pt>
                <c:pt idx="478">
                  <c:v>34.130000000000003</c:v>
                </c:pt>
                <c:pt idx="479">
                  <c:v>60.67</c:v>
                </c:pt>
                <c:pt idx="480">
                  <c:v>54.75</c:v>
                </c:pt>
                <c:pt idx="481">
                  <c:v>56.12</c:v>
                </c:pt>
                <c:pt idx="482">
                  <c:v>71.400000000000006</c:v>
                </c:pt>
                <c:pt idx="483">
                  <c:v>62.2</c:v>
                </c:pt>
                <c:pt idx="484">
                  <c:v>85.8</c:v>
                </c:pt>
                <c:pt idx="485">
                  <c:v>85.81</c:v>
                </c:pt>
                <c:pt idx="486">
                  <c:v>89.14</c:v>
                </c:pt>
                <c:pt idx="487">
                  <c:v>89.04</c:v>
                </c:pt>
                <c:pt idx="488">
                  <c:v>91.52</c:v>
                </c:pt>
                <c:pt idx="489">
                  <c:v>91.63</c:v>
                </c:pt>
                <c:pt idx="490">
                  <c:v>89.33</c:v>
                </c:pt>
                <c:pt idx="491">
                  <c:v>75.650000000000006</c:v>
                </c:pt>
                <c:pt idx="492">
                  <c:v>72.62</c:v>
                </c:pt>
                <c:pt idx="493">
                  <c:v>54.46</c:v>
                </c:pt>
                <c:pt idx="494">
                  <c:v>58.28</c:v>
                </c:pt>
                <c:pt idx="495">
                  <c:v>46.84</c:v>
                </c:pt>
                <c:pt idx="496">
                  <c:v>37.65</c:v>
                </c:pt>
                <c:pt idx="497">
                  <c:v>47.54</c:v>
                </c:pt>
                <c:pt idx="498">
                  <c:v>54.43</c:v>
                </c:pt>
                <c:pt idx="499">
                  <c:v>44.03</c:v>
                </c:pt>
                <c:pt idx="500">
                  <c:v>57.2</c:v>
                </c:pt>
                <c:pt idx="501">
                  <c:v>54.03</c:v>
                </c:pt>
                <c:pt idx="502">
                  <c:v>68.83</c:v>
                </c:pt>
                <c:pt idx="503">
                  <c:v>78.98</c:v>
                </c:pt>
                <c:pt idx="504">
                  <c:v>70.94</c:v>
                </c:pt>
                <c:pt idx="505">
                  <c:v>80.260000000000005</c:v>
                </c:pt>
                <c:pt idx="506">
                  <c:v>78.91</c:v>
                </c:pt>
                <c:pt idx="507">
                  <c:v>84.15</c:v>
                </c:pt>
                <c:pt idx="508">
                  <c:v>90.23</c:v>
                </c:pt>
                <c:pt idx="509">
                  <c:v>88.66</c:v>
                </c:pt>
                <c:pt idx="510">
                  <c:v>87.93</c:v>
                </c:pt>
                <c:pt idx="511">
                  <c:v>66.61</c:v>
                </c:pt>
                <c:pt idx="512">
                  <c:v>60.09</c:v>
                </c:pt>
                <c:pt idx="513">
                  <c:v>54.34</c:v>
                </c:pt>
                <c:pt idx="514">
                  <c:v>49.96</c:v>
                </c:pt>
                <c:pt idx="515">
                  <c:v>55.92</c:v>
                </c:pt>
                <c:pt idx="516">
                  <c:v>52.33</c:v>
                </c:pt>
                <c:pt idx="517">
                  <c:v>63.66</c:v>
                </c:pt>
                <c:pt idx="518">
                  <c:v>65.290000000000006</c:v>
                </c:pt>
                <c:pt idx="519">
                  <c:v>71.06</c:v>
                </c:pt>
                <c:pt idx="520">
                  <c:v>82.82</c:v>
                </c:pt>
                <c:pt idx="521">
                  <c:v>89.67</c:v>
                </c:pt>
                <c:pt idx="522">
                  <c:v>92.89</c:v>
                </c:pt>
                <c:pt idx="523">
                  <c:v>91.03</c:v>
                </c:pt>
                <c:pt idx="524">
                  <c:v>86.13</c:v>
                </c:pt>
                <c:pt idx="525">
                  <c:v>83.8</c:v>
                </c:pt>
                <c:pt idx="526">
                  <c:v>84.04</c:v>
                </c:pt>
                <c:pt idx="527">
                  <c:v>86.01</c:v>
                </c:pt>
                <c:pt idx="528">
                  <c:v>77.040000000000006</c:v>
                </c:pt>
                <c:pt idx="529">
                  <c:v>71.040000000000006</c:v>
                </c:pt>
                <c:pt idx="530">
                  <c:v>61.24</c:v>
                </c:pt>
                <c:pt idx="531">
                  <c:v>51.17</c:v>
                </c:pt>
                <c:pt idx="532">
                  <c:v>60.51</c:v>
                </c:pt>
                <c:pt idx="533">
                  <c:v>43.43</c:v>
                </c:pt>
                <c:pt idx="534">
                  <c:v>44.88</c:v>
                </c:pt>
                <c:pt idx="535">
                  <c:v>51.51</c:v>
                </c:pt>
                <c:pt idx="536">
                  <c:v>56.96</c:v>
                </c:pt>
                <c:pt idx="537">
                  <c:v>64.22</c:v>
                </c:pt>
                <c:pt idx="538">
                  <c:v>67.64</c:v>
                </c:pt>
                <c:pt idx="539">
                  <c:v>73.03</c:v>
                </c:pt>
                <c:pt idx="540">
                  <c:v>73.56</c:v>
                </c:pt>
                <c:pt idx="541">
                  <c:v>81.87</c:v>
                </c:pt>
                <c:pt idx="542">
                  <c:v>84.57</c:v>
                </c:pt>
                <c:pt idx="543">
                  <c:v>95.36</c:v>
                </c:pt>
                <c:pt idx="544">
                  <c:v>88.57</c:v>
                </c:pt>
                <c:pt idx="545">
                  <c:v>89.8</c:v>
                </c:pt>
                <c:pt idx="546">
                  <c:v>85.61</c:v>
                </c:pt>
                <c:pt idx="547">
                  <c:v>91.61</c:v>
                </c:pt>
                <c:pt idx="548">
                  <c:v>89.06</c:v>
                </c:pt>
                <c:pt idx="549">
                  <c:v>75.010000000000005</c:v>
                </c:pt>
                <c:pt idx="550">
                  <c:v>68.569999999999993</c:v>
                </c:pt>
                <c:pt idx="551">
                  <c:v>55.28</c:v>
                </c:pt>
                <c:pt idx="552">
                  <c:v>57.29</c:v>
                </c:pt>
                <c:pt idx="553">
                  <c:v>42.58</c:v>
                </c:pt>
                <c:pt idx="554">
                  <c:v>59.85</c:v>
                </c:pt>
                <c:pt idx="555">
                  <c:v>56.85</c:v>
                </c:pt>
                <c:pt idx="556">
                  <c:v>55.73</c:v>
                </c:pt>
                <c:pt idx="557">
                  <c:v>57.62</c:v>
                </c:pt>
                <c:pt idx="558">
                  <c:v>57.65</c:v>
                </c:pt>
                <c:pt idx="559">
                  <c:v>65.989999999999995</c:v>
                </c:pt>
                <c:pt idx="560">
                  <c:v>77.02</c:v>
                </c:pt>
                <c:pt idx="561">
                  <c:v>76.03</c:v>
                </c:pt>
                <c:pt idx="562">
                  <c:v>80.06</c:v>
                </c:pt>
                <c:pt idx="563">
                  <c:v>86.87</c:v>
                </c:pt>
                <c:pt idx="564">
                  <c:v>86.87</c:v>
                </c:pt>
                <c:pt idx="565">
                  <c:v>84.76</c:v>
                </c:pt>
                <c:pt idx="566">
                  <c:v>90.78</c:v>
                </c:pt>
                <c:pt idx="567">
                  <c:v>83.07</c:v>
                </c:pt>
                <c:pt idx="568">
                  <c:v>80.88</c:v>
                </c:pt>
                <c:pt idx="569">
                  <c:v>76.03</c:v>
                </c:pt>
                <c:pt idx="570">
                  <c:v>46.04</c:v>
                </c:pt>
                <c:pt idx="571">
                  <c:v>48.01</c:v>
                </c:pt>
                <c:pt idx="572">
                  <c:v>53.96</c:v>
                </c:pt>
                <c:pt idx="573">
                  <c:v>64.099999999999994</c:v>
                </c:pt>
                <c:pt idx="574">
                  <c:v>66.16</c:v>
                </c:pt>
                <c:pt idx="575">
                  <c:v>69.569999999999993</c:v>
                </c:pt>
                <c:pt idx="576">
                  <c:v>75.569999999999993</c:v>
                </c:pt>
                <c:pt idx="577">
                  <c:v>79.66</c:v>
                </c:pt>
                <c:pt idx="578">
                  <c:v>82.81</c:v>
                </c:pt>
                <c:pt idx="579">
                  <c:v>83.09</c:v>
                </c:pt>
                <c:pt idx="580">
                  <c:v>83.01</c:v>
                </c:pt>
                <c:pt idx="581">
                  <c:v>86.54</c:v>
                </c:pt>
                <c:pt idx="582">
                  <c:v>84.94</c:v>
                </c:pt>
                <c:pt idx="583">
                  <c:v>81.93</c:v>
                </c:pt>
                <c:pt idx="584">
                  <c:v>75.11</c:v>
                </c:pt>
                <c:pt idx="585">
                  <c:v>68.709999999999994</c:v>
                </c:pt>
                <c:pt idx="586">
                  <c:v>64.41</c:v>
                </c:pt>
                <c:pt idx="587">
                  <c:v>63.74</c:v>
                </c:pt>
                <c:pt idx="588">
                  <c:v>55.9</c:v>
                </c:pt>
                <c:pt idx="589">
                  <c:v>53.33</c:v>
                </c:pt>
                <c:pt idx="590">
                  <c:v>54.43</c:v>
                </c:pt>
                <c:pt idx="591">
                  <c:v>47.17</c:v>
                </c:pt>
                <c:pt idx="592">
                  <c:v>44.61</c:v>
                </c:pt>
                <c:pt idx="593">
                  <c:v>66.5</c:v>
                </c:pt>
                <c:pt idx="594">
                  <c:v>63.29</c:v>
                </c:pt>
                <c:pt idx="595">
                  <c:v>69.099999999999994</c:v>
                </c:pt>
                <c:pt idx="596">
                  <c:v>73.569999999999993</c:v>
                </c:pt>
                <c:pt idx="597">
                  <c:v>71.39</c:v>
                </c:pt>
                <c:pt idx="598">
                  <c:v>86.14</c:v>
                </c:pt>
                <c:pt idx="599">
                  <c:v>85.79</c:v>
                </c:pt>
                <c:pt idx="600">
                  <c:v>86.43</c:v>
                </c:pt>
                <c:pt idx="601">
                  <c:v>87.17</c:v>
                </c:pt>
                <c:pt idx="602">
                  <c:v>90.04</c:v>
                </c:pt>
                <c:pt idx="603">
                  <c:v>90.3</c:v>
                </c:pt>
                <c:pt idx="604">
                  <c:v>91.44</c:v>
                </c:pt>
                <c:pt idx="605">
                  <c:v>84.91</c:v>
                </c:pt>
                <c:pt idx="606">
                  <c:v>76.97</c:v>
                </c:pt>
                <c:pt idx="607">
                  <c:v>61.13</c:v>
                </c:pt>
                <c:pt idx="608">
                  <c:v>64.2</c:v>
                </c:pt>
                <c:pt idx="609">
                  <c:v>56.89</c:v>
                </c:pt>
                <c:pt idx="610">
                  <c:v>50.63</c:v>
                </c:pt>
                <c:pt idx="611">
                  <c:v>54.44</c:v>
                </c:pt>
                <c:pt idx="612">
                  <c:v>60.24</c:v>
                </c:pt>
                <c:pt idx="613">
                  <c:v>52.23</c:v>
                </c:pt>
                <c:pt idx="614">
                  <c:v>62.61</c:v>
                </c:pt>
                <c:pt idx="615">
                  <c:v>61.44</c:v>
                </c:pt>
                <c:pt idx="616">
                  <c:v>74.19</c:v>
                </c:pt>
                <c:pt idx="617">
                  <c:v>79.069999999999993</c:v>
                </c:pt>
                <c:pt idx="618">
                  <c:v>75.13</c:v>
                </c:pt>
                <c:pt idx="619">
                  <c:v>81.67</c:v>
                </c:pt>
                <c:pt idx="620">
                  <c:v>82.1</c:v>
                </c:pt>
                <c:pt idx="621">
                  <c:v>83.44</c:v>
                </c:pt>
                <c:pt idx="622">
                  <c:v>86.94</c:v>
                </c:pt>
                <c:pt idx="623">
                  <c:v>86.21</c:v>
                </c:pt>
                <c:pt idx="624">
                  <c:v>85.17</c:v>
                </c:pt>
                <c:pt idx="625">
                  <c:v>73.37</c:v>
                </c:pt>
                <c:pt idx="626">
                  <c:v>69.94</c:v>
                </c:pt>
                <c:pt idx="627">
                  <c:v>49.47</c:v>
                </c:pt>
                <c:pt idx="628">
                  <c:v>47.87</c:v>
                </c:pt>
                <c:pt idx="629">
                  <c:v>53.77</c:v>
                </c:pt>
                <c:pt idx="630">
                  <c:v>50.11</c:v>
                </c:pt>
                <c:pt idx="631">
                  <c:v>59.84</c:v>
                </c:pt>
                <c:pt idx="632">
                  <c:v>59.25</c:v>
                </c:pt>
                <c:pt idx="633">
                  <c:v>70.150000000000006</c:v>
                </c:pt>
                <c:pt idx="634">
                  <c:v>81.39</c:v>
                </c:pt>
                <c:pt idx="635">
                  <c:v>90.84</c:v>
                </c:pt>
                <c:pt idx="636">
                  <c:v>91.98</c:v>
                </c:pt>
                <c:pt idx="637">
                  <c:v>90.37</c:v>
                </c:pt>
                <c:pt idx="638">
                  <c:v>92.95</c:v>
                </c:pt>
                <c:pt idx="639">
                  <c:v>83.12</c:v>
                </c:pt>
                <c:pt idx="640">
                  <c:v>83.63</c:v>
                </c:pt>
                <c:pt idx="641">
                  <c:v>85.2</c:v>
                </c:pt>
                <c:pt idx="642">
                  <c:v>71.819999999999993</c:v>
                </c:pt>
                <c:pt idx="643">
                  <c:v>65.489999999999995</c:v>
                </c:pt>
                <c:pt idx="644">
                  <c:v>57.79</c:v>
                </c:pt>
                <c:pt idx="645">
                  <c:v>43.33</c:v>
                </c:pt>
                <c:pt idx="646">
                  <c:v>50.01</c:v>
                </c:pt>
                <c:pt idx="647">
                  <c:v>37.64</c:v>
                </c:pt>
                <c:pt idx="648">
                  <c:v>45.14</c:v>
                </c:pt>
                <c:pt idx="649">
                  <c:v>51.3</c:v>
                </c:pt>
                <c:pt idx="650">
                  <c:v>51.72</c:v>
                </c:pt>
                <c:pt idx="651">
                  <c:v>57.75</c:v>
                </c:pt>
                <c:pt idx="652">
                  <c:v>63.63</c:v>
                </c:pt>
                <c:pt idx="653">
                  <c:v>64.47</c:v>
                </c:pt>
                <c:pt idx="654">
                  <c:v>68.400000000000006</c:v>
                </c:pt>
                <c:pt idx="655">
                  <c:v>71.81</c:v>
                </c:pt>
                <c:pt idx="656">
                  <c:v>78.72</c:v>
                </c:pt>
                <c:pt idx="657">
                  <c:v>89.85</c:v>
                </c:pt>
                <c:pt idx="658">
                  <c:v>89.9</c:v>
                </c:pt>
                <c:pt idx="659">
                  <c:v>90.61</c:v>
                </c:pt>
                <c:pt idx="660">
                  <c:v>91.04</c:v>
                </c:pt>
                <c:pt idx="661">
                  <c:v>93.66</c:v>
                </c:pt>
                <c:pt idx="662">
                  <c:v>88</c:v>
                </c:pt>
                <c:pt idx="663">
                  <c:v>70.44</c:v>
                </c:pt>
                <c:pt idx="664">
                  <c:v>59.77</c:v>
                </c:pt>
                <c:pt idx="665">
                  <c:v>48.76</c:v>
                </c:pt>
                <c:pt idx="666">
                  <c:v>52.5</c:v>
                </c:pt>
                <c:pt idx="667">
                  <c:v>42.17</c:v>
                </c:pt>
                <c:pt idx="668">
                  <c:v>50.43</c:v>
                </c:pt>
                <c:pt idx="669">
                  <c:v>50.58</c:v>
                </c:pt>
                <c:pt idx="670">
                  <c:v>52.27</c:v>
                </c:pt>
                <c:pt idx="671">
                  <c:v>52.27</c:v>
                </c:pt>
                <c:pt idx="672">
                  <c:v>54.54</c:v>
                </c:pt>
                <c:pt idx="673">
                  <c:v>64.05</c:v>
                </c:pt>
                <c:pt idx="674">
                  <c:v>76.03</c:v>
                </c:pt>
                <c:pt idx="675">
                  <c:v>77.27</c:v>
                </c:pt>
                <c:pt idx="676">
                  <c:v>78.11</c:v>
                </c:pt>
                <c:pt idx="677">
                  <c:v>84.83</c:v>
                </c:pt>
                <c:pt idx="678">
                  <c:v>89.13</c:v>
                </c:pt>
                <c:pt idx="679">
                  <c:v>88.16</c:v>
                </c:pt>
                <c:pt idx="680">
                  <c:v>95.91</c:v>
                </c:pt>
                <c:pt idx="681">
                  <c:v>88.52</c:v>
                </c:pt>
                <c:pt idx="682">
                  <c:v>81.61</c:v>
                </c:pt>
                <c:pt idx="683">
                  <c:v>71.739999999999995</c:v>
                </c:pt>
                <c:pt idx="684">
                  <c:v>31.53</c:v>
                </c:pt>
                <c:pt idx="685">
                  <c:v>33.159999999999997</c:v>
                </c:pt>
                <c:pt idx="686">
                  <c:v>40.65</c:v>
                </c:pt>
                <c:pt idx="687">
                  <c:v>37.619999999999997</c:v>
                </c:pt>
                <c:pt idx="688">
                  <c:v>42.15</c:v>
                </c:pt>
                <c:pt idx="689">
                  <c:v>38.97</c:v>
                </c:pt>
                <c:pt idx="690">
                  <c:v>44.42</c:v>
                </c:pt>
                <c:pt idx="691">
                  <c:v>59.85</c:v>
                </c:pt>
                <c:pt idx="692">
                  <c:v>65.239999999999995</c:v>
                </c:pt>
                <c:pt idx="693">
                  <c:v>78.819999999999993</c:v>
                </c:pt>
                <c:pt idx="694">
                  <c:v>71.33</c:v>
                </c:pt>
                <c:pt idx="695">
                  <c:v>81.239999999999995</c:v>
                </c:pt>
                <c:pt idx="696">
                  <c:v>65.709999999999994</c:v>
                </c:pt>
                <c:pt idx="697">
                  <c:v>65.739999999999995</c:v>
                </c:pt>
                <c:pt idx="698">
                  <c:v>68.739999999999995</c:v>
                </c:pt>
                <c:pt idx="699">
                  <c:v>63.03</c:v>
                </c:pt>
                <c:pt idx="700">
                  <c:v>49.96</c:v>
                </c:pt>
                <c:pt idx="701">
                  <c:v>42.55</c:v>
                </c:pt>
                <c:pt idx="702">
                  <c:v>25.8</c:v>
                </c:pt>
                <c:pt idx="703">
                  <c:v>36.78</c:v>
                </c:pt>
                <c:pt idx="704">
                  <c:v>16.940000000000001</c:v>
                </c:pt>
                <c:pt idx="705">
                  <c:v>23.35</c:v>
                </c:pt>
                <c:pt idx="706">
                  <c:v>30.83</c:v>
                </c:pt>
                <c:pt idx="707">
                  <c:v>34.229999999999997</c:v>
                </c:pt>
                <c:pt idx="708">
                  <c:v>41.28</c:v>
                </c:pt>
                <c:pt idx="709">
                  <c:v>42.49</c:v>
                </c:pt>
                <c:pt idx="710">
                  <c:v>42.75</c:v>
                </c:pt>
                <c:pt idx="711">
                  <c:v>47.75</c:v>
                </c:pt>
                <c:pt idx="712">
                  <c:v>52.76</c:v>
                </c:pt>
                <c:pt idx="713">
                  <c:v>61.39</c:v>
                </c:pt>
                <c:pt idx="714">
                  <c:v>74.290000000000006</c:v>
                </c:pt>
                <c:pt idx="715">
                  <c:v>77.3</c:v>
                </c:pt>
                <c:pt idx="716">
                  <c:v>75.56</c:v>
                </c:pt>
                <c:pt idx="717">
                  <c:v>75.95</c:v>
                </c:pt>
                <c:pt idx="718">
                  <c:v>77</c:v>
                </c:pt>
                <c:pt idx="719">
                  <c:v>70.19</c:v>
                </c:pt>
                <c:pt idx="720">
                  <c:v>60.62</c:v>
                </c:pt>
                <c:pt idx="721">
                  <c:v>43.51</c:v>
                </c:pt>
                <c:pt idx="722">
                  <c:v>33.799999999999997</c:v>
                </c:pt>
                <c:pt idx="723">
                  <c:v>33.94</c:v>
                </c:pt>
                <c:pt idx="724">
                  <c:v>24.82</c:v>
                </c:pt>
                <c:pt idx="725">
                  <c:v>33.799999999999997</c:v>
                </c:pt>
                <c:pt idx="726">
                  <c:v>31.39</c:v>
                </c:pt>
                <c:pt idx="727">
                  <c:v>33.729999999999997</c:v>
                </c:pt>
                <c:pt idx="728">
                  <c:v>32.36</c:v>
                </c:pt>
                <c:pt idx="729">
                  <c:v>38.24</c:v>
                </c:pt>
                <c:pt idx="730">
                  <c:v>48.85</c:v>
                </c:pt>
                <c:pt idx="731">
                  <c:v>54.41</c:v>
                </c:pt>
                <c:pt idx="732">
                  <c:v>56.47</c:v>
                </c:pt>
                <c:pt idx="733">
                  <c:v>61.11</c:v>
                </c:pt>
                <c:pt idx="734">
                  <c:v>68.400000000000006</c:v>
                </c:pt>
                <c:pt idx="735">
                  <c:v>79.23</c:v>
                </c:pt>
                <c:pt idx="736">
                  <c:v>81.99</c:v>
                </c:pt>
                <c:pt idx="737">
                  <c:v>81.69</c:v>
                </c:pt>
                <c:pt idx="738">
                  <c:v>70.650000000000006</c:v>
                </c:pt>
                <c:pt idx="739">
                  <c:v>61.79</c:v>
                </c:pt>
                <c:pt idx="740">
                  <c:v>55.1</c:v>
                </c:pt>
                <c:pt idx="741">
                  <c:v>27.31</c:v>
                </c:pt>
                <c:pt idx="742">
                  <c:v>27.73</c:v>
                </c:pt>
                <c:pt idx="743">
                  <c:v>37.130000000000003</c:v>
                </c:pt>
                <c:pt idx="744">
                  <c:v>45.8</c:v>
                </c:pt>
                <c:pt idx="745">
                  <c:v>47.74</c:v>
                </c:pt>
                <c:pt idx="746">
                  <c:v>65.45</c:v>
                </c:pt>
                <c:pt idx="747">
                  <c:v>70.75</c:v>
                </c:pt>
                <c:pt idx="748">
                  <c:v>75.930000000000007</c:v>
                </c:pt>
                <c:pt idx="749">
                  <c:v>69.709999999999994</c:v>
                </c:pt>
                <c:pt idx="750">
                  <c:v>76.61</c:v>
                </c:pt>
                <c:pt idx="751">
                  <c:v>82.45</c:v>
                </c:pt>
                <c:pt idx="752">
                  <c:v>77.17</c:v>
                </c:pt>
                <c:pt idx="753">
                  <c:v>78.37</c:v>
                </c:pt>
                <c:pt idx="754">
                  <c:v>70.87</c:v>
                </c:pt>
                <c:pt idx="755">
                  <c:v>70.58</c:v>
                </c:pt>
                <c:pt idx="756">
                  <c:v>56.49</c:v>
                </c:pt>
                <c:pt idx="757">
                  <c:v>45.65</c:v>
                </c:pt>
                <c:pt idx="758">
                  <c:v>46.14</c:v>
                </c:pt>
                <c:pt idx="759">
                  <c:v>40.93</c:v>
                </c:pt>
                <c:pt idx="760">
                  <c:v>30.54</c:v>
                </c:pt>
                <c:pt idx="761">
                  <c:v>34.32</c:v>
                </c:pt>
                <c:pt idx="762">
                  <c:v>28.73</c:v>
                </c:pt>
                <c:pt idx="763">
                  <c:v>30.3</c:v>
                </c:pt>
                <c:pt idx="764">
                  <c:v>38.65</c:v>
                </c:pt>
                <c:pt idx="765">
                  <c:v>45.01</c:v>
                </c:pt>
                <c:pt idx="766">
                  <c:v>37.270000000000003</c:v>
                </c:pt>
                <c:pt idx="767">
                  <c:v>48.71</c:v>
                </c:pt>
                <c:pt idx="768">
                  <c:v>58.21</c:v>
                </c:pt>
                <c:pt idx="769">
                  <c:v>76.38</c:v>
                </c:pt>
                <c:pt idx="770">
                  <c:v>73.88</c:v>
                </c:pt>
                <c:pt idx="771">
                  <c:v>74.040000000000006</c:v>
                </c:pt>
                <c:pt idx="772">
                  <c:v>77.489999999999995</c:v>
                </c:pt>
                <c:pt idx="773">
                  <c:v>78.22</c:v>
                </c:pt>
                <c:pt idx="774">
                  <c:v>77</c:v>
                </c:pt>
                <c:pt idx="775">
                  <c:v>70.63</c:v>
                </c:pt>
                <c:pt idx="776">
                  <c:v>71.48</c:v>
                </c:pt>
                <c:pt idx="777">
                  <c:v>55.82</c:v>
                </c:pt>
                <c:pt idx="778">
                  <c:v>43.92</c:v>
                </c:pt>
                <c:pt idx="779">
                  <c:v>47.65</c:v>
                </c:pt>
                <c:pt idx="780">
                  <c:v>50.19</c:v>
                </c:pt>
                <c:pt idx="781">
                  <c:v>46.57</c:v>
                </c:pt>
                <c:pt idx="782">
                  <c:v>35.880000000000003</c:v>
                </c:pt>
                <c:pt idx="783">
                  <c:v>42.96</c:v>
                </c:pt>
                <c:pt idx="784">
                  <c:v>37</c:v>
                </c:pt>
                <c:pt idx="785">
                  <c:v>41.55</c:v>
                </c:pt>
                <c:pt idx="786">
                  <c:v>45.52</c:v>
                </c:pt>
                <c:pt idx="787">
                  <c:v>49.73</c:v>
                </c:pt>
                <c:pt idx="788">
                  <c:v>55.21</c:v>
                </c:pt>
                <c:pt idx="789">
                  <c:v>61.24</c:v>
                </c:pt>
                <c:pt idx="790">
                  <c:v>74.48</c:v>
                </c:pt>
                <c:pt idx="791">
                  <c:v>64.3</c:v>
                </c:pt>
                <c:pt idx="792">
                  <c:v>82.99</c:v>
                </c:pt>
                <c:pt idx="793">
                  <c:v>76.58</c:v>
                </c:pt>
                <c:pt idx="794">
                  <c:v>78.650000000000006</c:v>
                </c:pt>
                <c:pt idx="795">
                  <c:v>75.7</c:v>
                </c:pt>
                <c:pt idx="796">
                  <c:v>64.89</c:v>
                </c:pt>
                <c:pt idx="797">
                  <c:v>54.47</c:v>
                </c:pt>
                <c:pt idx="798">
                  <c:v>19.829999999999998</c:v>
                </c:pt>
                <c:pt idx="799">
                  <c:v>22</c:v>
                </c:pt>
                <c:pt idx="800">
                  <c:v>31.79</c:v>
                </c:pt>
                <c:pt idx="801">
                  <c:v>41.39</c:v>
                </c:pt>
                <c:pt idx="802">
                  <c:v>45.27</c:v>
                </c:pt>
                <c:pt idx="803">
                  <c:v>57.77</c:v>
                </c:pt>
                <c:pt idx="804">
                  <c:v>63.16</c:v>
                </c:pt>
                <c:pt idx="805">
                  <c:v>69.989999999999995</c:v>
                </c:pt>
                <c:pt idx="806">
                  <c:v>61.04</c:v>
                </c:pt>
                <c:pt idx="807">
                  <c:v>66.13</c:v>
                </c:pt>
                <c:pt idx="808">
                  <c:v>77.33</c:v>
                </c:pt>
                <c:pt idx="809">
                  <c:v>72.7</c:v>
                </c:pt>
                <c:pt idx="810">
                  <c:v>73.17</c:v>
                </c:pt>
                <c:pt idx="811">
                  <c:v>62.36</c:v>
                </c:pt>
                <c:pt idx="812">
                  <c:v>59.69</c:v>
                </c:pt>
                <c:pt idx="813">
                  <c:v>52.19</c:v>
                </c:pt>
                <c:pt idx="814">
                  <c:v>40.29</c:v>
                </c:pt>
                <c:pt idx="815">
                  <c:v>39.630000000000003</c:v>
                </c:pt>
                <c:pt idx="816">
                  <c:v>36</c:v>
                </c:pt>
                <c:pt idx="817">
                  <c:v>23.97</c:v>
                </c:pt>
                <c:pt idx="818">
                  <c:v>30.53</c:v>
                </c:pt>
                <c:pt idx="819">
                  <c:v>20.69</c:v>
                </c:pt>
                <c:pt idx="820">
                  <c:v>21.64</c:v>
                </c:pt>
                <c:pt idx="821">
                  <c:v>28.16</c:v>
                </c:pt>
                <c:pt idx="822">
                  <c:v>34.270000000000003</c:v>
                </c:pt>
                <c:pt idx="823">
                  <c:v>30.34</c:v>
                </c:pt>
                <c:pt idx="824">
                  <c:v>40.94</c:v>
                </c:pt>
                <c:pt idx="825">
                  <c:v>49.87</c:v>
                </c:pt>
                <c:pt idx="826">
                  <c:v>69.8</c:v>
                </c:pt>
                <c:pt idx="827">
                  <c:v>69.86</c:v>
                </c:pt>
                <c:pt idx="828">
                  <c:v>67.430000000000007</c:v>
                </c:pt>
                <c:pt idx="829">
                  <c:v>73.47</c:v>
                </c:pt>
                <c:pt idx="830">
                  <c:v>73.63</c:v>
                </c:pt>
                <c:pt idx="831">
                  <c:v>70.63</c:v>
                </c:pt>
                <c:pt idx="832">
                  <c:v>67.63</c:v>
                </c:pt>
                <c:pt idx="833">
                  <c:v>67.59</c:v>
                </c:pt>
                <c:pt idx="834">
                  <c:v>51.24</c:v>
                </c:pt>
                <c:pt idx="835">
                  <c:v>43.39</c:v>
                </c:pt>
                <c:pt idx="836">
                  <c:v>47.13</c:v>
                </c:pt>
                <c:pt idx="837">
                  <c:v>45.67</c:v>
                </c:pt>
                <c:pt idx="838">
                  <c:v>38.53</c:v>
                </c:pt>
                <c:pt idx="839">
                  <c:v>30.24</c:v>
                </c:pt>
                <c:pt idx="840">
                  <c:v>35.299999999999997</c:v>
                </c:pt>
                <c:pt idx="841">
                  <c:v>31.91</c:v>
                </c:pt>
                <c:pt idx="842">
                  <c:v>33.24</c:v>
                </c:pt>
                <c:pt idx="843">
                  <c:v>36.97</c:v>
                </c:pt>
                <c:pt idx="844">
                  <c:v>40.01</c:v>
                </c:pt>
                <c:pt idx="845">
                  <c:v>51.04</c:v>
                </c:pt>
                <c:pt idx="846">
                  <c:v>54.23</c:v>
                </c:pt>
                <c:pt idx="847">
                  <c:v>67.61</c:v>
                </c:pt>
                <c:pt idx="848">
                  <c:v>59.35</c:v>
                </c:pt>
                <c:pt idx="849">
                  <c:v>74.64</c:v>
                </c:pt>
                <c:pt idx="850">
                  <c:v>73.13</c:v>
                </c:pt>
                <c:pt idx="851">
                  <c:v>73.989999999999995</c:v>
                </c:pt>
                <c:pt idx="852">
                  <c:v>71.61</c:v>
                </c:pt>
                <c:pt idx="853">
                  <c:v>59.57</c:v>
                </c:pt>
                <c:pt idx="854">
                  <c:v>49.12</c:v>
                </c:pt>
                <c:pt idx="855">
                  <c:v>19.79</c:v>
                </c:pt>
                <c:pt idx="856">
                  <c:v>20.87</c:v>
                </c:pt>
                <c:pt idx="857">
                  <c:v>27.92</c:v>
                </c:pt>
                <c:pt idx="858">
                  <c:v>28.64</c:v>
                </c:pt>
                <c:pt idx="859">
                  <c:v>36.19</c:v>
                </c:pt>
                <c:pt idx="860">
                  <c:v>34.21</c:v>
                </c:pt>
                <c:pt idx="861">
                  <c:v>37.43</c:v>
                </c:pt>
                <c:pt idx="862">
                  <c:v>53.76</c:v>
                </c:pt>
                <c:pt idx="863">
                  <c:v>62.63</c:v>
                </c:pt>
                <c:pt idx="864">
                  <c:v>64.44</c:v>
                </c:pt>
                <c:pt idx="865">
                  <c:v>61.79</c:v>
                </c:pt>
                <c:pt idx="866">
                  <c:v>67.42</c:v>
                </c:pt>
                <c:pt idx="867">
                  <c:v>58.02</c:v>
                </c:pt>
                <c:pt idx="868">
                  <c:v>57.24</c:v>
                </c:pt>
                <c:pt idx="869">
                  <c:v>59.39</c:v>
                </c:pt>
                <c:pt idx="870">
                  <c:v>54.29</c:v>
                </c:pt>
                <c:pt idx="871">
                  <c:v>39.94</c:v>
                </c:pt>
                <c:pt idx="872">
                  <c:v>34.04</c:v>
                </c:pt>
                <c:pt idx="873">
                  <c:v>23.68</c:v>
                </c:pt>
                <c:pt idx="874">
                  <c:v>32.020000000000003</c:v>
                </c:pt>
                <c:pt idx="875">
                  <c:v>12.39</c:v>
                </c:pt>
                <c:pt idx="876">
                  <c:v>13.64</c:v>
                </c:pt>
                <c:pt idx="877">
                  <c:v>15.02</c:v>
                </c:pt>
                <c:pt idx="878">
                  <c:v>31.77</c:v>
                </c:pt>
                <c:pt idx="879">
                  <c:v>29.36</c:v>
                </c:pt>
                <c:pt idx="880">
                  <c:v>35.75</c:v>
                </c:pt>
                <c:pt idx="881">
                  <c:v>38.04</c:v>
                </c:pt>
                <c:pt idx="882">
                  <c:v>38.64</c:v>
                </c:pt>
                <c:pt idx="883">
                  <c:v>54.08</c:v>
                </c:pt>
                <c:pt idx="884">
                  <c:v>55.78</c:v>
                </c:pt>
                <c:pt idx="885">
                  <c:v>63.59</c:v>
                </c:pt>
                <c:pt idx="886">
                  <c:v>65</c:v>
                </c:pt>
                <c:pt idx="887">
                  <c:v>63.96</c:v>
                </c:pt>
                <c:pt idx="888">
                  <c:v>67.09</c:v>
                </c:pt>
                <c:pt idx="889">
                  <c:v>63.44</c:v>
                </c:pt>
                <c:pt idx="890">
                  <c:v>56.99</c:v>
                </c:pt>
                <c:pt idx="891">
                  <c:v>48.91</c:v>
                </c:pt>
                <c:pt idx="892">
                  <c:v>33.43</c:v>
                </c:pt>
                <c:pt idx="893">
                  <c:v>29.56</c:v>
                </c:pt>
                <c:pt idx="894">
                  <c:v>27.83</c:v>
                </c:pt>
                <c:pt idx="895">
                  <c:v>14.44</c:v>
                </c:pt>
                <c:pt idx="896">
                  <c:v>26.49</c:v>
                </c:pt>
                <c:pt idx="897">
                  <c:v>25.53</c:v>
                </c:pt>
                <c:pt idx="898">
                  <c:v>23.69</c:v>
                </c:pt>
                <c:pt idx="899">
                  <c:v>23.4</c:v>
                </c:pt>
                <c:pt idx="900">
                  <c:v>28.16</c:v>
                </c:pt>
                <c:pt idx="901">
                  <c:v>48.93</c:v>
                </c:pt>
                <c:pt idx="902">
                  <c:v>51.34</c:v>
                </c:pt>
                <c:pt idx="903">
                  <c:v>53.57</c:v>
                </c:pt>
                <c:pt idx="904">
                  <c:v>58.97</c:v>
                </c:pt>
                <c:pt idx="905">
                  <c:v>65.430000000000007</c:v>
                </c:pt>
                <c:pt idx="906">
                  <c:v>70.489999999999995</c:v>
                </c:pt>
                <c:pt idx="907">
                  <c:v>68.59</c:v>
                </c:pt>
                <c:pt idx="908">
                  <c:v>70.239999999999995</c:v>
                </c:pt>
                <c:pt idx="909">
                  <c:v>60.09</c:v>
                </c:pt>
                <c:pt idx="910">
                  <c:v>50.46</c:v>
                </c:pt>
                <c:pt idx="911">
                  <c:v>43.26</c:v>
                </c:pt>
                <c:pt idx="912">
                  <c:v>23.11</c:v>
                </c:pt>
                <c:pt idx="913">
                  <c:v>18.36</c:v>
                </c:pt>
                <c:pt idx="914">
                  <c:v>31.58</c:v>
                </c:pt>
                <c:pt idx="915">
                  <c:v>29.71</c:v>
                </c:pt>
                <c:pt idx="916">
                  <c:v>36.94</c:v>
                </c:pt>
                <c:pt idx="917">
                  <c:v>34.049999999999997</c:v>
                </c:pt>
                <c:pt idx="918">
                  <c:v>40.26</c:v>
                </c:pt>
                <c:pt idx="919">
                  <c:v>53.79</c:v>
                </c:pt>
                <c:pt idx="920">
                  <c:v>57.14</c:v>
                </c:pt>
                <c:pt idx="921">
                  <c:v>68.98</c:v>
                </c:pt>
                <c:pt idx="922">
                  <c:v>62.41</c:v>
                </c:pt>
                <c:pt idx="923">
                  <c:v>70.53</c:v>
                </c:pt>
                <c:pt idx="924">
                  <c:v>57.86</c:v>
                </c:pt>
                <c:pt idx="925">
                  <c:v>56.28</c:v>
                </c:pt>
                <c:pt idx="926">
                  <c:v>60.07</c:v>
                </c:pt>
                <c:pt idx="927">
                  <c:v>58.06</c:v>
                </c:pt>
                <c:pt idx="928">
                  <c:v>42.54</c:v>
                </c:pt>
                <c:pt idx="929">
                  <c:v>36.32</c:v>
                </c:pt>
                <c:pt idx="930">
                  <c:v>22.47</c:v>
                </c:pt>
                <c:pt idx="931">
                  <c:v>31.64</c:v>
                </c:pt>
                <c:pt idx="932">
                  <c:v>6.23</c:v>
                </c:pt>
                <c:pt idx="933">
                  <c:v>11.29</c:v>
                </c:pt>
                <c:pt idx="934">
                  <c:v>14.19</c:v>
                </c:pt>
                <c:pt idx="935">
                  <c:v>24.21</c:v>
                </c:pt>
                <c:pt idx="936">
                  <c:v>32.42</c:v>
                </c:pt>
                <c:pt idx="937">
                  <c:v>39.380000000000003</c:v>
                </c:pt>
                <c:pt idx="938">
                  <c:v>39.159999999999997</c:v>
                </c:pt>
                <c:pt idx="939">
                  <c:v>45.66</c:v>
                </c:pt>
                <c:pt idx="940">
                  <c:v>49.61</c:v>
                </c:pt>
                <c:pt idx="941">
                  <c:v>54.57</c:v>
                </c:pt>
                <c:pt idx="942">
                  <c:v>67.39</c:v>
                </c:pt>
                <c:pt idx="943">
                  <c:v>70.599999999999994</c:v>
                </c:pt>
                <c:pt idx="944">
                  <c:v>65.709999999999994</c:v>
                </c:pt>
                <c:pt idx="945">
                  <c:v>64.790000000000006</c:v>
                </c:pt>
                <c:pt idx="946">
                  <c:v>69.31</c:v>
                </c:pt>
                <c:pt idx="947">
                  <c:v>61.94</c:v>
                </c:pt>
                <c:pt idx="948">
                  <c:v>54.4</c:v>
                </c:pt>
                <c:pt idx="949">
                  <c:v>37.520000000000003</c:v>
                </c:pt>
                <c:pt idx="950">
                  <c:v>27.61</c:v>
                </c:pt>
                <c:pt idx="951">
                  <c:v>26.47</c:v>
                </c:pt>
                <c:pt idx="952">
                  <c:v>17.559999999999999</c:v>
                </c:pt>
                <c:pt idx="953">
                  <c:v>27.64</c:v>
                </c:pt>
                <c:pt idx="954">
                  <c:v>26.26</c:v>
                </c:pt>
                <c:pt idx="955">
                  <c:v>23.63</c:v>
                </c:pt>
                <c:pt idx="956">
                  <c:v>26.28</c:v>
                </c:pt>
                <c:pt idx="957">
                  <c:v>32.020000000000003</c:v>
                </c:pt>
                <c:pt idx="958">
                  <c:v>43.92</c:v>
                </c:pt>
                <c:pt idx="959">
                  <c:v>48.86</c:v>
                </c:pt>
                <c:pt idx="960">
                  <c:v>49.96</c:v>
                </c:pt>
                <c:pt idx="961">
                  <c:v>54.13</c:v>
                </c:pt>
                <c:pt idx="962">
                  <c:v>60.51</c:v>
                </c:pt>
                <c:pt idx="963">
                  <c:v>68.91</c:v>
                </c:pt>
                <c:pt idx="964">
                  <c:v>72.94</c:v>
                </c:pt>
                <c:pt idx="965">
                  <c:v>73.290000000000006</c:v>
                </c:pt>
                <c:pt idx="966">
                  <c:v>61.99</c:v>
                </c:pt>
                <c:pt idx="967">
                  <c:v>52.81</c:v>
                </c:pt>
                <c:pt idx="968">
                  <c:v>44.82</c:v>
                </c:pt>
                <c:pt idx="969">
                  <c:v>21.33</c:v>
                </c:pt>
                <c:pt idx="970">
                  <c:v>26.41</c:v>
                </c:pt>
                <c:pt idx="971">
                  <c:v>37.17</c:v>
                </c:pt>
                <c:pt idx="972">
                  <c:v>42.39</c:v>
                </c:pt>
                <c:pt idx="973">
                  <c:v>45.63</c:v>
                </c:pt>
                <c:pt idx="974">
                  <c:v>59.91</c:v>
                </c:pt>
                <c:pt idx="975">
                  <c:v>65.64</c:v>
                </c:pt>
                <c:pt idx="976">
                  <c:v>70.28</c:v>
                </c:pt>
                <c:pt idx="977">
                  <c:v>64.08</c:v>
                </c:pt>
                <c:pt idx="978">
                  <c:v>71.22</c:v>
                </c:pt>
                <c:pt idx="979">
                  <c:v>79.75</c:v>
                </c:pt>
                <c:pt idx="980">
                  <c:v>73.67</c:v>
                </c:pt>
                <c:pt idx="981">
                  <c:v>75.42</c:v>
                </c:pt>
                <c:pt idx="982">
                  <c:v>67.09</c:v>
                </c:pt>
                <c:pt idx="983">
                  <c:v>67.760000000000005</c:v>
                </c:pt>
                <c:pt idx="984">
                  <c:v>54.73</c:v>
                </c:pt>
                <c:pt idx="985">
                  <c:v>42.05</c:v>
                </c:pt>
                <c:pt idx="986">
                  <c:v>43.17</c:v>
                </c:pt>
                <c:pt idx="987">
                  <c:v>37.090000000000003</c:v>
                </c:pt>
                <c:pt idx="988">
                  <c:v>25.64</c:v>
                </c:pt>
                <c:pt idx="989">
                  <c:v>30.1</c:v>
                </c:pt>
                <c:pt idx="990">
                  <c:v>20.79</c:v>
                </c:pt>
                <c:pt idx="991">
                  <c:v>24.3</c:v>
                </c:pt>
                <c:pt idx="992">
                  <c:v>28.49</c:v>
                </c:pt>
                <c:pt idx="993">
                  <c:v>38.4</c:v>
                </c:pt>
                <c:pt idx="994">
                  <c:v>35.06</c:v>
                </c:pt>
                <c:pt idx="995">
                  <c:v>43.32</c:v>
                </c:pt>
                <c:pt idx="996">
                  <c:v>54.17</c:v>
                </c:pt>
                <c:pt idx="997">
                  <c:v>70.900000000000006</c:v>
                </c:pt>
                <c:pt idx="998">
                  <c:v>69.489999999999995</c:v>
                </c:pt>
                <c:pt idx="999">
                  <c:v>69.75</c:v>
                </c:pt>
                <c:pt idx="1000">
                  <c:v>73.12</c:v>
                </c:pt>
                <c:pt idx="1001">
                  <c:v>74.58</c:v>
                </c:pt>
                <c:pt idx="1002">
                  <c:v>73.569999999999993</c:v>
                </c:pt>
                <c:pt idx="1003">
                  <c:v>68.23</c:v>
                </c:pt>
                <c:pt idx="1004">
                  <c:v>68.11</c:v>
                </c:pt>
                <c:pt idx="1005">
                  <c:v>54.65</c:v>
                </c:pt>
                <c:pt idx="1006">
                  <c:v>38.29</c:v>
                </c:pt>
                <c:pt idx="1007">
                  <c:v>45.69</c:v>
                </c:pt>
                <c:pt idx="1008">
                  <c:v>46.25</c:v>
                </c:pt>
                <c:pt idx="1009">
                  <c:v>42.36</c:v>
                </c:pt>
                <c:pt idx="1010">
                  <c:v>31.27</c:v>
                </c:pt>
                <c:pt idx="1011">
                  <c:v>37.619999999999997</c:v>
                </c:pt>
                <c:pt idx="1012">
                  <c:v>32.83</c:v>
                </c:pt>
                <c:pt idx="1013">
                  <c:v>33.590000000000003</c:v>
                </c:pt>
                <c:pt idx="1014">
                  <c:v>38.1</c:v>
                </c:pt>
                <c:pt idx="1015">
                  <c:v>43.8</c:v>
                </c:pt>
                <c:pt idx="1016">
                  <c:v>49.66</c:v>
                </c:pt>
                <c:pt idx="1017">
                  <c:v>57.44</c:v>
                </c:pt>
                <c:pt idx="1018">
                  <c:v>71.42</c:v>
                </c:pt>
                <c:pt idx="1019">
                  <c:v>59.1</c:v>
                </c:pt>
                <c:pt idx="1020">
                  <c:v>76.08</c:v>
                </c:pt>
                <c:pt idx="1021">
                  <c:v>72.67</c:v>
                </c:pt>
                <c:pt idx="1022">
                  <c:v>75.7</c:v>
                </c:pt>
                <c:pt idx="1023">
                  <c:v>71.849999999999994</c:v>
                </c:pt>
                <c:pt idx="1024">
                  <c:v>59.68</c:v>
                </c:pt>
                <c:pt idx="1025">
                  <c:v>50.97</c:v>
                </c:pt>
                <c:pt idx="1026">
                  <c:v>20.96</c:v>
                </c:pt>
                <c:pt idx="1027">
                  <c:v>23.22</c:v>
                </c:pt>
                <c:pt idx="1028">
                  <c:v>32.92</c:v>
                </c:pt>
                <c:pt idx="1029">
                  <c:v>39.06</c:v>
                </c:pt>
                <c:pt idx="1030">
                  <c:v>45.26</c:v>
                </c:pt>
                <c:pt idx="1031">
                  <c:v>55.66</c:v>
                </c:pt>
                <c:pt idx="1032">
                  <c:v>62.54</c:v>
                </c:pt>
                <c:pt idx="1033">
                  <c:v>68.88</c:v>
                </c:pt>
                <c:pt idx="1034">
                  <c:v>61.64</c:v>
                </c:pt>
                <c:pt idx="1035">
                  <c:v>66.25</c:v>
                </c:pt>
                <c:pt idx="1036">
                  <c:v>78.22</c:v>
                </c:pt>
                <c:pt idx="1037">
                  <c:v>74.2</c:v>
                </c:pt>
                <c:pt idx="1038">
                  <c:v>74.69</c:v>
                </c:pt>
                <c:pt idx="1039">
                  <c:v>63.36</c:v>
                </c:pt>
                <c:pt idx="1040">
                  <c:v>59.91</c:v>
                </c:pt>
                <c:pt idx="1041">
                  <c:v>53.74</c:v>
                </c:pt>
                <c:pt idx="1042">
                  <c:v>41.78</c:v>
                </c:pt>
                <c:pt idx="1043">
                  <c:v>40.299999999999997</c:v>
                </c:pt>
                <c:pt idx="1044">
                  <c:v>36.64</c:v>
                </c:pt>
                <c:pt idx="1045">
                  <c:v>25.12</c:v>
                </c:pt>
                <c:pt idx="1046">
                  <c:v>31.34</c:v>
                </c:pt>
                <c:pt idx="1047">
                  <c:v>21.02</c:v>
                </c:pt>
                <c:pt idx="1048">
                  <c:v>21.79</c:v>
                </c:pt>
                <c:pt idx="1049">
                  <c:v>29.28</c:v>
                </c:pt>
                <c:pt idx="1050">
                  <c:v>35.590000000000003</c:v>
                </c:pt>
                <c:pt idx="1051">
                  <c:v>30.68</c:v>
                </c:pt>
                <c:pt idx="1052">
                  <c:v>41.26</c:v>
                </c:pt>
                <c:pt idx="1053">
                  <c:v>50.43</c:v>
                </c:pt>
                <c:pt idx="1054">
                  <c:v>66.010000000000005</c:v>
                </c:pt>
                <c:pt idx="1055">
                  <c:v>68.260000000000005</c:v>
                </c:pt>
                <c:pt idx="1056">
                  <c:v>67.64</c:v>
                </c:pt>
                <c:pt idx="1057">
                  <c:v>73.2</c:v>
                </c:pt>
                <c:pt idx="1058">
                  <c:v>73.84</c:v>
                </c:pt>
                <c:pt idx="1059">
                  <c:v>70.92</c:v>
                </c:pt>
                <c:pt idx="1060">
                  <c:v>69.27</c:v>
                </c:pt>
                <c:pt idx="1061">
                  <c:v>68.28</c:v>
                </c:pt>
                <c:pt idx="1062">
                  <c:v>53.1</c:v>
                </c:pt>
                <c:pt idx="1063">
                  <c:v>44.97</c:v>
                </c:pt>
                <c:pt idx="1064">
                  <c:v>48.22</c:v>
                </c:pt>
                <c:pt idx="1065">
                  <c:v>45.67</c:v>
                </c:pt>
                <c:pt idx="1066">
                  <c:v>40.18</c:v>
                </c:pt>
                <c:pt idx="1067">
                  <c:v>31.84</c:v>
                </c:pt>
                <c:pt idx="1068">
                  <c:v>36.22</c:v>
                </c:pt>
                <c:pt idx="1069">
                  <c:v>32.61</c:v>
                </c:pt>
                <c:pt idx="1070">
                  <c:v>34.83</c:v>
                </c:pt>
                <c:pt idx="1071">
                  <c:v>38.15</c:v>
                </c:pt>
                <c:pt idx="1072">
                  <c:v>40.229999999999997</c:v>
                </c:pt>
                <c:pt idx="1073">
                  <c:v>50.76</c:v>
                </c:pt>
                <c:pt idx="1074">
                  <c:v>55.33</c:v>
                </c:pt>
                <c:pt idx="1075">
                  <c:v>68.180000000000007</c:v>
                </c:pt>
                <c:pt idx="1076">
                  <c:v>60.19</c:v>
                </c:pt>
                <c:pt idx="1077">
                  <c:v>76.069999999999993</c:v>
                </c:pt>
                <c:pt idx="1078">
                  <c:v>73.41</c:v>
                </c:pt>
                <c:pt idx="1079">
                  <c:v>74.45</c:v>
                </c:pt>
                <c:pt idx="1080">
                  <c:v>72.2</c:v>
                </c:pt>
                <c:pt idx="1081">
                  <c:v>59.86</c:v>
                </c:pt>
                <c:pt idx="1082">
                  <c:v>48.29</c:v>
                </c:pt>
                <c:pt idx="1083">
                  <c:v>25.92</c:v>
                </c:pt>
                <c:pt idx="1084">
                  <c:v>22.12</c:v>
                </c:pt>
                <c:pt idx="1085">
                  <c:v>31.75</c:v>
                </c:pt>
                <c:pt idx="1086">
                  <c:v>43.82</c:v>
                </c:pt>
                <c:pt idx="1087">
                  <c:v>51</c:v>
                </c:pt>
                <c:pt idx="1088">
                  <c:v>65.099999999999994</c:v>
                </c:pt>
                <c:pt idx="1089">
                  <c:v>66.739999999999995</c:v>
                </c:pt>
                <c:pt idx="1090">
                  <c:v>72.52</c:v>
                </c:pt>
                <c:pt idx="1091">
                  <c:v>67.319999999999993</c:v>
                </c:pt>
                <c:pt idx="1092">
                  <c:v>70.099999999999994</c:v>
                </c:pt>
                <c:pt idx="1093">
                  <c:v>78.09</c:v>
                </c:pt>
                <c:pt idx="1094">
                  <c:v>74.569999999999993</c:v>
                </c:pt>
                <c:pt idx="1095">
                  <c:v>75.5</c:v>
                </c:pt>
                <c:pt idx="1096">
                  <c:v>65.02</c:v>
                </c:pt>
                <c:pt idx="1097">
                  <c:v>61.08</c:v>
                </c:pt>
                <c:pt idx="1098">
                  <c:v>51.5</c:v>
                </c:pt>
                <c:pt idx="1099">
                  <c:v>42.78</c:v>
                </c:pt>
                <c:pt idx="1100">
                  <c:v>42.38</c:v>
                </c:pt>
                <c:pt idx="1101">
                  <c:v>35.47</c:v>
                </c:pt>
                <c:pt idx="1102">
                  <c:v>24.27</c:v>
                </c:pt>
                <c:pt idx="1103">
                  <c:v>31.43</c:v>
                </c:pt>
                <c:pt idx="1104">
                  <c:v>28.58</c:v>
                </c:pt>
                <c:pt idx="1105">
                  <c:v>25.38</c:v>
                </c:pt>
                <c:pt idx="1106">
                  <c:v>37.33</c:v>
                </c:pt>
                <c:pt idx="1107">
                  <c:v>39.53</c:v>
                </c:pt>
                <c:pt idx="1108">
                  <c:v>32.43</c:v>
                </c:pt>
                <c:pt idx="1109">
                  <c:v>47.09</c:v>
                </c:pt>
                <c:pt idx="1110">
                  <c:v>53.41</c:v>
                </c:pt>
                <c:pt idx="1111">
                  <c:v>73.510000000000005</c:v>
                </c:pt>
                <c:pt idx="1112">
                  <c:v>73.64</c:v>
                </c:pt>
                <c:pt idx="1113">
                  <c:v>69.66</c:v>
                </c:pt>
                <c:pt idx="1114">
                  <c:v>74.69</c:v>
                </c:pt>
                <c:pt idx="1115">
                  <c:v>77.8</c:v>
                </c:pt>
                <c:pt idx="1116">
                  <c:v>73.52</c:v>
                </c:pt>
                <c:pt idx="1117">
                  <c:v>70.819999999999993</c:v>
                </c:pt>
                <c:pt idx="1118">
                  <c:v>68.739999999999995</c:v>
                </c:pt>
                <c:pt idx="1119">
                  <c:v>52.42</c:v>
                </c:pt>
                <c:pt idx="1120">
                  <c:v>43.88</c:v>
                </c:pt>
                <c:pt idx="1121">
                  <c:v>47.27</c:v>
                </c:pt>
                <c:pt idx="1122">
                  <c:v>46.32</c:v>
                </c:pt>
                <c:pt idx="1123">
                  <c:v>41.64</c:v>
                </c:pt>
                <c:pt idx="1124">
                  <c:v>33.42</c:v>
                </c:pt>
                <c:pt idx="1125">
                  <c:v>39.93</c:v>
                </c:pt>
                <c:pt idx="1126">
                  <c:v>33.47</c:v>
                </c:pt>
                <c:pt idx="1127">
                  <c:v>39.979999999999997</c:v>
                </c:pt>
                <c:pt idx="1128">
                  <c:v>41.14</c:v>
                </c:pt>
                <c:pt idx="1129">
                  <c:v>50.06</c:v>
                </c:pt>
                <c:pt idx="1130">
                  <c:v>62.74</c:v>
                </c:pt>
                <c:pt idx="1131">
                  <c:v>63.19</c:v>
                </c:pt>
                <c:pt idx="1132">
                  <c:v>73.67</c:v>
                </c:pt>
                <c:pt idx="1133">
                  <c:v>62.01</c:v>
                </c:pt>
                <c:pt idx="1134">
                  <c:v>79.2</c:v>
                </c:pt>
                <c:pt idx="1135">
                  <c:v>74.73</c:v>
                </c:pt>
                <c:pt idx="1136">
                  <c:v>75.400000000000006</c:v>
                </c:pt>
                <c:pt idx="1137">
                  <c:v>76.36</c:v>
                </c:pt>
                <c:pt idx="1138">
                  <c:v>60.77</c:v>
                </c:pt>
                <c:pt idx="1139">
                  <c:v>47.2</c:v>
                </c:pt>
                <c:pt idx="1140">
                  <c:v>39.049999999999997</c:v>
                </c:pt>
                <c:pt idx="1141">
                  <c:v>37.770000000000003</c:v>
                </c:pt>
                <c:pt idx="1142">
                  <c:v>48.61</c:v>
                </c:pt>
                <c:pt idx="1143">
                  <c:v>57.1</c:v>
                </c:pt>
                <c:pt idx="1144">
                  <c:v>64.12</c:v>
                </c:pt>
                <c:pt idx="1145">
                  <c:v>65.739999999999995</c:v>
                </c:pt>
                <c:pt idx="1146">
                  <c:v>70.87</c:v>
                </c:pt>
                <c:pt idx="1147">
                  <c:v>82.68</c:v>
                </c:pt>
                <c:pt idx="1148">
                  <c:v>83.51</c:v>
                </c:pt>
                <c:pt idx="1149">
                  <c:v>82.29</c:v>
                </c:pt>
                <c:pt idx="1150">
                  <c:v>81.67</c:v>
                </c:pt>
                <c:pt idx="1151">
                  <c:v>90.3</c:v>
                </c:pt>
                <c:pt idx="1152">
                  <c:v>82.57</c:v>
                </c:pt>
                <c:pt idx="1153">
                  <c:v>79.3</c:v>
                </c:pt>
                <c:pt idx="1154">
                  <c:v>70.28</c:v>
                </c:pt>
                <c:pt idx="1155">
                  <c:v>65.760000000000005</c:v>
                </c:pt>
                <c:pt idx="1156">
                  <c:v>58.71</c:v>
                </c:pt>
                <c:pt idx="1157">
                  <c:v>60.95</c:v>
                </c:pt>
                <c:pt idx="1158">
                  <c:v>50.43</c:v>
                </c:pt>
                <c:pt idx="1159">
                  <c:v>46.35</c:v>
                </c:pt>
                <c:pt idx="1160">
                  <c:v>44.24</c:v>
                </c:pt>
                <c:pt idx="1161">
                  <c:v>36.33</c:v>
                </c:pt>
                <c:pt idx="1162">
                  <c:v>34.61</c:v>
                </c:pt>
                <c:pt idx="1163">
                  <c:v>59.52</c:v>
                </c:pt>
                <c:pt idx="1164">
                  <c:v>54.69</c:v>
                </c:pt>
                <c:pt idx="1165">
                  <c:v>56.36</c:v>
                </c:pt>
                <c:pt idx="1166">
                  <c:v>68.62</c:v>
                </c:pt>
                <c:pt idx="1167">
                  <c:v>61.87</c:v>
                </c:pt>
                <c:pt idx="1168">
                  <c:v>83.82</c:v>
                </c:pt>
                <c:pt idx="1169">
                  <c:v>84.71</c:v>
                </c:pt>
                <c:pt idx="1170">
                  <c:v>87.57</c:v>
                </c:pt>
                <c:pt idx="1171">
                  <c:v>89.16</c:v>
                </c:pt>
                <c:pt idx="1172">
                  <c:v>94.22</c:v>
                </c:pt>
                <c:pt idx="1173">
                  <c:v>92.32</c:v>
                </c:pt>
                <c:pt idx="1174">
                  <c:v>91.94</c:v>
                </c:pt>
                <c:pt idx="1175">
                  <c:v>78.87</c:v>
                </c:pt>
                <c:pt idx="1176">
                  <c:v>71.64</c:v>
                </c:pt>
                <c:pt idx="1177">
                  <c:v>56.01</c:v>
                </c:pt>
                <c:pt idx="1178">
                  <c:v>59.8</c:v>
                </c:pt>
                <c:pt idx="1179">
                  <c:v>48.72</c:v>
                </c:pt>
                <c:pt idx="1180">
                  <c:v>41.44</c:v>
                </c:pt>
                <c:pt idx="1181">
                  <c:v>48.1</c:v>
                </c:pt>
                <c:pt idx="1182">
                  <c:v>55.83</c:v>
                </c:pt>
                <c:pt idx="1183">
                  <c:v>46.52</c:v>
                </c:pt>
                <c:pt idx="1184">
                  <c:v>59.3</c:v>
                </c:pt>
                <c:pt idx="1185">
                  <c:v>57.16</c:v>
                </c:pt>
                <c:pt idx="1186">
                  <c:v>69.02</c:v>
                </c:pt>
                <c:pt idx="1187">
                  <c:v>77.53</c:v>
                </c:pt>
                <c:pt idx="1188">
                  <c:v>74.14</c:v>
                </c:pt>
                <c:pt idx="1189">
                  <c:v>79.239999999999995</c:v>
                </c:pt>
                <c:pt idx="1190">
                  <c:v>79.47</c:v>
                </c:pt>
                <c:pt idx="1191">
                  <c:v>85.26</c:v>
                </c:pt>
                <c:pt idx="1192">
                  <c:v>91.57</c:v>
                </c:pt>
                <c:pt idx="1193">
                  <c:v>89.57</c:v>
                </c:pt>
                <c:pt idx="1194">
                  <c:v>88.4</c:v>
                </c:pt>
                <c:pt idx="1195">
                  <c:v>70.28</c:v>
                </c:pt>
                <c:pt idx="1196">
                  <c:v>61.53</c:v>
                </c:pt>
                <c:pt idx="1197">
                  <c:v>24.36</c:v>
                </c:pt>
                <c:pt idx="1198">
                  <c:v>28.14</c:v>
                </c:pt>
                <c:pt idx="1199">
                  <c:v>36.82</c:v>
                </c:pt>
                <c:pt idx="1200">
                  <c:v>43.43</c:v>
                </c:pt>
                <c:pt idx="1201">
                  <c:v>44.96</c:v>
                </c:pt>
                <c:pt idx="1202">
                  <c:v>57.06</c:v>
                </c:pt>
                <c:pt idx="1203">
                  <c:v>63.81</c:v>
                </c:pt>
                <c:pt idx="1204">
                  <c:v>69.489999999999995</c:v>
                </c:pt>
                <c:pt idx="1205">
                  <c:v>65.010000000000005</c:v>
                </c:pt>
                <c:pt idx="1206">
                  <c:v>72.88</c:v>
                </c:pt>
                <c:pt idx="1207">
                  <c:v>79.22</c:v>
                </c:pt>
                <c:pt idx="1208">
                  <c:v>74.37</c:v>
                </c:pt>
                <c:pt idx="1209">
                  <c:v>75.849999999999994</c:v>
                </c:pt>
                <c:pt idx="1210">
                  <c:v>68.599999999999994</c:v>
                </c:pt>
                <c:pt idx="1211">
                  <c:v>69.31</c:v>
                </c:pt>
                <c:pt idx="1212">
                  <c:v>56.32</c:v>
                </c:pt>
                <c:pt idx="1213">
                  <c:v>44.34</c:v>
                </c:pt>
                <c:pt idx="1214">
                  <c:v>44.42</c:v>
                </c:pt>
                <c:pt idx="1215">
                  <c:v>39.42</c:v>
                </c:pt>
                <c:pt idx="1216">
                  <c:v>28.43</c:v>
                </c:pt>
                <c:pt idx="1217">
                  <c:v>32.56</c:v>
                </c:pt>
                <c:pt idx="1218">
                  <c:v>26.39</c:v>
                </c:pt>
                <c:pt idx="1219">
                  <c:v>28.89</c:v>
                </c:pt>
                <c:pt idx="1220">
                  <c:v>33.520000000000003</c:v>
                </c:pt>
                <c:pt idx="1221">
                  <c:v>41.42</c:v>
                </c:pt>
                <c:pt idx="1222">
                  <c:v>36.04</c:v>
                </c:pt>
                <c:pt idx="1223">
                  <c:v>44.42</c:v>
                </c:pt>
                <c:pt idx="1224">
                  <c:v>53.63</c:v>
                </c:pt>
                <c:pt idx="1225">
                  <c:v>70.09</c:v>
                </c:pt>
                <c:pt idx="1226">
                  <c:v>69.53</c:v>
                </c:pt>
                <c:pt idx="1227">
                  <c:v>70.8</c:v>
                </c:pt>
                <c:pt idx="1228">
                  <c:v>74.22</c:v>
                </c:pt>
                <c:pt idx="1229">
                  <c:v>75.33</c:v>
                </c:pt>
                <c:pt idx="1230">
                  <c:v>74.69</c:v>
                </c:pt>
                <c:pt idx="1231">
                  <c:v>69.16</c:v>
                </c:pt>
                <c:pt idx="1232">
                  <c:v>69.14</c:v>
                </c:pt>
                <c:pt idx="1233">
                  <c:v>56.44</c:v>
                </c:pt>
                <c:pt idx="1234">
                  <c:v>42.81</c:v>
                </c:pt>
                <c:pt idx="1235">
                  <c:v>47.8</c:v>
                </c:pt>
                <c:pt idx="1236">
                  <c:v>49.11</c:v>
                </c:pt>
                <c:pt idx="1237">
                  <c:v>45.35</c:v>
                </c:pt>
                <c:pt idx="1238">
                  <c:v>34.61</c:v>
                </c:pt>
                <c:pt idx="1239">
                  <c:v>40.58</c:v>
                </c:pt>
                <c:pt idx="1240">
                  <c:v>35.68</c:v>
                </c:pt>
                <c:pt idx="1241">
                  <c:v>37.47</c:v>
                </c:pt>
                <c:pt idx="1242">
                  <c:v>41.72</c:v>
                </c:pt>
                <c:pt idx="1243">
                  <c:v>46.38</c:v>
                </c:pt>
                <c:pt idx="1244">
                  <c:v>50.75</c:v>
                </c:pt>
                <c:pt idx="1245">
                  <c:v>56.72</c:v>
                </c:pt>
                <c:pt idx="1246">
                  <c:v>70.010000000000005</c:v>
                </c:pt>
                <c:pt idx="1247">
                  <c:v>61.71</c:v>
                </c:pt>
                <c:pt idx="1248">
                  <c:v>77.41</c:v>
                </c:pt>
                <c:pt idx="1249">
                  <c:v>72.989999999999995</c:v>
                </c:pt>
                <c:pt idx="1250">
                  <c:v>76.739999999999995</c:v>
                </c:pt>
                <c:pt idx="1251">
                  <c:v>73.3</c:v>
                </c:pt>
                <c:pt idx="1252">
                  <c:v>62.09</c:v>
                </c:pt>
                <c:pt idx="1253">
                  <c:v>54.18</c:v>
                </c:pt>
                <c:pt idx="1254">
                  <c:v>15.25</c:v>
                </c:pt>
                <c:pt idx="1255">
                  <c:v>18.75</c:v>
                </c:pt>
                <c:pt idx="1256">
                  <c:v>33.15</c:v>
                </c:pt>
                <c:pt idx="1257">
                  <c:v>36.07</c:v>
                </c:pt>
                <c:pt idx="1258">
                  <c:v>40.5</c:v>
                </c:pt>
                <c:pt idx="1259">
                  <c:v>56.82</c:v>
                </c:pt>
                <c:pt idx="1260">
                  <c:v>61.04</c:v>
                </c:pt>
                <c:pt idx="1261">
                  <c:v>64.94</c:v>
                </c:pt>
                <c:pt idx="1262">
                  <c:v>58.35</c:v>
                </c:pt>
                <c:pt idx="1263">
                  <c:v>64.760000000000005</c:v>
                </c:pt>
                <c:pt idx="1264">
                  <c:v>77.16</c:v>
                </c:pt>
                <c:pt idx="1265">
                  <c:v>70.03</c:v>
                </c:pt>
                <c:pt idx="1266">
                  <c:v>72.91</c:v>
                </c:pt>
                <c:pt idx="1267">
                  <c:v>63.21</c:v>
                </c:pt>
                <c:pt idx="1268">
                  <c:v>62.07</c:v>
                </c:pt>
                <c:pt idx="1269">
                  <c:v>50.75</c:v>
                </c:pt>
                <c:pt idx="1270">
                  <c:v>36.6</c:v>
                </c:pt>
                <c:pt idx="1271">
                  <c:v>35.590000000000003</c:v>
                </c:pt>
                <c:pt idx="1272">
                  <c:v>34.299999999999997</c:v>
                </c:pt>
                <c:pt idx="1273">
                  <c:v>20.12</c:v>
                </c:pt>
                <c:pt idx="1274">
                  <c:v>27.81</c:v>
                </c:pt>
                <c:pt idx="1275">
                  <c:v>14.5</c:v>
                </c:pt>
                <c:pt idx="1276">
                  <c:v>21.52</c:v>
                </c:pt>
                <c:pt idx="1277">
                  <c:v>20.67</c:v>
                </c:pt>
                <c:pt idx="1278">
                  <c:v>29.36</c:v>
                </c:pt>
                <c:pt idx="1279">
                  <c:v>29.44</c:v>
                </c:pt>
                <c:pt idx="1280">
                  <c:v>36.74</c:v>
                </c:pt>
                <c:pt idx="1281">
                  <c:v>50.07</c:v>
                </c:pt>
                <c:pt idx="1282">
                  <c:v>67.209999999999994</c:v>
                </c:pt>
                <c:pt idx="1283">
                  <c:v>65.23</c:v>
                </c:pt>
                <c:pt idx="1284">
                  <c:v>65.650000000000006</c:v>
                </c:pt>
                <c:pt idx="1285">
                  <c:v>69.92</c:v>
                </c:pt>
                <c:pt idx="1286">
                  <c:v>69.53</c:v>
                </c:pt>
                <c:pt idx="1287">
                  <c:v>69.86</c:v>
                </c:pt>
                <c:pt idx="1288">
                  <c:v>65.33</c:v>
                </c:pt>
                <c:pt idx="1289">
                  <c:v>66.040000000000006</c:v>
                </c:pt>
                <c:pt idx="1290">
                  <c:v>49</c:v>
                </c:pt>
                <c:pt idx="1291">
                  <c:v>39.18</c:v>
                </c:pt>
                <c:pt idx="1292">
                  <c:v>44.04</c:v>
                </c:pt>
                <c:pt idx="1293">
                  <c:v>43.6</c:v>
                </c:pt>
                <c:pt idx="1294">
                  <c:v>36.4</c:v>
                </c:pt>
                <c:pt idx="1295">
                  <c:v>24.29</c:v>
                </c:pt>
                <c:pt idx="1296">
                  <c:v>29.71</c:v>
                </c:pt>
                <c:pt idx="1297">
                  <c:v>26.6</c:v>
                </c:pt>
                <c:pt idx="1298">
                  <c:v>25.91</c:v>
                </c:pt>
                <c:pt idx="1299">
                  <c:v>33.11</c:v>
                </c:pt>
                <c:pt idx="1300">
                  <c:v>37.43</c:v>
                </c:pt>
                <c:pt idx="1301">
                  <c:v>45.88</c:v>
                </c:pt>
                <c:pt idx="1302">
                  <c:v>52.9</c:v>
                </c:pt>
                <c:pt idx="1303">
                  <c:v>66.22</c:v>
                </c:pt>
                <c:pt idx="1304">
                  <c:v>56.82</c:v>
                </c:pt>
                <c:pt idx="1305">
                  <c:v>70.86</c:v>
                </c:pt>
                <c:pt idx="1306">
                  <c:v>71.510000000000005</c:v>
                </c:pt>
                <c:pt idx="1307">
                  <c:v>71.12</c:v>
                </c:pt>
                <c:pt idx="1308">
                  <c:v>66.739999999999995</c:v>
                </c:pt>
                <c:pt idx="1309">
                  <c:v>56.65</c:v>
                </c:pt>
                <c:pt idx="1310">
                  <c:v>48.1</c:v>
                </c:pt>
                <c:pt idx="1311">
                  <c:v>22.43</c:v>
                </c:pt>
                <c:pt idx="1312">
                  <c:v>25.94</c:v>
                </c:pt>
                <c:pt idx="1313">
                  <c:v>36.729999999999997</c:v>
                </c:pt>
                <c:pt idx="1314">
                  <c:v>42.31</c:v>
                </c:pt>
                <c:pt idx="1315">
                  <c:v>45.22</c:v>
                </c:pt>
                <c:pt idx="1316">
                  <c:v>62.06</c:v>
                </c:pt>
                <c:pt idx="1317">
                  <c:v>66.650000000000006</c:v>
                </c:pt>
                <c:pt idx="1318">
                  <c:v>71.989999999999995</c:v>
                </c:pt>
                <c:pt idx="1319">
                  <c:v>64.84</c:v>
                </c:pt>
                <c:pt idx="1320">
                  <c:v>71.12</c:v>
                </c:pt>
                <c:pt idx="1321">
                  <c:v>79.05</c:v>
                </c:pt>
                <c:pt idx="1322">
                  <c:v>74.540000000000006</c:v>
                </c:pt>
                <c:pt idx="1323">
                  <c:v>73.52</c:v>
                </c:pt>
                <c:pt idx="1324">
                  <c:v>67.11</c:v>
                </c:pt>
                <c:pt idx="1325">
                  <c:v>66.88</c:v>
                </c:pt>
                <c:pt idx="1326">
                  <c:v>54.82</c:v>
                </c:pt>
                <c:pt idx="1327">
                  <c:v>42.2</c:v>
                </c:pt>
                <c:pt idx="1328">
                  <c:v>41.76</c:v>
                </c:pt>
                <c:pt idx="1329">
                  <c:v>37.08</c:v>
                </c:pt>
                <c:pt idx="1330">
                  <c:v>27.11</c:v>
                </c:pt>
                <c:pt idx="1331">
                  <c:v>30.72</c:v>
                </c:pt>
                <c:pt idx="1332">
                  <c:v>23.83</c:v>
                </c:pt>
                <c:pt idx="1333">
                  <c:v>26.51</c:v>
                </c:pt>
                <c:pt idx="1334">
                  <c:v>31.36</c:v>
                </c:pt>
                <c:pt idx="1335">
                  <c:v>39.51</c:v>
                </c:pt>
                <c:pt idx="1336">
                  <c:v>35.729999999999997</c:v>
                </c:pt>
                <c:pt idx="1337">
                  <c:v>44.7</c:v>
                </c:pt>
                <c:pt idx="1338">
                  <c:v>55.75</c:v>
                </c:pt>
                <c:pt idx="1339">
                  <c:v>73.12</c:v>
                </c:pt>
                <c:pt idx="1340">
                  <c:v>70.02</c:v>
                </c:pt>
                <c:pt idx="1341">
                  <c:v>70.27</c:v>
                </c:pt>
                <c:pt idx="1342">
                  <c:v>72.56</c:v>
                </c:pt>
                <c:pt idx="1343">
                  <c:v>74.64</c:v>
                </c:pt>
                <c:pt idx="1344">
                  <c:v>72.52</c:v>
                </c:pt>
                <c:pt idx="1345">
                  <c:v>68.14</c:v>
                </c:pt>
                <c:pt idx="1346">
                  <c:v>68.319999999999993</c:v>
                </c:pt>
                <c:pt idx="1347">
                  <c:v>53.87</c:v>
                </c:pt>
                <c:pt idx="1348">
                  <c:v>39.869999999999997</c:v>
                </c:pt>
                <c:pt idx="1349">
                  <c:v>46.78</c:v>
                </c:pt>
                <c:pt idx="1350">
                  <c:v>47.21</c:v>
                </c:pt>
                <c:pt idx="1351">
                  <c:v>42.3</c:v>
                </c:pt>
                <c:pt idx="1352">
                  <c:v>32.86</c:v>
                </c:pt>
                <c:pt idx="1353">
                  <c:v>38.61</c:v>
                </c:pt>
                <c:pt idx="1354">
                  <c:v>33.82</c:v>
                </c:pt>
                <c:pt idx="1355">
                  <c:v>35.36</c:v>
                </c:pt>
                <c:pt idx="1356">
                  <c:v>41.5</c:v>
                </c:pt>
                <c:pt idx="1357">
                  <c:v>45.25</c:v>
                </c:pt>
                <c:pt idx="1358">
                  <c:v>52.14</c:v>
                </c:pt>
                <c:pt idx="1359">
                  <c:v>58.7</c:v>
                </c:pt>
                <c:pt idx="1360">
                  <c:v>71.790000000000006</c:v>
                </c:pt>
                <c:pt idx="1361">
                  <c:v>59.93</c:v>
                </c:pt>
                <c:pt idx="1362">
                  <c:v>77.180000000000007</c:v>
                </c:pt>
                <c:pt idx="1363">
                  <c:v>73.260000000000005</c:v>
                </c:pt>
                <c:pt idx="1364">
                  <c:v>75.53</c:v>
                </c:pt>
                <c:pt idx="1365">
                  <c:v>72.81</c:v>
                </c:pt>
                <c:pt idx="1366">
                  <c:v>60.35</c:v>
                </c:pt>
                <c:pt idx="1367">
                  <c:v>51.64</c:v>
                </c:pt>
                <c:pt idx="1368">
                  <c:v>21.1</c:v>
                </c:pt>
                <c:pt idx="1369">
                  <c:v>19.64</c:v>
                </c:pt>
                <c:pt idx="1370">
                  <c:v>29.45</c:v>
                </c:pt>
                <c:pt idx="1371">
                  <c:v>40.049999999999997</c:v>
                </c:pt>
                <c:pt idx="1372">
                  <c:v>47.2</c:v>
                </c:pt>
                <c:pt idx="1373">
                  <c:v>61.36</c:v>
                </c:pt>
                <c:pt idx="1374">
                  <c:v>63.67</c:v>
                </c:pt>
                <c:pt idx="1375">
                  <c:v>69.22</c:v>
                </c:pt>
                <c:pt idx="1376">
                  <c:v>63.68</c:v>
                </c:pt>
                <c:pt idx="1377">
                  <c:v>66.42</c:v>
                </c:pt>
                <c:pt idx="1378">
                  <c:v>75.239999999999995</c:v>
                </c:pt>
                <c:pt idx="1379">
                  <c:v>71.790000000000006</c:v>
                </c:pt>
                <c:pt idx="1380">
                  <c:v>71.17</c:v>
                </c:pt>
                <c:pt idx="1381">
                  <c:v>61.14</c:v>
                </c:pt>
                <c:pt idx="1382">
                  <c:v>57.56</c:v>
                </c:pt>
                <c:pt idx="1383">
                  <c:v>48.46</c:v>
                </c:pt>
                <c:pt idx="1384">
                  <c:v>38.799999999999997</c:v>
                </c:pt>
                <c:pt idx="1385">
                  <c:v>40.68</c:v>
                </c:pt>
                <c:pt idx="1386">
                  <c:v>32.409999999999997</c:v>
                </c:pt>
                <c:pt idx="1387">
                  <c:v>22.65</c:v>
                </c:pt>
                <c:pt idx="1388">
                  <c:v>29</c:v>
                </c:pt>
                <c:pt idx="1389">
                  <c:v>23.94</c:v>
                </c:pt>
                <c:pt idx="1390">
                  <c:v>21.18</c:v>
                </c:pt>
                <c:pt idx="1391">
                  <c:v>31.59</c:v>
                </c:pt>
                <c:pt idx="1392">
                  <c:v>36.729999999999997</c:v>
                </c:pt>
                <c:pt idx="1393">
                  <c:v>28.5</c:v>
                </c:pt>
                <c:pt idx="1394">
                  <c:v>42.11</c:v>
                </c:pt>
                <c:pt idx="1395">
                  <c:v>49.5</c:v>
                </c:pt>
                <c:pt idx="1396">
                  <c:v>70.69</c:v>
                </c:pt>
                <c:pt idx="1397">
                  <c:v>71.45</c:v>
                </c:pt>
                <c:pt idx="1398">
                  <c:v>66.61</c:v>
                </c:pt>
                <c:pt idx="1399">
                  <c:v>71.64</c:v>
                </c:pt>
                <c:pt idx="1400">
                  <c:v>74</c:v>
                </c:pt>
                <c:pt idx="1401">
                  <c:v>70.930000000000007</c:v>
                </c:pt>
                <c:pt idx="1402">
                  <c:v>67.2</c:v>
                </c:pt>
                <c:pt idx="1403">
                  <c:v>67.510000000000005</c:v>
                </c:pt>
                <c:pt idx="1404">
                  <c:v>50.82</c:v>
                </c:pt>
                <c:pt idx="1405">
                  <c:v>40.880000000000003</c:v>
                </c:pt>
                <c:pt idx="1406">
                  <c:v>44.81</c:v>
                </c:pt>
                <c:pt idx="1407">
                  <c:v>42.85</c:v>
                </c:pt>
                <c:pt idx="1408">
                  <c:v>38.69</c:v>
                </c:pt>
                <c:pt idx="1409">
                  <c:v>30.23</c:v>
                </c:pt>
                <c:pt idx="1410">
                  <c:v>34.979999999999997</c:v>
                </c:pt>
                <c:pt idx="1411">
                  <c:v>32.47</c:v>
                </c:pt>
                <c:pt idx="1412">
                  <c:v>36.01</c:v>
                </c:pt>
                <c:pt idx="1413">
                  <c:v>37.44</c:v>
                </c:pt>
                <c:pt idx="1414">
                  <c:v>44.73</c:v>
                </c:pt>
                <c:pt idx="1415">
                  <c:v>58.76</c:v>
                </c:pt>
                <c:pt idx="1416">
                  <c:v>59.21</c:v>
                </c:pt>
                <c:pt idx="1417">
                  <c:v>69.540000000000006</c:v>
                </c:pt>
                <c:pt idx="1418">
                  <c:v>58.48</c:v>
                </c:pt>
                <c:pt idx="1419">
                  <c:v>75.52</c:v>
                </c:pt>
                <c:pt idx="1420">
                  <c:v>72.08</c:v>
                </c:pt>
                <c:pt idx="1421">
                  <c:v>71.930000000000007</c:v>
                </c:pt>
                <c:pt idx="1422">
                  <c:v>72.790000000000006</c:v>
                </c:pt>
                <c:pt idx="1423">
                  <c:v>57.58</c:v>
                </c:pt>
                <c:pt idx="1424">
                  <c:v>43.74</c:v>
                </c:pt>
                <c:pt idx="1425">
                  <c:v>9.5500000000000007</c:v>
                </c:pt>
                <c:pt idx="1426">
                  <c:v>18.14</c:v>
                </c:pt>
                <c:pt idx="1427">
                  <c:v>28.6</c:v>
                </c:pt>
                <c:pt idx="1428">
                  <c:v>31.1</c:v>
                </c:pt>
                <c:pt idx="1429">
                  <c:v>36.53</c:v>
                </c:pt>
                <c:pt idx="1430">
                  <c:v>50.13</c:v>
                </c:pt>
                <c:pt idx="1431">
                  <c:v>54.72</c:v>
                </c:pt>
                <c:pt idx="1432">
                  <c:v>58.46</c:v>
                </c:pt>
                <c:pt idx="1433">
                  <c:v>51.62</c:v>
                </c:pt>
                <c:pt idx="1434">
                  <c:v>58.9</c:v>
                </c:pt>
                <c:pt idx="1435">
                  <c:v>71.08</c:v>
                </c:pt>
                <c:pt idx="1436">
                  <c:v>62.93</c:v>
                </c:pt>
                <c:pt idx="1437">
                  <c:v>66.930000000000007</c:v>
                </c:pt>
                <c:pt idx="1438">
                  <c:v>54.82</c:v>
                </c:pt>
                <c:pt idx="1439">
                  <c:v>57.8</c:v>
                </c:pt>
                <c:pt idx="1440">
                  <c:v>46.81</c:v>
                </c:pt>
                <c:pt idx="1441">
                  <c:v>30.51</c:v>
                </c:pt>
                <c:pt idx="1442">
                  <c:v>37.51</c:v>
                </c:pt>
                <c:pt idx="1443">
                  <c:v>27.73</c:v>
                </c:pt>
                <c:pt idx="1444">
                  <c:v>16.600000000000001</c:v>
                </c:pt>
                <c:pt idx="1445">
                  <c:v>21.13</c:v>
                </c:pt>
                <c:pt idx="1446">
                  <c:v>11.17</c:v>
                </c:pt>
                <c:pt idx="1447">
                  <c:v>15.12</c:v>
                </c:pt>
                <c:pt idx="1448">
                  <c:v>14.31</c:v>
                </c:pt>
                <c:pt idx="1449">
                  <c:v>28.13</c:v>
                </c:pt>
                <c:pt idx="1450">
                  <c:v>22.99</c:v>
                </c:pt>
                <c:pt idx="1451">
                  <c:v>29.09</c:v>
                </c:pt>
                <c:pt idx="1452">
                  <c:v>45</c:v>
                </c:pt>
                <c:pt idx="1453">
                  <c:v>60.49</c:v>
                </c:pt>
                <c:pt idx="1454">
                  <c:v>59.85</c:v>
                </c:pt>
                <c:pt idx="1455">
                  <c:v>59.89</c:v>
                </c:pt>
                <c:pt idx="1456">
                  <c:v>63.34</c:v>
                </c:pt>
                <c:pt idx="1457">
                  <c:v>63.16</c:v>
                </c:pt>
                <c:pt idx="1458">
                  <c:v>62.99</c:v>
                </c:pt>
                <c:pt idx="1459">
                  <c:v>59.67</c:v>
                </c:pt>
                <c:pt idx="1460">
                  <c:v>60.98</c:v>
                </c:pt>
                <c:pt idx="1461">
                  <c:v>46.84</c:v>
                </c:pt>
                <c:pt idx="1462">
                  <c:v>31.7</c:v>
                </c:pt>
                <c:pt idx="1463">
                  <c:v>40.08</c:v>
                </c:pt>
                <c:pt idx="1464">
                  <c:v>36.74</c:v>
                </c:pt>
                <c:pt idx="1465">
                  <c:v>34.24</c:v>
                </c:pt>
                <c:pt idx="1466">
                  <c:v>22.94</c:v>
                </c:pt>
                <c:pt idx="1467">
                  <c:v>25.24</c:v>
                </c:pt>
                <c:pt idx="1468">
                  <c:v>23.89</c:v>
                </c:pt>
                <c:pt idx="1469">
                  <c:v>22.49</c:v>
                </c:pt>
                <c:pt idx="1470">
                  <c:v>29.03</c:v>
                </c:pt>
                <c:pt idx="1471">
                  <c:v>33.35</c:v>
                </c:pt>
                <c:pt idx="1472">
                  <c:v>40.29</c:v>
                </c:pt>
                <c:pt idx="1473">
                  <c:v>47.11</c:v>
                </c:pt>
                <c:pt idx="1474">
                  <c:v>58.51</c:v>
                </c:pt>
                <c:pt idx="1475">
                  <c:v>49.43</c:v>
                </c:pt>
                <c:pt idx="1476">
                  <c:v>64.94</c:v>
                </c:pt>
                <c:pt idx="1477">
                  <c:v>65.599999999999994</c:v>
                </c:pt>
                <c:pt idx="1478">
                  <c:v>67.010000000000005</c:v>
                </c:pt>
                <c:pt idx="1479">
                  <c:v>61.58</c:v>
                </c:pt>
                <c:pt idx="1480">
                  <c:v>54.07</c:v>
                </c:pt>
                <c:pt idx="1481">
                  <c:v>45.19</c:v>
                </c:pt>
                <c:pt idx="1482">
                  <c:v>27.19</c:v>
                </c:pt>
                <c:pt idx="1483">
                  <c:v>29.81</c:v>
                </c:pt>
                <c:pt idx="1484">
                  <c:v>38.07</c:v>
                </c:pt>
                <c:pt idx="1485">
                  <c:v>45.98</c:v>
                </c:pt>
                <c:pt idx="1486">
                  <c:v>46.9</c:v>
                </c:pt>
                <c:pt idx="1487">
                  <c:v>62.62</c:v>
                </c:pt>
                <c:pt idx="1488">
                  <c:v>69.02</c:v>
                </c:pt>
                <c:pt idx="1489">
                  <c:v>74.290000000000006</c:v>
                </c:pt>
                <c:pt idx="1490">
                  <c:v>68.900000000000006</c:v>
                </c:pt>
                <c:pt idx="1491">
                  <c:v>76.25</c:v>
                </c:pt>
                <c:pt idx="1492">
                  <c:v>82.69</c:v>
                </c:pt>
                <c:pt idx="1493">
                  <c:v>77.45</c:v>
                </c:pt>
                <c:pt idx="1494">
                  <c:v>78.52</c:v>
                </c:pt>
                <c:pt idx="1495">
                  <c:v>70.38</c:v>
                </c:pt>
                <c:pt idx="1496">
                  <c:v>70.19</c:v>
                </c:pt>
                <c:pt idx="1497">
                  <c:v>57.78</c:v>
                </c:pt>
                <c:pt idx="1498">
                  <c:v>45.91</c:v>
                </c:pt>
                <c:pt idx="1499">
                  <c:v>45.9</c:v>
                </c:pt>
                <c:pt idx="1500">
                  <c:v>41.81</c:v>
                </c:pt>
                <c:pt idx="1501">
                  <c:v>30.83</c:v>
                </c:pt>
                <c:pt idx="1502">
                  <c:v>34.42</c:v>
                </c:pt>
                <c:pt idx="1503">
                  <c:v>28.7</c:v>
                </c:pt>
                <c:pt idx="1504">
                  <c:v>30.45</c:v>
                </c:pt>
                <c:pt idx="1505">
                  <c:v>36.99</c:v>
                </c:pt>
                <c:pt idx="1506">
                  <c:v>43.64</c:v>
                </c:pt>
                <c:pt idx="1507">
                  <c:v>37.270000000000003</c:v>
                </c:pt>
                <c:pt idx="1508">
                  <c:v>46.87</c:v>
                </c:pt>
                <c:pt idx="1509">
                  <c:v>56.48</c:v>
                </c:pt>
                <c:pt idx="1510">
                  <c:v>74.17</c:v>
                </c:pt>
                <c:pt idx="1511">
                  <c:v>73.260000000000005</c:v>
                </c:pt>
                <c:pt idx="1512">
                  <c:v>73.760000000000005</c:v>
                </c:pt>
                <c:pt idx="1513">
                  <c:v>76.87</c:v>
                </c:pt>
                <c:pt idx="1514">
                  <c:v>78.14</c:v>
                </c:pt>
                <c:pt idx="1515">
                  <c:v>76.67</c:v>
                </c:pt>
                <c:pt idx="1516">
                  <c:v>71.44</c:v>
                </c:pt>
                <c:pt idx="1517">
                  <c:v>70.930000000000007</c:v>
                </c:pt>
                <c:pt idx="1518">
                  <c:v>56.91</c:v>
                </c:pt>
                <c:pt idx="1519">
                  <c:v>44.46</c:v>
                </c:pt>
                <c:pt idx="1520">
                  <c:v>49.69</c:v>
                </c:pt>
                <c:pt idx="1521">
                  <c:v>50.55</c:v>
                </c:pt>
                <c:pt idx="1522">
                  <c:v>46.28</c:v>
                </c:pt>
                <c:pt idx="1523">
                  <c:v>35.799999999999997</c:v>
                </c:pt>
                <c:pt idx="1524">
                  <c:v>42.52</c:v>
                </c:pt>
                <c:pt idx="1525">
                  <c:v>37.86</c:v>
                </c:pt>
                <c:pt idx="1526">
                  <c:v>40.07</c:v>
                </c:pt>
                <c:pt idx="1527">
                  <c:v>44.32</c:v>
                </c:pt>
                <c:pt idx="1528">
                  <c:v>48.73</c:v>
                </c:pt>
                <c:pt idx="1529">
                  <c:v>53.68</c:v>
                </c:pt>
                <c:pt idx="1530">
                  <c:v>58.97</c:v>
                </c:pt>
                <c:pt idx="1531">
                  <c:v>73.400000000000006</c:v>
                </c:pt>
                <c:pt idx="1532">
                  <c:v>64.05</c:v>
                </c:pt>
                <c:pt idx="1533">
                  <c:v>82.08</c:v>
                </c:pt>
                <c:pt idx="1534">
                  <c:v>75.22</c:v>
                </c:pt>
                <c:pt idx="1535">
                  <c:v>78.44</c:v>
                </c:pt>
                <c:pt idx="1536">
                  <c:v>76</c:v>
                </c:pt>
                <c:pt idx="1537">
                  <c:v>64.5</c:v>
                </c:pt>
                <c:pt idx="1538">
                  <c:v>55.4</c:v>
                </c:pt>
                <c:pt idx="1539">
                  <c:v>49.47</c:v>
                </c:pt>
                <c:pt idx="1540">
                  <c:v>47.87</c:v>
                </c:pt>
                <c:pt idx="1541">
                  <c:v>53.77</c:v>
                </c:pt>
                <c:pt idx="1542">
                  <c:v>50.11</c:v>
                </c:pt>
                <c:pt idx="1543">
                  <c:v>59.84</c:v>
                </c:pt>
                <c:pt idx="1544">
                  <c:v>59.25</c:v>
                </c:pt>
                <c:pt idx="1545">
                  <c:v>70.150000000000006</c:v>
                </c:pt>
                <c:pt idx="1546">
                  <c:v>81.39</c:v>
                </c:pt>
                <c:pt idx="1547">
                  <c:v>90.84</c:v>
                </c:pt>
                <c:pt idx="1548">
                  <c:v>91.98</c:v>
                </c:pt>
                <c:pt idx="1549">
                  <c:v>90.37</c:v>
                </c:pt>
                <c:pt idx="1550">
                  <c:v>92.95</c:v>
                </c:pt>
                <c:pt idx="1551">
                  <c:v>83.12</c:v>
                </c:pt>
                <c:pt idx="1552">
                  <c:v>83.63</c:v>
                </c:pt>
                <c:pt idx="1553">
                  <c:v>85.2</c:v>
                </c:pt>
                <c:pt idx="1554">
                  <c:v>71.819999999999993</c:v>
                </c:pt>
                <c:pt idx="1555">
                  <c:v>65.489999999999995</c:v>
                </c:pt>
                <c:pt idx="1556">
                  <c:v>57.79</c:v>
                </c:pt>
                <c:pt idx="1557">
                  <c:v>43.33</c:v>
                </c:pt>
                <c:pt idx="1558">
                  <c:v>50.01</c:v>
                </c:pt>
                <c:pt idx="1559">
                  <c:v>37.64</c:v>
                </c:pt>
                <c:pt idx="1560">
                  <c:v>45.14</c:v>
                </c:pt>
                <c:pt idx="1561">
                  <c:v>51.3</c:v>
                </c:pt>
                <c:pt idx="1562">
                  <c:v>51.72</c:v>
                </c:pt>
                <c:pt idx="1563">
                  <c:v>57.75</c:v>
                </c:pt>
                <c:pt idx="1564">
                  <c:v>63.63</c:v>
                </c:pt>
                <c:pt idx="1565">
                  <c:v>64.47</c:v>
                </c:pt>
                <c:pt idx="1566">
                  <c:v>68.400000000000006</c:v>
                </c:pt>
                <c:pt idx="1567">
                  <c:v>71.81</c:v>
                </c:pt>
                <c:pt idx="1568">
                  <c:v>78.72</c:v>
                </c:pt>
                <c:pt idx="1569">
                  <c:v>89.85</c:v>
                </c:pt>
                <c:pt idx="1570">
                  <c:v>89.9</c:v>
                </c:pt>
                <c:pt idx="1571">
                  <c:v>90.61</c:v>
                </c:pt>
                <c:pt idx="1572">
                  <c:v>91.04</c:v>
                </c:pt>
                <c:pt idx="1573">
                  <c:v>93.66</c:v>
                </c:pt>
                <c:pt idx="1574">
                  <c:v>88</c:v>
                </c:pt>
                <c:pt idx="1575">
                  <c:v>70.44</c:v>
                </c:pt>
                <c:pt idx="1576">
                  <c:v>59.77</c:v>
                </c:pt>
                <c:pt idx="1577">
                  <c:v>48.76</c:v>
                </c:pt>
                <c:pt idx="1578">
                  <c:v>52.5</c:v>
                </c:pt>
                <c:pt idx="1579">
                  <c:v>42.17</c:v>
                </c:pt>
                <c:pt idx="1580">
                  <c:v>50.43</c:v>
                </c:pt>
                <c:pt idx="1581">
                  <c:v>50.58</c:v>
                </c:pt>
                <c:pt idx="1582">
                  <c:v>52.27</c:v>
                </c:pt>
                <c:pt idx="1583">
                  <c:v>52.27</c:v>
                </c:pt>
                <c:pt idx="1584">
                  <c:v>54.54</c:v>
                </c:pt>
                <c:pt idx="1585">
                  <c:v>64.05</c:v>
                </c:pt>
                <c:pt idx="1586">
                  <c:v>76.03</c:v>
                </c:pt>
                <c:pt idx="1587">
                  <c:v>77.27</c:v>
                </c:pt>
                <c:pt idx="1588">
                  <c:v>78.11</c:v>
                </c:pt>
                <c:pt idx="1589">
                  <c:v>84.83</c:v>
                </c:pt>
                <c:pt idx="1590">
                  <c:v>89.13</c:v>
                </c:pt>
                <c:pt idx="1591">
                  <c:v>88.16</c:v>
                </c:pt>
                <c:pt idx="1592">
                  <c:v>95.91</c:v>
                </c:pt>
                <c:pt idx="1593">
                  <c:v>88.52</c:v>
                </c:pt>
                <c:pt idx="1594">
                  <c:v>81.61</c:v>
                </c:pt>
                <c:pt idx="1595">
                  <c:v>71.739999999999995</c:v>
                </c:pt>
                <c:pt idx="1596">
                  <c:v>24.36</c:v>
                </c:pt>
                <c:pt idx="1597">
                  <c:v>28.14</c:v>
                </c:pt>
                <c:pt idx="1598">
                  <c:v>36.82</c:v>
                </c:pt>
                <c:pt idx="1599">
                  <c:v>43.43</c:v>
                </c:pt>
                <c:pt idx="1600">
                  <c:v>44.96</c:v>
                </c:pt>
                <c:pt idx="1601">
                  <c:v>57.06</c:v>
                </c:pt>
                <c:pt idx="1602">
                  <c:v>63.81</c:v>
                </c:pt>
                <c:pt idx="1603">
                  <c:v>69.489999999999995</c:v>
                </c:pt>
                <c:pt idx="1604">
                  <c:v>65.010000000000005</c:v>
                </c:pt>
                <c:pt idx="1605">
                  <c:v>72.88</c:v>
                </c:pt>
                <c:pt idx="1606">
                  <c:v>79.22</c:v>
                </c:pt>
                <c:pt idx="1607">
                  <c:v>74.37</c:v>
                </c:pt>
                <c:pt idx="1608">
                  <c:v>75.849999999999994</c:v>
                </c:pt>
                <c:pt idx="1609">
                  <c:v>68.599999999999994</c:v>
                </c:pt>
                <c:pt idx="1610">
                  <c:v>69.31</c:v>
                </c:pt>
                <c:pt idx="1611">
                  <c:v>56.32</c:v>
                </c:pt>
                <c:pt idx="1612">
                  <c:v>44.34</c:v>
                </c:pt>
                <c:pt idx="1613">
                  <c:v>44.42</c:v>
                </c:pt>
                <c:pt idx="1614">
                  <c:v>39.42</c:v>
                </c:pt>
                <c:pt idx="1615">
                  <c:v>28.43</c:v>
                </c:pt>
                <c:pt idx="1616">
                  <c:v>32.56</c:v>
                </c:pt>
                <c:pt idx="1617">
                  <c:v>26.39</c:v>
                </c:pt>
                <c:pt idx="1618">
                  <c:v>28.89</c:v>
                </c:pt>
                <c:pt idx="1619">
                  <c:v>33.520000000000003</c:v>
                </c:pt>
                <c:pt idx="1620">
                  <c:v>41.42</c:v>
                </c:pt>
                <c:pt idx="1621">
                  <c:v>36.04</c:v>
                </c:pt>
                <c:pt idx="1622">
                  <c:v>44.42</c:v>
                </c:pt>
                <c:pt idx="1623">
                  <c:v>53.63</c:v>
                </c:pt>
                <c:pt idx="1624">
                  <c:v>70.09</c:v>
                </c:pt>
                <c:pt idx="1625">
                  <c:v>69.53</c:v>
                </c:pt>
                <c:pt idx="1626">
                  <c:v>70.8</c:v>
                </c:pt>
                <c:pt idx="1627">
                  <c:v>74.22</c:v>
                </c:pt>
                <c:pt idx="1628">
                  <c:v>75.33</c:v>
                </c:pt>
                <c:pt idx="1629">
                  <c:v>74.69</c:v>
                </c:pt>
                <c:pt idx="1630">
                  <c:v>69.16</c:v>
                </c:pt>
                <c:pt idx="1631">
                  <c:v>69.14</c:v>
                </c:pt>
                <c:pt idx="1632">
                  <c:v>56.44</c:v>
                </c:pt>
                <c:pt idx="1633">
                  <c:v>42.81</c:v>
                </c:pt>
                <c:pt idx="1634">
                  <c:v>47.8</c:v>
                </c:pt>
                <c:pt idx="1635">
                  <c:v>49.11</c:v>
                </c:pt>
                <c:pt idx="1636">
                  <c:v>45.35</c:v>
                </c:pt>
                <c:pt idx="1637">
                  <c:v>34.61</c:v>
                </c:pt>
                <c:pt idx="1638">
                  <c:v>40.58</c:v>
                </c:pt>
                <c:pt idx="1639">
                  <c:v>35.68</c:v>
                </c:pt>
                <c:pt idx="1640">
                  <c:v>37.47</c:v>
                </c:pt>
                <c:pt idx="1641">
                  <c:v>41.72</c:v>
                </c:pt>
                <c:pt idx="1642">
                  <c:v>46.38</c:v>
                </c:pt>
                <c:pt idx="1643">
                  <c:v>50.75</c:v>
                </c:pt>
                <c:pt idx="1644">
                  <c:v>56.72</c:v>
                </c:pt>
                <c:pt idx="1645">
                  <c:v>70.010000000000005</c:v>
                </c:pt>
                <c:pt idx="1646">
                  <c:v>61.71</c:v>
                </c:pt>
                <c:pt idx="1647">
                  <c:v>77.41</c:v>
                </c:pt>
                <c:pt idx="1648">
                  <c:v>72.989999999999995</c:v>
                </c:pt>
                <c:pt idx="1649">
                  <c:v>76.739999999999995</c:v>
                </c:pt>
                <c:pt idx="1650">
                  <c:v>73.3</c:v>
                </c:pt>
                <c:pt idx="1651">
                  <c:v>62.09</c:v>
                </c:pt>
                <c:pt idx="1652">
                  <c:v>54.18</c:v>
                </c:pt>
                <c:pt idx="1653">
                  <c:v>39.049999999999997</c:v>
                </c:pt>
                <c:pt idx="1654">
                  <c:v>37.770000000000003</c:v>
                </c:pt>
                <c:pt idx="1655">
                  <c:v>48.61</c:v>
                </c:pt>
                <c:pt idx="1656">
                  <c:v>57.1</c:v>
                </c:pt>
                <c:pt idx="1657">
                  <c:v>64.12</c:v>
                </c:pt>
                <c:pt idx="1658">
                  <c:v>65.739999999999995</c:v>
                </c:pt>
                <c:pt idx="1659">
                  <c:v>70.87</c:v>
                </c:pt>
                <c:pt idx="1660">
                  <c:v>82.68</c:v>
                </c:pt>
                <c:pt idx="1661">
                  <c:v>83.51</c:v>
                </c:pt>
                <c:pt idx="1662">
                  <c:v>82.29</c:v>
                </c:pt>
                <c:pt idx="1663">
                  <c:v>81.67</c:v>
                </c:pt>
                <c:pt idx="1664">
                  <c:v>90.3</c:v>
                </c:pt>
                <c:pt idx="1665">
                  <c:v>82.57</c:v>
                </c:pt>
                <c:pt idx="1666">
                  <c:v>79.3</c:v>
                </c:pt>
                <c:pt idx="1667">
                  <c:v>70.28</c:v>
                </c:pt>
                <c:pt idx="1668">
                  <c:v>65.760000000000005</c:v>
                </c:pt>
                <c:pt idx="1669">
                  <c:v>58.71</c:v>
                </c:pt>
                <c:pt idx="1670">
                  <c:v>60.95</c:v>
                </c:pt>
                <c:pt idx="1671">
                  <c:v>50.43</c:v>
                </c:pt>
                <c:pt idx="1672">
                  <c:v>46.35</c:v>
                </c:pt>
                <c:pt idx="1673">
                  <c:v>44.24</c:v>
                </c:pt>
                <c:pt idx="1674">
                  <c:v>36.33</c:v>
                </c:pt>
                <c:pt idx="1675">
                  <c:v>34.61</c:v>
                </c:pt>
                <c:pt idx="1676">
                  <c:v>59.52</c:v>
                </c:pt>
                <c:pt idx="1677">
                  <c:v>54.69</c:v>
                </c:pt>
                <c:pt idx="1678">
                  <c:v>56.36</c:v>
                </c:pt>
                <c:pt idx="1679">
                  <c:v>68.62</c:v>
                </c:pt>
                <c:pt idx="1680">
                  <c:v>61.87</c:v>
                </c:pt>
                <c:pt idx="1681">
                  <c:v>83.82</c:v>
                </c:pt>
                <c:pt idx="1682">
                  <c:v>84.71</c:v>
                </c:pt>
                <c:pt idx="1683">
                  <c:v>87.57</c:v>
                </c:pt>
                <c:pt idx="1684">
                  <c:v>89.16</c:v>
                </c:pt>
                <c:pt idx="1685">
                  <c:v>94.22</c:v>
                </c:pt>
                <c:pt idx="1686">
                  <c:v>92.32</c:v>
                </c:pt>
                <c:pt idx="1687">
                  <c:v>91.94</c:v>
                </c:pt>
                <c:pt idx="1688">
                  <c:v>78.87</c:v>
                </c:pt>
                <c:pt idx="1689">
                  <c:v>71.64</c:v>
                </c:pt>
                <c:pt idx="1690">
                  <c:v>56.01</c:v>
                </c:pt>
                <c:pt idx="1691">
                  <c:v>59.8</c:v>
                </c:pt>
                <c:pt idx="1692">
                  <c:v>48.72</c:v>
                </c:pt>
                <c:pt idx="1693">
                  <c:v>41.44</c:v>
                </c:pt>
                <c:pt idx="1694">
                  <c:v>48.1</c:v>
                </c:pt>
                <c:pt idx="1695">
                  <c:v>55.83</c:v>
                </c:pt>
                <c:pt idx="1696">
                  <c:v>46.52</c:v>
                </c:pt>
                <c:pt idx="1697">
                  <c:v>59.3</c:v>
                </c:pt>
                <c:pt idx="1698">
                  <c:v>57.16</c:v>
                </c:pt>
                <c:pt idx="1699">
                  <c:v>69.02</c:v>
                </c:pt>
                <c:pt idx="1700">
                  <c:v>77.53</c:v>
                </c:pt>
                <c:pt idx="1701">
                  <c:v>74.14</c:v>
                </c:pt>
                <c:pt idx="1702">
                  <c:v>79.239999999999995</c:v>
                </c:pt>
                <c:pt idx="1703">
                  <c:v>79.47</c:v>
                </c:pt>
                <c:pt idx="1704">
                  <c:v>85.26</c:v>
                </c:pt>
                <c:pt idx="1705">
                  <c:v>91.57</c:v>
                </c:pt>
                <c:pt idx="1706">
                  <c:v>89.57</c:v>
                </c:pt>
                <c:pt idx="1707">
                  <c:v>88.4</c:v>
                </c:pt>
                <c:pt idx="1708">
                  <c:v>70.28</c:v>
                </c:pt>
                <c:pt idx="1709">
                  <c:v>61.53</c:v>
                </c:pt>
                <c:pt idx="1710">
                  <c:v>39.049999999999997</c:v>
                </c:pt>
                <c:pt idx="1711">
                  <c:v>37.770000000000003</c:v>
                </c:pt>
                <c:pt idx="1712">
                  <c:v>48.61</c:v>
                </c:pt>
                <c:pt idx="1713">
                  <c:v>57.1</c:v>
                </c:pt>
                <c:pt idx="1714">
                  <c:v>64.12</c:v>
                </c:pt>
                <c:pt idx="1715">
                  <c:v>65.739999999999995</c:v>
                </c:pt>
                <c:pt idx="1716">
                  <c:v>70.87</c:v>
                </c:pt>
                <c:pt idx="1717">
                  <c:v>82.68</c:v>
                </c:pt>
                <c:pt idx="1718">
                  <c:v>83.51</c:v>
                </c:pt>
                <c:pt idx="1719">
                  <c:v>82.29</c:v>
                </c:pt>
                <c:pt idx="1720">
                  <c:v>81.67</c:v>
                </c:pt>
                <c:pt idx="1721">
                  <c:v>90.3</c:v>
                </c:pt>
                <c:pt idx="1722">
                  <c:v>82.57</c:v>
                </c:pt>
                <c:pt idx="1723">
                  <c:v>79.3</c:v>
                </c:pt>
                <c:pt idx="1724">
                  <c:v>70.28</c:v>
                </c:pt>
                <c:pt idx="1725">
                  <c:v>65.760000000000005</c:v>
                </c:pt>
                <c:pt idx="1726">
                  <c:v>58.71</c:v>
                </c:pt>
                <c:pt idx="1727">
                  <c:v>60.95</c:v>
                </c:pt>
                <c:pt idx="1728">
                  <c:v>50.43</c:v>
                </c:pt>
                <c:pt idx="1729">
                  <c:v>46.35</c:v>
                </c:pt>
                <c:pt idx="1730">
                  <c:v>44.24</c:v>
                </c:pt>
                <c:pt idx="1731">
                  <c:v>36.33</c:v>
                </c:pt>
                <c:pt idx="1732">
                  <c:v>34.61</c:v>
                </c:pt>
                <c:pt idx="1733">
                  <c:v>59.52</c:v>
                </c:pt>
                <c:pt idx="1734">
                  <c:v>54.69</c:v>
                </c:pt>
                <c:pt idx="1735">
                  <c:v>56.36</c:v>
                </c:pt>
                <c:pt idx="1736">
                  <c:v>68.62</c:v>
                </c:pt>
                <c:pt idx="1737">
                  <c:v>61.87</c:v>
                </c:pt>
                <c:pt idx="1738">
                  <c:v>83.82</c:v>
                </c:pt>
                <c:pt idx="1739">
                  <c:v>84.71</c:v>
                </c:pt>
                <c:pt idx="1740">
                  <c:v>87.57</c:v>
                </c:pt>
                <c:pt idx="1741">
                  <c:v>89.16</c:v>
                </c:pt>
                <c:pt idx="1742">
                  <c:v>94.22</c:v>
                </c:pt>
                <c:pt idx="1743">
                  <c:v>92.32</c:v>
                </c:pt>
                <c:pt idx="1744">
                  <c:v>91.94</c:v>
                </c:pt>
                <c:pt idx="1745">
                  <c:v>78.87</c:v>
                </c:pt>
                <c:pt idx="1746">
                  <c:v>71.64</c:v>
                </c:pt>
                <c:pt idx="1747">
                  <c:v>56.01</c:v>
                </c:pt>
                <c:pt idx="1748">
                  <c:v>59.8</c:v>
                </c:pt>
                <c:pt idx="1749">
                  <c:v>48.72</c:v>
                </c:pt>
                <c:pt idx="1750">
                  <c:v>41.44</c:v>
                </c:pt>
                <c:pt idx="1751">
                  <c:v>48.1</c:v>
                </c:pt>
                <c:pt idx="1752">
                  <c:v>55.83</c:v>
                </c:pt>
                <c:pt idx="1753">
                  <c:v>46.52</c:v>
                </c:pt>
                <c:pt idx="1754">
                  <c:v>59.3</c:v>
                </c:pt>
                <c:pt idx="1755">
                  <c:v>57.16</c:v>
                </c:pt>
                <c:pt idx="1756">
                  <c:v>69.02</c:v>
                </c:pt>
                <c:pt idx="1757">
                  <c:v>77.53</c:v>
                </c:pt>
                <c:pt idx="1758">
                  <c:v>74.14</c:v>
                </c:pt>
                <c:pt idx="1759">
                  <c:v>79.239999999999995</c:v>
                </c:pt>
                <c:pt idx="1760">
                  <c:v>79.47</c:v>
                </c:pt>
                <c:pt idx="1761">
                  <c:v>85.26</c:v>
                </c:pt>
                <c:pt idx="1762">
                  <c:v>91.57</c:v>
                </c:pt>
                <c:pt idx="1763">
                  <c:v>89.57</c:v>
                </c:pt>
                <c:pt idx="1764">
                  <c:v>88.4</c:v>
                </c:pt>
                <c:pt idx="1765">
                  <c:v>70.28</c:v>
                </c:pt>
                <c:pt idx="1766">
                  <c:v>61.53</c:v>
                </c:pt>
                <c:pt idx="1767">
                  <c:v>34.43</c:v>
                </c:pt>
                <c:pt idx="1768">
                  <c:v>28.09</c:v>
                </c:pt>
                <c:pt idx="1769">
                  <c:v>37.72</c:v>
                </c:pt>
                <c:pt idx="1770">
                  <c:v>39.880000000000003</c:v>
                </c:pt>
                <c:pt idx="1771">
                  <c:v>48.28</c:v>
                </c:pt>
                <c:pt idx="1772">
                  <c:v>44.88</c:v>
                </c:pt>
                <c:pt idx="1773">
                  <c:v>48.94</c:v>
                </c:pt>
                <c:pt idx="1774">
                  <c:v>66.69</c:v>
                </c:pt>
                <c:pt idx="1775">
                  <c:v>70.86</c:v>
                </c:pt>
                <c:pt idx="1776">
                  <c:v>74.739999999999995</c:v>
                </c:pt>
                <c:pt idx="1777">
                  <c:v>67.55</c:v>
                </c:pt>
                <c:pt idx="1778">
                  <c:v>72.95</c:v>
                </c:pt>
                <c:pt idx="1779">
                  <c:v>70.2</c:v>
                </c:pt>
                <c:pt idx="1780">
                  <c:v>68.44</c:v>
                </c:pt>
                <c:pt idx="1781">
                  <c:v>66.14</c:v>
                </c:pt>
                <c:pt idx="1782">
                  <c:v>61.81</c:v>
                </c:pt>
                <c:pt idx="1783">
                  <c:v>49.2</c:v>
                </c:pt>
                <c:pt idx="1784">
                  <c:v>42.3</c:v>
                </c:pt>
                <c:pt idx="1785">
                  <c:v>35.18</c:v>
                </c:pt>
                <c:pt idx="1786">
                  <c:v>36.619999999999997</c:v>
                </c:pt>
                <c:pt idx="1787">
                  <c:v>23.78</c:v>
                </c:pt>
                <c:pt idx="1788">
                  <c:v>15.47</c:v>
                </c:pt>
                <c:pt idx="1789">
                  <c:v>18.510000000000002</c:v>
                </c:pt>
                <c:pt idx="1790">
                  <c:v>39.17</c:v>
                </c:pt>
                <c:pt idx="1791">
                  <c:v>36.51</c:v>
                </c:pt>
                <c:pt idx="1792">
                  <c:v>44.83</c:v>
                </c:pt>
                <c:pt idx="1793">
                  <c:v>48.81</c:v>
                </c:pt>
                <c:pt idx="1794">
                  <c:v>46.65</c:v>
                </c:pt>
                <c:pt idx="1795">
                  <c:v>61.25</c:v>
                </c:pt>
                <c:pt idx="1796">
                  <c:v>65.489999999999995</c:v>
                </c:pt>
                <c:pt idx="1797">
                  <c:v>72.86</c:v>
                </c:pt>
                <c:pt idx="1798">
                  <c:v>72.56</c:v>
                </c:pt>
                <c:pt idx="1799">
                  <c:v>74.83</c:v>
                </c:pt>
                <c:pt idx="1800">
                  <c:v>74.2</c:v>
                </c:pt>
                <c:pt idx="1801">
                  <c:v>74.599999999999994</c:v>
                </c:pt>
                <c:pt idx="1802">
                  <c:v>61.24</c:v>
                </c:pt>
                <c:pt idx="1803">
                  <c:v>62.62</c:v>
                </c:pt>
                <c:pt idx="1804">
                  <c:v>37.950000000000003</c:v>
                </c:pt>
                <c:pt idx="1805">
                  <c:v>38.1</c:v>
                </c:pt>
                <c:pt idx="1806">
                  <c:v>33.799999999999997</c:v>
                </c:pt>
                <c:pt idx="1807">
                  <c:v>17.940000000000001</c:v>
                </c:pt>
                <c:pt idx="1808">
                  <c:v>36.75</c:v>
                </c:pt>
                <c:pt idx="1809">
                  <c:v>35.89</c:v>
                </c:pt>
                <c:pt idx="1810">
                  <c:v>23.34</c:v>
                </c:pt>
                <c:pt idx="1811">
                  <c:v>33.4</c:v>
                </c:pt>
                <c:pt idx="1812">
                  <c:v>39.9</c:v>
                </c:pt>
                <c:pt idx="1813">
                  <c:v>51.49</c:v>
                </c:pt>
                <c:pt idx="1814">
                  <c:v>58.29</c:v>
                </c:pt>
                <c:pt idx="1815">
                  <c:v>55.4</c:v>
                </c:pt>
                <c:pt idx="1816">
                  <c:v>62.84</c:v>
                </c:pt>
                <c:pt idx="1817">
                  <c:v>71.14</c:v>
                </c:pt>
                <c:pt idx="1818">
                  <c:v>78.680000000000007</c:v>
                </c:pt>
                <c:pt idx="1819">
                  <c:v>75.09</c:v>
                </c:pt>
                <c:pt idx="1820">
                  <c:v>75.930000000000007</c:v>
                </c:pt>
                <c:pt idx="1821">
                  <c:v>72.56</c:v>
                </c:pt>
                <c:pt idx="1822">
                  <c:v>55.34</c:v>
                </c:pt>
                <c:pt idx="1823">
                  <c:v>43.49</c:v>
                </c:pt>
                <c:pt idx="1824">
                  <c:v>58.4</c:v>
                </c:pt>
                <c:pt idx="1825">
                  <c:v>55.47</c:v>
                </c:pt>
                <c:pt idx="1826">
                  <c:v>59.17</c:v>
                </c:pt>
                <c:pt idx="1827">
                  <c:v>55.61</c:v>
                </c:pt>
                <c:pt idx="1828">
                  <c:v>66.790000000000006</c:v>
                </c:pt>
                <c:pt idx="1829">
                  <c:v>68.430000000000007</c:v>
                </c:pt>
                <c:pt idx="1830">
                  <c:v>75.400000000000006</c:v>
                </c:pt>
                <c:pt idx="1831">
                  <c:v>86.06</c:v>
                </c:pt>
                <c:pt idx="1832">
                  <c:v>93.52</c:v>
                </c:pt>
                <c:pt idx="1833">
                  <c:v>97.66</c:v>
                </c:pt>
                <c:pt idx="1834">
                  <c:v>95.88</c:v>
                </c:pt>
                <c:pt idx="1835">
                  <c:v>92.51</c:v>
                </c:pt>
                <c:pt idx="1836">
                  <c:v>90.82</c:v>
                </c:pt>
                <c:pt idx="1837">
                  <c:v>91.77</c:v>
                </c:pt>
                <c:pt idx="1838">
                  <c:v>91.45</c:v>
                </c:pt>
                <c:pt idx="1839">
                  <c:v>79.02</c:v>
                </c:pt>
                <c:pt idx="1840">
                  <c:v>74.23</c:v>
                </c:pt>
                <c:pt idx="1841">
                  <c:v>65.209999999999994</c:v>
                </c:pt>
                <c:pt idx="1842">
                  <c:v>52.82</c:v>
                </c:pt>
                <c:pt idx="1843">
                  <c:v>60.72</c:v>
                </c:pt>
                <c:pt idx="1844">
                  <c:v>46.25</c:v>
                </c:pt>
                <c:pt idx="1845">
                  <c:v>49.26</c:v>
                </c:pt>
                <c:pt idx="1846">
                  <c:v>53.35</c:v>
                </c:pt>
                <c:pt idx="1847">
                  <c:v>59.51</c:v>
                </c:pt>
                <c:pt idx="1848">
                  <c:v>66.510000000000005</c:v>
                </c:pt>
                <c:pt idx="1849">
                  <c:v>71.41</c:v>
                </c:pt>
                <c:pt idx="1850">
                  <c:v>75.11</c:v>
                </c:pt>
                <c:pt idx="1851">
                  <c:v>77.92</c:v>
                </c:pt>
                <c:pt idx="1852">
                  <c:v>82.93</c:v>
                </c:pt>
                <c:pt idx="1853">
                  <c:v>87.02</c:v>
                </c:pt>
                <c:pt idx="1854">
                  <c:v>98.43</c:v>
                </c:pt>
                <c:pt idx="1855">
                  <c:v>96.44</c:v>
                </c:pt>
                <c:pt idx="1856">
                  <c:v>96.93</c:v>
                </c:pt>
                <c:pt idx="1857">
                  <c:v>96</c:v>
                </c:pt>
                <c:pt idx="1858">
                  <c:v>99.2</c:v>
                </c:pt>
                <c:pt idx="1859">
                  <c:v>96.22</c:v>
                </c:pt>
                <c:pt idx="1860">
                  <c:v>81.16</c:v>
                </c:pt>
                <c:pt idx="1861">
                  <c:v>71.91</c:v>
                </c:pt>
                <c:pt idx="1862">
                  <c:v>58.75</c:v>
                </c:pt>
                <c:pt idx="1863">
                  <c:v>59.12</c:v>
                </c:pt>
                <c:pt idx="1864">
                  <c:v>47.7</c:v>
                </c:pt>
                <c:pt idx="1865">
                  <c:v>60.92</c:v>
                </c:pt>
                <c:pt idx="1866">
                  <c:v>59.53</c:v>
                </c:pt>
                <c:pt idx="1867">
                  <c:v>59.94</c:v>
                </c:pt>
                <c:pt idx="1868">
                  <c:v>60.91</c:v>
                </c:pt>
                <c:pt idx="1869">
                  <c:v>62.2</c:v>
                </c:pt>
                <c:pt idx="1870">
                  <c:v>70.75</c:v>
                </c:pt>
                <c:pt idx="1871">
                  <c:v>82.43</c:v>
                </c:pt>
                <c:pt idx="1872">
                  <c:v>81.02</c:v>
                </c:pt>
                <c:pt idx="1873">
                  <c:v>83.57</c:v>
                </c:pt>
                <c:pt idx="1874">
                  <c:v>90.94</c:v>
                </c:pt>
                <c:pt idx="1875">
                  <c:v>93.21</c:v>
                </c:pt>
                <c:pt idx="1876">
                  <c:v>92.13</c:v>
                </c:pt>
                <c:pt idx="1877">
                  <c:v>100.07</c:v>
                </c:pt>
                <c:pt idx="1878">
                  <c:v>92.02</c:v>
                </c:pt>
                <c:pt idx="1879">
                  <c:v>85.18</c:v>
                </c:pt>
                <c:pt idx="1880">
                  <c:v>79.64</c:v>
                </c:pt>
                <c:pt idx="1881">
                  <c:v>35.44</c:v>
                </c:pt>
                <c:pt idx="1882">
                  <c:v>36.130000000000003</c:v>
                </c:pt>
                <c:pt idx="1883">
                  <c:v>42.65</c:v>
                </c:pt>
                <c:pt idx="1884">
                  <c:v>42.26</c:v>
                </c:pt>
                <c:pt idx="1885">
                  <c:v>50.07</c:v>
                </c:pt>
                <c:pt idx="1886">
                  <c:v>51.26</c:v>
                </c:pt>
                <c:pt idx="1887">
                  <c:v>57.39</c:v>
                </c:pt>
                <c:pt idx="1888">
                  <c:v>72.17</c:v>
                </c:pt>
                <c:pt idx="1889">
                  <c:v>80.84</c:v>
                </c:pt>
                <c:pt idx="1890">
                  <c:v>73.66</c:v>
                </c:pt>
                <c:pt idx="1891">
                  <c:v>75</c:v>
                </c:pt>
                <c:pt idx="1892">
                  <c:v>73.8</c:v>
                </c:pt>
                <c:pt idx="1893">
                  <c:v>72.59</c:v>
                </c:pt>
                <c:pt idx="1894">
                  <c:v>72.61</c:v>
                </c:pt>
                <c:pt idx="1895">
                  <c:v>70.13</c:v>
                </c:pt>
                <c:pt idx="1896">
                  <c:v>65.209999999999994</c:v>
                </c:pt>
                <c:pt idx="1897">
                  <c:v>52.43</c:v>
                </c:pt>
                <c:pt idx="1898">
                  <c:v>47.2</c:v>
                </c:pt>
                <c:pt idx="1899">
                  <c:v>34.700000000000003</c:v>
                </c:pt>
                <c:pt idx="1900">
                  <c:v>41.93</c:v>
                </c:pt>
                <c:pt idx="1901">
                  <c:v>24.5</c:v>
                </c:pt>
                <c:pt idx="1902">
                  <c:v>23.82</c:v>
                </c:pt>
                <c:pt idx="1903">
                  <c:v>28.66</c:v>
                </c:pt>
                <c:pt idx="1904">
                  <c:v>46.21</c:v>
                </c:pt>
                <c:pt idx="1905">
                  <c:v>45.87</c:v>
                </c:pt>
                <c:pt idx="1906">
                  <c:v>55.46</c:v>
                </c:pt>
                <c:pt idx="1907">
                  <c:v>58.59</c:v>
                </c:pt>
                <c:pt idx="1908">
                  <c:v>54.4</c:v>
                </c:pt>
                <c:pt idx="1909">
                  <c:v>74.64</c:v>
                </c:pt>
                <c:pt idx="1910">
                  <c:v>74.569999999999993</c:v>
                </c:pt>
                <c:pt idx="1911">
                  <c:v>81.96</c:v>
                </c:pt>
                <c:pt idx="1912">
                  <c:v>80.84</c:v>
                </c:pt>
                <c:pt idx="1913">
                  <c:v>76.709999999999994</c:v>
                </c:pt>
                <c:pt idx="1914">
                  <c:v>80.23</c:v>
                </c:pt>
                <c:pt idx="1915">
                  <c:v>78.239999999999995</c:v>
                </c:pt>
                <c:pt idx="1916">
                  <c:v>70.05</c:v>
                </c:pt>
                <c:pt idx="1917">
                  <c:v>60.42</c:v>
                </c:pt>
                <c:pt idx="1918">
                  <c:v>48.04</c:v>
                </c:pt>
                <c:pt idx="1919">
                  <c:v>41.04</c:v>
                </c:pt>
                <c:pt idx="1920">
                  <c:v>39.75</c:v>
                </c:pt>
                <c:pt idx="1921">
                  <c:v>24.69</c:v>
                </c:pt>
                <c:pt idx="1922">
                  <c:v>36.39</c:v>
                </c:pt>
                <c:pt idx="1923">
                  <c:v>38.64</c:v>
                </c:pt>
                <c:pt idx="1924">
                  <c:v>36.700000000000003</c:v>
                </c:pt>
                <c:pt idx="1925">
                  <c:v>42.74</c:v>
                </c:pt>
                <c:pt idx="1926">
                  <c:v>42.7</c:v>
                </c:pt>
                <c:pt idx="1927">
                  <c:v>54.42</c:v>
                </c:pt>
                <c:pt idx="1928">
                  <c:v>65.040000000000006</c:v>
                </c:pt>
                <c:pt idx="1929">
                  <c:v>61.92</c:v>
                </c:pt>
                <c:pt idx="1930">
                  <c:v>70.41</c:v>
                </c:pt>
                <c:pt idx="1931">
                  <c:v>75.349999999999994</c:v>
                </c:pt>
                <c:pt idx="1932">
                  <c:v>77.95</c:v>
                </c:pt>
                <c:pt idx="1933">
                  <c:v>78.930000000000007</c:v>
                </c:pt>
                <c:pt idx="1934">
                  <c:v>78.260000000000005</c:v>
                </c:pt>
                <c:pt idx="1935">
                  <c:v>78.260000000000005</c:v>
                </c:pt>
                <c:pt idx="1936">
                  <c:v>65.41</c:v>
                </c:pt>
                <c:pt idx="1937">
                  <c:v>59.94</c:v>
                </c:pt>
                <c:pt idx="1938">
                  <c:v>27.19</c:v>
                </c:pt>
                <c:pt idx="1939">
                  <c:v>29.81</c:v>
                </c:pt>
                <c:pt idx="1940">
                  <c:v>38.07</c:v>
                </c:pt>
                <c:pt idx="1941">
                  <c:v>45.98</c:v>
                </c:pt>
                <c:pt idx="1942">
                  <c:v>46.9</c:v>
                </c:pt>
                <c:pt idx="1943">
                  <c:v>62.62</c:v>
                </c:pt>
                <c:pt idx="1944">
                  <c:v>69.02</c:v>
                </c:pt>
                <c:pt idx="1945">
                  <c:v>74.290000000000006</c:v>
                </c:pt>
                <c:pt idx="1946">
                  <c:v>68.900000000000006</c:v>
                </c:pt>
                <c:pt idx="1947">
                  <c:v>76.25</c:v>
                </c:pt>
                <c:pt idx="1948">
                  <c:v>82.69</c:v>
                </c:pt>
                <c:pt idx="1949">
                  <c:v>77.45</c:v>
                </c:pt>
                <c:pt idx="1950">
                  <c:v>78.52</c:v>
                </c:pt>
                <c:pt idx="1951">
                  <c:v>70.38</c:v>
                </c:pt>
                <c:pt idx="1952">
                  <c:v>70.19</c:v>
                </c:pt>
                <c:pt idx="1953">
                  <c:v>57.78</c:v>
                </c:pt>
                <c:pt idx="1954">
                  <c:v>45.91</c:v>
                </c:pt>
                <c:pt idx="1955">
                  <c:v>45.9</c:v>
                </c:pt>
                <c:pt idx="1956">
                  <c:v>41.81</c:v>
                </c:pt>
                <c:pt idx="1957">
                  <c:v>30.83</c:v>
                </c:pt>
                <c:pt idx="1958">
                  <c:v>34.42</c:v>
                </c:pt>
                <c:pt idx="1959">
                  <c:v>28.7</c:v>
                </c:pt>
                <c:pt idx="1960">
                  <c:v>30.45</c:v>
                </c:pt>
                <c:pt idx="1961">
                  <c:v>36.99</c:v>
                </c:pt>
                <c:pt idx="1962">
                  <c:v>43.64</c:v>
                </c:pt>
                <c:pt idx="1963">
                  <c:v>37.270000000000003</c:v>
                </c:pt>
                <c:pt idx="1964">
                  <c:v>46.87</c:v>
                </c:pt>
                <c:pt idx="1965">
                  <c:v>56.48</c:v>
                </c:pt>
                <c:pt idx="1966">
                  <c:v>74.17</c:v>
                </c:pt>
                <c:pt idx="1967">
                  <c:v>73.260000000000005</c:v>
                </c:pt>
                <c:pt idx="1968">
                  <c:v>73.760000000000005</c:v>
                </c:pt>
                <c:pt idx="1969">
                  <c:v>76.87</c:v>
                </c:pt>
                <c:pt idx="1970">
                  <c:v>78.14</c:v>
                </c:pt>
                <c:pt idx="1971">
                  <c:v>76.67</c:v>
                </c:pt>
                <c:pt idx="1972">
                  <c:v>71.44</c:v>
                </c:pt>
                <c:pt idx="1973">
                  <c:v>70.930000000000007</c:v>
                </c:pt>
                <c:pt idx="1974">
                  <c:v>56.91</c:v>
                </c:pt>
                <c:pt idx="1975">
                  <c:v>44.46</c:v>
                </c:pt>
                <c:pt idx="1976">
                  <c:v>49.69</c:v>
                </c:pt>
                <c:pt idx="1977">
                  <c:v>50.55</c:v>
                </c:pt>
                <c:pt idx="1978">
                  <c:v>46.28</c:v>
                </c:pt>
                <c:pt idx="1979">
                  <c:v>35.799999999999997</c:v>
                </c:pt>
                <c:pt idx="1980">
                  <c:v>42.52</c:v>
                </c:pt>
                <c:pt idx="1981">
                  <c:v>37.86</c:v>
                </c:pt>
                <c:pt idx="1982">
                  <c:v>40.07</c:v>
                </c:pt>
                <c:pt idx="1983">
                  <c:v>44.32</c:v>
                </c:pt>
                <c:pt idx="1984">
                  <c:v>48.73</c:v>
                </c:pt>
                <c:pt idx="1985">
                  <c:v>53.68</c:v>
                </c:pt>
                <c:pt idx="1986">
                  <c:v>58.97</c:v>
                </c:pt>
                <c:pt idx="1987">
                  <c:v>73.400000000000006</c:v>
                </c:pt>
                <c:pt idx="1988">
                  <c:v>64.05</c:v>
                </c:pt>
                <c:pt idx="1989">
                  <c:v>82.08</c:v>
                </c:pt>
                <c:pt idx="1990">
                  <c:v>75.22</c:v>
                </c:pt>
                <c:pt idx="1991">
                  <c:v>78.44</c:v>
                </c:pt>
                <c:pt idx="1992">
                  <c:v>76</c:v>
                </c:pt>
                <c:pt idx="1993">
                  <c:v>64.5</c:v>
                </c:pt>
                <c:pt idx="1994">
                  <c:v>55.4</c:v>
                </c:pt>
                <c:pt idx="1995">
                  <c:v>45.97</c:v>
                </c:pt>
                <c:pt idx="1996">
                  <c:v>46.11</c:v>
                </c:pt>
                <c:pt idx="1997">
                  <c:v>51.33</c:v>
                </c:pt>
                <c:pt idx="1998">
                  <c:v>61.96</c:v>
                </c:pt>
                <c:pt idx="1999">
                  <c:v>63.43</c:v>
                </c:pt>
                <c:pt idx="2000">
                  <c:v>68.540000000000006</c:v>
                </c:pt>
                <c:pt idx="2001">
                  <c:v>75.56</c:v>
                </c:pt>
                <c:pt idx="2002">
                  <c:v>79.930000000000007</c:v>
                </c:pt>
                <c:pt idx="2003">
                  <c:v>82.3</c:v>
                </c:pt>
                <c:pt idx="2004">
                  <c:v>81.849999999999994</c:v>
                </c:pt>
                <c:pt idx="2005">
                  <c:v>81.739999999999995</c:v>
                </c:pt>
                <c:pt idx="2006">
                  <c:v>85.49</c:v>
                </c:pt>
                <c:pt idx="2007">
                  <c:v>82.29</c:v>
                </c:pt>
                <c:pt idx="2008">
                  <c:v>80.58</c:v>
                </c:pt>
                <c:pt idx="2009">
                  <c:v>74.66</c:v>
                </c:pt>
                <c:pt idx="2010">
                  <c:v>66.34</c:v>
                </c:pt>
                <c:pt idx="2011">
                  <c:v>62.72</c:v>
                </c:pt>
                <c:pt idx="2012">
                  <c:v>61.97</c:v>
                </c:pt>
                <c:pt idx="2013">
                  <c:v>54.44</c:v>
                </c:pt>
                <c:pt idx="2014">
                  <c:v>51.83</c:v>
                </c:pt>
                <c:pt idx="2015">
                  <c:v>54.11</c:v>
                </c:pt>
                <c:pt idx="2016">
                  <c:v>46.68</c:v>
                </c:pt>
                <c:pt idx="2017">
                  <c:v>41.16</c:v>
                </c:pt>
                <c:pt idx="2018">
                  <c:v>64.55</c:v>
                </c:pt>
                <c:pt idx="2019">
                  <c:v>59.15</c:v>
                </c:pt>
                <c:pt idx="2020">
                  <c:v>67.31</c:v>
                </c:pt>
                <c:pt idx="2021">
                  <c:v>69.39</c:v>
                </c:pt>
                <c:pt idx="2022">
                  <c:v>69.56</c:v>
                </c:pt>
                <c:pt idx="2023">
                  <c:v>82.96</c:v>
                </c:pt>
                <c:pt idx="2024">
                  <c:v>82.41</c:v>
                </c:pt>
                <c:pt idx="2025">
                  <c:v>85.33</c:v>
                </c:pt>
                <c:pt idx="2026">
                  <c:v>84.71</c:v>
                </c:pt>
                <c:pt idx="2027">
                  <c:v>86.71</c:v>
                </c:pt>
                <c:pt idx="2028">
                  <c:v>87.64</c:v>
                </c:pt>
                <c:pt idx="2029">
                  <c:v>87.5</c:v>
                </c:pt>
                <c:pt idx="2030">
                  <c:v>77.94</c:v>
                </c:pt>
                <c:pt idx="2031">
                  <c:v>71.2</c:v>
                </c:pt>
                <c:pt idx="2032">
                  <c:v>58.97</c:v>
                </c:pt>
                <c:pt idx="2033">
                  <c:v>63.5</c:v>
                </c:pt>
                <c:pt idx="2034">
                  <c:v>53.57</c:v>
                </c:pt>
                <c:pt idx="2035">
                  <c:v>50.64</c:v>
                </c:pt>
                <c:pt idx="2036">
                  <c:v>57.18</c:v>
                </c:pt>
                <c:pt idx="2037">
                  <c:v>61.33</c:v>
                </c:pt>
                <c:pt idx="2038">
                  <c:v>54.49</c:v>
                </c:pt>
                <c:pt idx="2039">
                  <c:v>64.540000000000006</c:v>
                </c:pt>
                <c:pt idx="2040">
                  <c:v>63.19</c:v>
                </c:pt>
                <c:pt idx="2041">
                  <c:v>73.95</c:v>
                </c:pt>
                <c:pt idx="2042">
                  <c:v>77.17</c:v>
                </c:pt>
                <c:pt idx="2043">
                  <c:v>76.55</c:v>
                </c:pt>
                <c:pt idx="2044">
                  <c:v>80.739999999999995</c:v>
                </c:pt>
                <c:pt idx="2045">
                  <c:v>81.5</c:v>
                </c:pt>
                <c:pt idx="2046">
                  <c:v>81.52</c:v>
                </c:pt>
                <c:pt idx="2047">
                  <c:v>85.56</c:v>
                </c:pt>
                <c:pt idx="2048">
                  <c:v>84.41</c:v>
                </c:pt>
                <c:pt idx="2049">
                  <c:v>84.19</c:v>
                </c:pt>
                <c:pt idx="2050">
                  <c:v>73.569999999999993</c:v>
                </c:pt>
                <c:pt idx="2051">
                  <c:v>71.28</c:v>
                </c:pt>
                <c:pt idx="2052">
                  <c:v>45.97</c:v>
                </c:pt>
                <c:pt idx="2053">
                  <c:v>46.11</c:v>
                </c:pt>
                <c:pt idx="2054">
                  <c:v>51.33</c:v>
                </c:pt>
                <c:pt idx="2055">
                  <c:v>61.96</c:v>
                </c:pt>
                <c:pt idx="2056">
                  <c:v>63.43</c:v>
                </c:pt>
                <c:pt idx="2057">
                  <c:v>68.540000000000006</c:v>
                </c:pt>
                <c:pt idx="2058">
                  <c:v>75.56</c:v>
                </c:pt>
                <c:pt idx="2059">
                  <c:v>79.930000000000007</c:v>
                </c:pt>
                <c:pt idx="2060">
                  <c:v>82.3</c:v>
                </c:pt>
                <c:pt idx="2061">
                  <c:v>81.849999999999994</c:v>
                </c:pt>
                <c:pt idx="2062">
                  <c:v>81.739999999999995</c:v>
                </c:pt>
                <c:pt idx="2063">
                  <c:v>85.49</c:v>
                </c:pt>
                <c:pt idx="2064">
                  <c:v>82.29</c:v>
                </c:pt>
                <c:pt idx="2065">
                  <c:v>80.58</c:v>
                </c:pt>
                <c:pt idx="2066">
                  <c:v>74.66</c:v>
                </c:pt>
                <c:pt idx="2067">
                  <c:v>66.34</c:v>
                </c:pt>
                <c:pt idx="2068">
                  <c:v>62.72</c:v>
                </c:pt>
                <c:pt idx="2069">
                  <c:v>61.97</c:v>
                </c:pt>
                <c:pt idx="2070">
                  <c:v>54.44</c:v>
                </c:pt>
                <c:pt idx="2071">
                  <c:v>51.83</c:v>
                </c:pt>
                <c:pt idx="2072">
                  <c:v>54.11</c:v>
                </c:pt>
                <c:pt idx="2073">
                  <c:v>46.68</c:v>
                </c:pt>
                <c:pt idx="2074">
                  <c:v>41.16</c:v>
                </c:pt>
                <c:pt idx="2075">
                  <c:v>64.55</c:v>
                </c:pt>
                <c:pt idx="2076">
                  <c:v>59.15</c:v>
                </c:pt>
                <c:pt idx="2077">
                  <c:v>67.31</c:v>
                </c:pt>
                <c:pt idx="2078">
                  <c:v>69.39</c:v>
                </c:pt>
                <c:pt idx="2079">
                  <c:v>69.56</c:v>
                </c:pt>
                <c:pt idx="2080">
                  <c:v>82.96</c:v>
                </c:pt>
                <c:pt idx="2081">
                  <c:v>82.41</c:v>
                </c:pt>
                <c:pt idx="2082">
                  <c:v>85.33</c:v>
                </c:pt>
                <c:pt idx="2083">
                  <c:v>84.71</c:v>
                </c:pt>
                <c:pt idx="2084">
                  <c:v>86.71</c:v>
                </c:pt>
                <c:pt idx="2085">
                  <c:v>87.64</c:v>
                </c:pt>
                <c:pt idx="2086">
                  <c:v>87.5</c:v>
                </c:pt>
                <c:pt idx="2087">
                  <c:v>77.94</c:v>
                </c:pt>
                <c:pt idx="2088">
                  <c:v>71.2</c:v>
                </c:pt>
                <c:pt idx="2089">
                  <c:v>58.97</c:v>
                </c:pt>
                <c:pt idx="2090">
                  <c:v>63.5</c:v>
                </c:pt>
                <c:pt idx="2091">
                  <c:v>53.57</c:v>
                </c:pt>
                <c:pt idx="2092">
                  <c:v>50.64</c:v>
                </c:pt>
                <c:pt idx="2093">
                  <c:v>57.18</c:v>
                </c:pt>
                <c:pt idx="2094">
                  <c:v>61.33</c:v>
                </c:pt>
                <c:pt idx="2095">
                  <c:v>54.49</c:v>
                </c:pt>
                <c:pt idx="2096">
                  <c:v>64.540000000000006</c:v>
                </c:pt>
                <c:pt idx="2097">
                  <c:v>63.19</c:v>
                </c:pt>
                <c:pt idx="2098">
                  <c:v>73.95</c:v>
                </c:pt>
                <c:pt idx="2099">
                  <c:v>77.17</c:v>
                </c:pt>
                <c:pt idx="2100">
                  <c:v>76.55</c:v>
                </c:pt>
                <c:pt idx="2101">
                  <c:v>80.739999999999995</c:v>
                </c:pt>
                <c:pt idx="2102">
                  <c:v>81.5</c:v>
                </c:pt>
                <c:pt idx="2103">
                  <c:v>81.52</c:v>
                </c:pt>
                <c:pt idx="2104">
                  <c:v>85.56</c:v>
                </c:pt>
                <c:pt idx="2105">
                  <c:v>84.41</c:v>
                </c:pt>
                <c:pt idx="2106">
                  <c:v>84.19</c:v>
                </c:pt>
                <c:pt idx="2107">
                  <c:v>73.569999999999993</c:v>
                </c:pt>
                <c:pt idx="2108">
                  <c:v>71.28</c:v>
                </c:pt>
                <c:pt idx="2109">
                  <c:v>49.47</c:v>
                </c:pt>
                <c:pt idx="2110">
                  <c:v>47.87</c:v>
                </c:pt>
                <c:pt idx="2111">
                  <c:v>53.77</c:v>
                </c:pt>
                <c:pt idx="2112">
                  <c:v>50.11</c:v>
                </c:pt>
                <c:pt idx="2113">
                  <c:v>59.84</c:v>
                </c:pt>
                <c:pt idx="2114">
                  <c:v>59.25</c:v>
                </c:pt>
                <c:pt idx="2115">
                  <c:v>70.150000000000006</c:v>
                </c:pt>
                <c:pt idx="2116">
                  <c:v>81.39</c:v>
                </c:pt>
                <c:pt idx="2117">
                  <c:v>90.84</c:v>
                </c:pt>
                <c:pt idx="2118">
                  <c:v>91.98</c:v>
                </c:pt>
                <c:pt idx="2119">
                  <c:v>90.37</c:v>
                </c:pt>
                <c:pt idx="2120">
                  <c:v>92.95</c:v>
                </c:pt>
                <c:pt idx="2121">
                  <c:v>83.12</c:v>
                </c:pt>
                <c:pt idx="2122">
                  <c:v>83.63</c:v>
                </c:pt>
                <c:pt idx="2123">
                  <c:v>85.2</c:v>
                </c:pt>
                <c:pt idx="2124">
                  <c:v>71.819999999999993</c:v>
                </c:pt>
                <c:pt idx="2125">
                  <c:v>65.489999999999995</c:v>
                </c:pt>
                <c:pt idx="2126">
                  <c:v>57.79</c:v>
                </c:pt>
                <c:pt idx="2127">
                  <c:v>43.33</c:v>
                </c:pt>
                <c:pt idx="2128">
                  <c:v>50.01</c:v>
                </c:pt>
                <c:pt idx="2129">
                  <c:v>37.64</c:v>
                </c:pt>
                <c:pt idx="2130">
                  <c:v>45.14</c:v>
                </c:pt>
                <c:pt idx="2131">
                  <c:v>51.3</c:v>
                </c:pt>
                <c:pt idx="2132">
                  <c:v>51.72</c:v>
                </c:pt>
                <c:pt idx="2133">
                  <c:v>57.75</c:v>
                </c:pt>
                <c:pt idx="2134">
                  <c:v>63.63</c:v>
                </c:pt>
                <c:pt idx="2135">
                  <c:v>64.47</c:v>
                </c:pt>
                <c:pt idx="2136">
                  <c:v>68.400000000000006</c:v>
                </c:pt>
                <c:pt idx="2137">
                  <c:v>71.81</c:v>
                </c:pt>
                <c:pt idx="2138">
                  <c:v>78.72</c:v>
                </c:pt>
                <c:pt idx="2139">
                  <c:v>89.85</c:v>
                </c:pt>
                <c:pt idx="2140">
                  <c:v>89.9</c:v>
                </c:pt>
                <c:pt idx="2141">
                  <c:v>90.61</c:v>
                </c:pt>
                <c:pt idx="2142">
                  <c:v>91.04</c:v>
                </c:pt>
                <c:pt idx="2143">
                  <c:v>93.66</c:v>
                </c:pt>
                <c:pt idx="2144">
                  <c:v>88</c:v>
                </c:pt>
                <c:pt idx="2145">
                  <c:v>70.44</c:v>
                </c:pt>
                <c:pt idx="2146">
                  <c:v>59.77</c:v>
                </c:pt>
                <c:pt idx="2147">
                  <c:v>48.76</c:v>
                </c:pt>
                <c:pt idx="2148">
                  <c:v>52.5</c:v>
                </c:pt>
                <c:pt idx="2149">
                  <c:v>42.17</c:v>
                </c:pt>
                <c:pt idx="2150">
                  <c:v>50.43</c:v>
                </c:pt>
                <c:pt idx="2151">
                  <c:v>50.58</c:v>
                </c:pt>
                <c:pt idx="2152">
                  <c:v>52.27</c:v>
                </c:pt>
                <c:pt idx="2153">
                  <c:v>52.27</c:v>
                </c:pt>
                <c:pt idx="2154">
                  <c:v>54.54</c:v>
                </c:pt>
                <c:pt idx="2155">
                  <c:v>64.05</c:v>
                </c:pt>
                <c:pt idx="2156">
                  <c:v>76.03</c:v>
                </c:pt>
                <c:pt idx="2157">
                  <c:v>77.27</c:v>
                </c:pt>
                <c:pt idx="2158">
                  <c:v>78.11</c:v>
                </c:pt>
                <c:pt idx="2159">
                  <c:v>84.83</c:v>
                </c:pt>
                <c:pt idx="2160">
                  <c:v>89.13</c:v>
                </c:pt>
                <c:pt idx="2161">
                  <c:v>88.16</c:v>
                </c:pt>
                <c:pt idx="2162">
                  <c:v>95.91</c:v>
                </c:pt>
                <c:pt idx="2163">
                  <c:v>88.52</c:v>
                </c:pt>
                <c:pt idx="2164">
                  <c:v>81.61</c:v>
                </c:pt>
                <c:pt idx="2165">
                  <c:v>71.739999999999995</c:v>
                </c:pt>
                <c:pt idx="2166">
                  <c:v>44.3</c:v>
                </c:pt>
                <c:pt idx="2167">
                  <c:v>44.58</c:v>
                </c:pt>
                <c:pt idx="2168">
                  <c:v>50.93</c:v>
                </c:pt>
                <c:pt idx="2169">
                  <c:v>61.88</c:v>
                </c:pt>
                <c:pt idx="2170">
                  <c:v>63.31</c:v>
                </c:pt>
                <c:pt idx="2171">
                  <c:v>68.150000000000006</c:v>
                </c:pt>
                <c:pt idx="2172">
                  <c:v>74.86</c:v>
                </c:pt>
                <c:pt idx="2173">
                  <c:v>79.83</c:v>
                </c:pt>
                <c:pt idx="2174">
                  <c:v>81.78</c:v>
                </c:pt>
                <c:pt idx="2175">
                  <c:v>81.349999999999994</c:v>
                </c:pt>
                <c:pt idx="2176">
                  <c:v>81.099999999999994</c:v>
                </c:pt>
                <c:pt idx="2177">
                  <c:v>84.92</c:v>
                </c:pt>
                <c:pt idx="2178">
                  <c:v>82.13</c:v>
                </c:pt>
                <c:pt idx="2179">
                  <c:v>79.94</c:v>
                </c:pt>
                <c:pt idx="2180">
                  <c:v>72.739999999999995</c:v>
                </c:pt>
                <c:pt idx="2181">
                  <c:v>64.8</c:v>
                </c:pt>
                <c:pt idx="2182">
                  <c:v>61.62</c:v>
                </c:pt>
                <c:pt idx="2183">
                  <c:v>62.21</c:v>
                </c:pt>
                <c:pt idx="2184">
                  <c:v>53.55</c:v>
                </c:pt>
                <c:pt idx="2185">
                  <c:v>50.81</c:v>
                </c:pt>
                <c:pt idx="2186">
                  <c:v>52.74</c:v>
                </c:pt>
                <c:pt idx="2187">
                  <c:v>45.96</c:v>
                </c:pt>
                <c:pt idx="2188">
                  <c:v>40.340000000000003</c:v>
                </c:pt>
                <c:pt idx="2189">
                  <c:v>63.56</c:v>
                </c:pt>
                <c:pt idx="2190">
                  <c:v>58.35</c:v>
                </c:pt>
                <c:pt idx="2191">
                  <c:v>66.569999999999993</c:v>
                </c:pt>
                <c:pt idx="2192">
                  <c:v>69.45</c:v>
                </c:pt>
                <c:pt idx="2193">
                  <c:v>68.75</c:v>
                </c:pt>
                <c:pt idx="2194">
                  <c:v>83.59</c:v>
                </c:pt>
                <c:pt idx="2195">
                  <c:v>82.75</c:v>
                </c:pt>
                <c:pt idx="2196">
                  <c:v>84.93</c:v>
                </c:pt>
                <c:pt idx="2197">
                  <c:v>84.33</c:v>
                </c:pt>
                <c:pt idx="2198">
                  <c:v>87.73</c:v>
                </c:pt>
                <c:pt idx="2199">
                  <c:v>88.27</c:v>
                </c:pt>
                <c:pt idx="2200">
                  <c:v>88.65</c:v>
                </c:pt>
                <c:pt idx="2201">
                  <c:v>79.150000000000006</c:v>
                </c:pt>
                <c:pt idx="2202">
                  <c:v>71.680000000000007</c:v>
                </c:pt>
                <c:pt idx="2203">
                  <c:v>58.04</c:v>
                </c:pt>
                <c:pt idx="2204">
                  <c:v>63.11</c:v>
                </c:pt>
                <c:pt idx="2205">
                  <c:v>53.14</c:v>
                </c:pt>
                <c:pt idx="2206">
                  <c:v>49.36</c:v>
                </c:pt>
                <c:pt idx="2207">
                  <c:v>55.83</c:v>
                </c:pt>
                <c:pt idx="2208">
                  <c:v>60.69</c:v>
                </c:pt>
                <c:pt idx="2209">
                  <c:v>52.89</c:v>
                </c:pt>
                <c:pt idx="2210">
                  <c:v>64.05</c:v>
                </c:pt>
                <c:pt idx="2211">
                  <c:v>61.64</c:v>
                </c:pt>
                <c:pt idx="2212">
                  <c:v>73.489999999999995</c:v>
                </c:pt>
                <c:pt idx="2213">
                  <c:v>77.150000000000006</c:v>
                </c:pt>
                <c:pt idx="2214">
                  <c:v>75.52</c:v>
                </c:pt>
                <c:pt idx="2215">
                  <c:v>80.33</c:v>
                </c:pt>
                <c:pt idx="2216">
                  <c:v>81.12</c:v>
                </c:pt>
                <c:pt idx="2217">
                  <c:v>81.05</c:v>
                </c:pt>
                <c:pt idx="2218">
                  <c:v>84.05</c:v>
                </c:pt>
                <c:pt idx="2219">
                  <c:v>83.47</c:v>
                </c:pt>
                <c:pt idx="2220">
                  <c:v>83.71</c:v>
                </c:pt>
                <c:pt idx="2221">
                  <c:v>72.05</c:v>
                </c:pt>
                <c:pt idx="2222">
                  <c:v>69.88</c:v>
                </c:pt>
                <c:pt idx="2223">
                  <c:v>14.48</c:v>
                </c:pt>
                <c:pt idx="2224">
                  <c:v>20.84</c:v>
                </c:pt>
                <c:pt idx="2225">
                  <c:v>34.78</c:v>
                </c:pt>
                <c:pt idx="2226">
                  <c:v>35.1</c:v>
                </c:pt>
                <c:pt idx="2227">
                  <c:v>41.39</c:v>
                </c:pt>
                <c:pt idx="2228">
                  <c:v>54.31</c:v>
                </c:pt>
                <c:pt idx="2229">
                  <c:v>60.05</c:v>
                </c:pt>
                <c:pt idx="2230">
                  <c:v>65.7</c:v>
                </c:pt>
                <c:pt idx="2231">
                  <c:v>59.42</c:v>
                </c:pt>
                <c:pt idx="2232">
                  <c:v>65.47</c:v>
                </c:pt>
                <c:pt idx="2233">
                  <c:v>76.67</c:v>
                </c:pt>
                <c:pt idx="2234">
                  <c:v>69.16</c:v>
                </c:pt>
                <c:pt idx="2235">
                  <c:v>70.66</c:v>
                </c:pt>
                <c:pt idx="2236">
                  <c:v>62.75</c:v>
                </c:pt>
                <c:pt idx="2237">
                  <c:v>62.01</c:v>
                </c:pt>
                <c:pt idx="2238">
                  <c:v>52.02</c:v>
                </c:pt>
                <c:pt idx="2239">
                  <c:v>36.450000000000003</c:v>
                </c:pt>
                <c:pt idx="2240">
                  <c:v>38.5</c:v>
                </c:pt>
                <c:pt idx="2241">
                  <c:v>33.6</c:v>
                </c:pt>
                <c:pt idx="2242">
                  <c:v>21.64</c:v>
                </c:pt>
                <c:pt idx="2243">
                  <c:v>24.05</c:v>
                </c:pt>
                <c:pt idx="2244">
                  <c:v>13.29</c:v>
                </c:pt>
                <c:pt idx="2245">
                  <c:v>16.87</c:v>
                </c:pt>
                <c:pt idx="2246">
                  <c:v>18.489999999999998</c:v>
                </c:pt>
                <c:pt idx="2247">
                  <c:v>30.53</c:v>
                </c:pt>
                <c:pt idx="2248">
                  <c:v>28.6</c:v>
                </c:pt>
                <c:pt idx="2249">
                  <c:v>34.770000000000003</c:v>
                </c:pt>
                <c:pt idx="2250">
                  <c:v>50.81</c:v>
                </c:pt>
                <c:pt idx="2251">
                  <c:v>66.16</c:v>
                </c:pt>
                <c:pt idx="2252">
                  <c:v>64.19</c:v>
                </c:pt>
                <c:pt idx="2253">
                  <c:v>65.25</c:v>
                </c:pt>
                <c:pt idx="2254">
                  <c:v>67.86</c:v>
                </c:pt>
                <c:pt idx="2255">
                  <c:v>68.099999999999994</c:v>
                </c:pt>
                <c:pt idx="2256">
                  <c:v>68.3</c:v>
                </c:pt>
                <c:pt idx="2257">
                  <c:v>63.79</c:v>
                </c:pt>
                <c:pt idx="2258">
                  <c:v>64.83</c:v>
                </c:pt>
                <c:pt idx="2259">
                  <c:v>50.21</c:v>
                </c:pt>
                <c:pt idx="2260">
                  <c:v>35.4</c:v>
                </c:pt>
                <c:pt idx="2261">
                  <c:v>40.75</c:v>
                </c:pt>
                <c:pt idx="2262">
                  <c:v>38.51</c:v>
                </c:pt>
                <c:pt idx="2263">
                  <c:v>34.479999999999997</c:v>
                </c:pt>
                <c:pt idx="2264">
                  <c:v>23.29</c:v>
                </c:pt>
                <c:pt idx="2265">
                  <c:v>27.86</c:v>
                </c:pt>
                <c:pt idx="2266">
                  <c:v>23.92</c:v>
                </c:pt>
                <c:pt idx="2267">
                  <c:v>23.79</c:v>
                </c:pt>
                <c:pt idx="2268">
                  <c:v>30.58</c:v>
                </c:pt>
                <c:pt idx="2269">
                  <c:v>36.54</c:v>
                </c:pt>
                <c:pt idx="2270">
                  <c:v>44.47</c:v>
                </c:pt>
                <c:pt idx="2271">
                  <c:v>52.06</c:v>
                </c:pt>
                <c:pt idx="2272">
                  <c:v>64.75</c:v>
                </c:pt>
                <c:pt idx="2273">
                  <c:v>55.78</c:v>
                </c:pt>
                <c:pt idx="2274">
                  <c:v>69.08</c:v>
                </c:pt>
                <c:pt idx="2275">
                  <c:v>70.150000000000006</c:v>
                </c:pt>
                <c:pt idx="2276">
                  <c:v>70.09</c:v>
                </c:pt>
                <c:pt idx="2277">
                  <c:v>65.06</c:v>
                </c:pt>
                <c:pt idx="2278">
                  <c:v>57.21</c:v>
                </c:pt>
                <c:pt idx="2279">
                  <c:v>47.35</c:v>
                </c:pt>
                <c:pt idx="2280">
                  <c:v>30.27</c:v>
                </c:pt>
                <c:pt idx="2281">
                  <c:v>23.04</c:v>
                </c:pt>
                <c:pt idx="2282">
                  <c:v>32.49</c:v>
                </c:pt>
                <c:pt idx="2283">
                  <c:v>33.4</c:v>
                </c:pt>
                <c:pt idx="2284">
                  <c:v>41.31</c:v>
                </c:pt>
                <c:pt idx="2285">
                  <c:v>37.299999999999997</c:v>
                </c:pt>
                <c:pt idx="2286">
                  <c:v>41.5</c:v>
                </c:pt>
                <c:pt idx="2287">
                  <c:v>60.13</c:v>
                </c:pt>
                <c:pt idx="2288">
                  <c:v>63.36</c:v>
                </c:pt>
                <c:pt idx="2289">
                  <c:v>69.39</c:v>
                </c:pt>
                <c:pt idx="2290">
                  <c:v>60.93</c:v>
                </c:pt>
                <c:pt idx="2291">
                  <c:v>69.209999999999994</c:v>
                </c:pt>
                <c:pt idx="2292">
                  <c:v>64.13</c:v>
                </c:pt>
                <c:pt idx="2293">
                  <c:v>63.3</c:v>
                </c:pt>
                <c:pt idx="2294">
                  <c:v>62.67</c:v>
                </c:pt>
                <c:pt idx="2295">
                  <c:v>57.1</c:v>
                </c:pt>
                <c:pt idx="2296">
                  <c:v>46.74</c:v>
                </c:pt>
                <c:pt idx="2297">
                  <c:v>38.99</c:v>
                </c:pt>
                <c:pt idx="2298">
                  <c:v>33</c:v>
                </c:pt>
                <c:pt idx="2299">
                  <c:v>33.9</c:v>
                </c:pt>
                <c:pt idx="2300">
                  <c:v>23.76</c:v>
                </c:pt>
                <c:pt idx="2301">
                  <c:v>14.56</c:v>
                </c:pt>
                <c:pt idx="2302">
                  <c:v>16.809999999999999</c:v>
                </c:pt>
                <c:pt idx="2303">
                  <c:v>34.99</c:v>
                </c:pt>
                <c:pt idx="2304">
                  <c:v>31.6</c:v>
                </c:pt>
                <c:pt idx="2305">
                  <c:v>38.159999999999997</c:v>
                </c:pt>
                <c:pt idx="2306">
                  <c:v>42.87</c:v>
                </c:pt>
                <c:pt idx="2307">
                  <c:v>41.2</c:v>
                </c:pt>
                <c:pt idx="2308">
                  <c:v>54.81</c:v>
                </c:pt>
                <c:pt idx="2309">
                  <c:v>61.1</c:v>
                </c:pt>
                <c:pt idx="2310">
                  <c:v>67.010000000000005</c:v>
                </c:pt>
                <c:pt idx="2311">
                  <c:v>68.489999999999995</c:v>
                </c:pt>
                <c:pt idx="2312">
                  <c:v>72.19</c:v>
                </c:pt>
                <c:pt idx="2313">
                  <c:v>67.650000000000006</c:v>
                </c:pt>
                <c:pt idx="2314">
                  <c:v>70.37</c:v>
                </c:pt>
                <c:pt idx="2315">
                  <c:v>58.31</c:v>
                </c:pt>
                <c:pt idx="2316">
                  <c:v>58.74</c:v>
                </c:pt>
                <c:pt idx="2317">
                  <c:v>35.04</c:v>
                </c:pt>
                <c:pt idx="2318">
                  <c:v>32.869999999999997</c:v>
                </c:pt>
                <c:pt idx="2319">
                  <c:v>34.53</c:v>
                </c:pt>
                <c:pt idx="2320">
                  <c:v>17.05</c:v>
                </c:pt>
                <c:pt idx="2321">
                  <c:v>37.21</c:v>
                </c:pt>
                <c:pt idx="2322">
                  <c:v>31.65</c:v>
                </c:pt>
                <c:pt idx="2323">
                  <c:v>22</c:v>
                </c:pt>
                <c:pt idx="2324">
                  <c:v>27.39</c:v>
                </c:pt>
                <c:pt idx="2325">
                  <c:v>35.299999999999997</c:v>
                </c:pt>
                <c:pt idx="2326">
                  <c:v>48.48</c:v>
                </c:pt>
                <c:pt idx="2327">
                  <c:v>52.86</c:v>
                </c:pt>
                <c:pt idx="2328">
                  <c:v>50.22</c:v>
                </c:pt>
                <c:pt idx="2329">
                  <c:v>57.29</c:v>
                </c:pt>
                <c:pt idx="2330">
                  <c:v>65.11</c:v>
                </c:pt>
                <c:pt idx="2331">
                  <c:v>74.47</c:v>
                </c:pt>
                <c:pt idx="2332">
                  <c:v>73.16</c:v>
                </c:pt>
                <c:pt idx="2333">
                  <c:v>71.73</c:v>
                </c:pt>
                <c:pt idx="2334">
                  <c:v>67.41</c:v>
                </c:pt>
                <c:pt idx="2335">
                  <c:v>50.14</c:v>
                </c:pt>
                <c:pt idx="2336">
                  <c:v>39.380000000000003</c:v>
                </c:pt>
                <c:pt idx="2337">
                  <c:v>54.34</c:v>
                </c:pt>
                <c:pt idx="2338">
                  <c:v>49.96</c:v>
                </c:pt>
                <c:pt idx="2339">
                  <c:v>55.92</c:v>
                </c:pt>
                <c:pt idx="2340">
                  <c:v>52.33</c:v>
                </c:pt>
                <c:pt idx="2341">
                  <c:v>63.66</c:v>
                </c:pt>
                <c:pt idx="2342">
                  <c:v>65.290000000000006</c:v>
                </c:pt>
                <c:pt idx="2343">
                  <c:v>71.06</c:v>
                </c:pt>
                <c:pt idx="2344">
                  <c:v>82.82</c:v>
                </c:pt>
                <c:pt idx="2345">
                  <c:v>89.67</c:v>
                </c:pt>
                <c:pt idx="2346">
                  <c:v>92.89</c:v>
                </c:pt>
                <c:pt idx="2347">
                  <c:v>91.03</c:v>
                </c:pt>
                <c:pt idx="2348">
                  <c:v>86.13</c:v>
                </c:pt>
                <c:pt idx="2349">
                  <c:v>83.8</c:v>
                </c:pt>
                <c:pt idx="2350">
                  <c:v>84.04</c:v>
                </c:pt>
                <c:pt idx="2351">
                  <c:v>86.01</c:v>
                </c:pt>
                <c:pt idx="2352">
                  <c:v>77.040000000000006</c:v>
                </c:pt>
                <c:pt idx="2353">
                  <c:v>71.040000000000006</c:v>
                </c:pt>
                <c:pt idx="2354">
                  <c:v>61.24</c:v>
                </c:pt>
                <c:pt idx="2355">
                  <c:v>51.17</c:v>
                </c:pt>
                <c:pt idx="2356">
                  <c:v>60.51</c:v>
                </c:pt>
                <c:pt idx="2357">
                  <c:v>43.43</c:v>
                </c:pt>
                <c:pt idx="2358">
                  <c:v>44.88</c:v>
                </c:pt>
                <c:pt idx="2359">
                  <c:v>51.51</c:v>
                </c:pt>
                <c:pt idx="2360">
                  <c:v>56.96</c:v>
                </c:pt>
                <c:pt idx="2361">
                  <c:v>64.22</c:v>
                </c:pt>
                <c:pt idx="2362">
                  <c:v>67.64</c:v>
                </c:pt>
                <c:pt idx="2363">
                  <c:v>73.03</c:v>
                </c:pt>
                <c:pt idx="2364">
                  <c:v>73.56</c:v>
                </c:pt>
                <c:pt idx="2365">
                  <c:v>81.87</c:v>
                </c:pt>
                <c:pt idx="2366">
                  <c:v>84.57</c:v>
                </c:pt>
                <c:pt idx="2367">
                  <c:v>95.36</c:v>
                </c:pt>
                <c:pt idx="2368">
                  <c:v>88.57</c:v>
                </c:pt>
                <c:pt idx="2369">
                  <c:v>89.8</c:v>
                </c:pt>
                <c:pt idx="2370">
                  <c:v>85.61</c:v>
                </c:pt>
                <c:pt idx="2371">
                  <c:v>91.61</c:v>
                </c:pt>
                <c:pt idx="2372">
                  <c:v>89.06</c:v>
                </c:pt>
                <c:pt idx="2373">
                  <c:v>75.010000000000005</c:v>
                </c:pt>
                <c:pt idx="2374">
                  <c:v>68.569999999999993</c:v>
                </c:pt>
                <c:pt idx="2375">
                  <c:v>55.28</c:v>
                </c:pt>
                <c:pt idx="2376">
                  <c:v>57.29</c:v>
                </c:pt>
                <c:pt idx="2377">
                  <c:v>42.58</c:v>
                </c:pt>
                <c:pt idx="2378">
                  <c:v>59.85</c:v>
                </c:pt>
                <c:pt idx="2379">
                  <c:v>56.85</c:v>
                </c:pt>
                <c:pt idx="2380">
                  <c:v>55.73</c:v>
                </c:pt>
                <c:pt idx="2381">
                  <c:v>57.62</c:v>
                </c:pt>
                <c:pt idx="2382">
                  <c:v>57.65</c:v>
                </c:pt>
                <c:pt idx="2383">
                  <c:v>65.989999999999995</c:v>
                </c:pt>
                <c:pt idx="2384">
                  <c:v>77.02</c:v>
                </c:pt>
                <c:pt idx="2385">
                  <c:v>76.03</c:v>
                </c:pt>
                <c:pt idx="2386">
                  <c:v>80.06</c:v>
                </c:pt>
                <c:pt idx="2387">
                  <c:v>86.87</c:v>
                </c:pt>
                <c:pt idx="2388">
                  <c:v>86.87</c:v>
                </c:pt>
                <c:pt idx="2389">
                  <c:v>84.76</c:v>
                </c:pt>
                <c:pt idx="2390">
                  <c:v>90.78</c:v>
                </c:pt>
                <c:pt idx="2391">
                  <c:v>83.07</c:v>
                </c:pt>
                <c:pt idx="2392">
                  <c:v>80.88</c:v>
                </c:pt>
                <c:pt idx="2393">
                  <c:v>76.03</c:v>
                </c:pt>
                <c:pt idx="2394">
                  <c:v>47.31</c:v>
                </c:pt>
                <c:pt idx="2395">
                  <c:v>47.99</c:v>
                </c:pt>
                <c:pt idx="2396">
                  <c:v>52.89</c:v>
                </c:pt>
                <c:pt idx="2397">
                  <c:v>53.67</c:v>
                </c:pt>
                <c:pt idx="2398">
                  <c:v>62.19</c:v>
                </c:pt>
                <c:pt idx="2399">
                  <c:v>64.37</c:v>
                </c:pt>
                <c:pt idx="2400">
                  <c:v>67.16</c:v>
                </c:pt>
                <c:pt idx="2401">
                  <c:v>82.76</c:v>
                </c:pt>
                <c:pt idx="2402">
                  <c:v>88.12</c:v>
                </c:pt>
                <c:pt idx="2403">
                  <c:v>80.17</c:v>
                </c:pt>
                <c:pt idx="2404">
                  <c:v>81.52</c:v>
                </c:pt>
                <c:pt idx="2405">
                  <c:v>84.66</c:v>
                </c:pt>
                <c:pt idx="2406">
                  <c:v>80.430000000000007</c:v>
                </c:pt>
                <c:pt idx="2407">
                  <c:v>81.319999999999993</c:v>
                </c:pt>
                <c:pt idx="2408">
                  <c:v>77.930000000000007</c:v>
                </c:pt>
                <c:pt idx="2409">
                  <c:v>72.81</c:v>
                </c:pt>
                <c:pt idx="2410">
                  <c:v>62.52</c:v>
                </c:pt>
                <c:pt idx="2411">
                  <c:v>59.98</c:v>
                </c:pt>
                <c:pt idx="2412">
                  <c:v>44.56</c:v>
                </c:pt>
                <c:pt idx="2413">
                  <c:v>52.52</c:v>
                </c:pt>
                <c:pt idx="2414">
                  <c:v>40.47</c:v>
                </c:pt>
                <c:pt idx="2415">
                  <c:v>33.21</c:v>
                </c:pt>
                <c:pt idx="2416">
                  <c:v>40.65</c:v>
                </c:pt>
                <c:pt idx="2417">
                  <c:v>60.26</c:v>
                </c:pt>
                <c:pt idx="2418">
                  <c:v>60.24</c:v>
                </c:pt>
                <c:pt idx="2419">
                  <c:v>67.790000000000006</c:v>
                </c:pt>
                <c:pt idx="2420">
                  <c:v>70.349999999999994</c:v>
                </c:pt>
                <c:pt idx="2421">
                  <c:v>66.77</c:v>
                </c:pt>
                <c:pt idx="2422">
                  <c:v>83.49</c:v>
                </c:pt>
                <c:pt idx="2423">
                  <c:v>85.81</c:v>
                </c:pt>
                <c:pt idx="2424">
                  <c:v>91.36</c:v>
                </c:pt>
                <c:pt idx="2425">
                  <c:v>87.02</c:v>
                </c:pt>
                <c:pt idx="2426">
                  <c:v>87.47</c:v>
                </c:pt>
                <c:pt idx="2427">
                  <c:v>86.64</c:v>
                </c:pt>
                <c:pt idx="2428">
                  <c:v>87.84</c:v>
                </c:pt>
                <c:pt idx="2429">
                  <c:v>79.290000000000006</c:v>
                </c:pt>
                <c:pt idx="2430">
                  <c:v>74.17</c:v>
                </c:pt>
                <c:pt idx="2431">
                  <c:v>59.08</c:v>
                </c:pt>
                <c:pt idx="2432">
                  <c:v>51.26</c:v>
                </c:pt>
                <c:pt idx="2433">
                  <c:v>47.49</c:v>
                </c:pt>
                <c:pt idx="2434">
                  <c:v>34.229999999999997</c:v>
                </c:pt>
                <c:pt idx="2435">
                  <c:v>47.59</c:v>
                </c:pt>
                <c:pt idx="2436">
                  <c:v>51.92</c:v>
                </c:pt>
                <c:pt idx="2437">
                  <c:v>46.54</c:v>
                </c:pt>
                <c:pt idx="2438">
                  <c:v>56.43</c:v>
                </c:pt>
                <c:pt idx="2439">
                  <c:v>54.52</c:v>
                </c:pt>
                <c:pt idx="2440">
                  <c:v>64.7</c:v>
                </c:pt>
                <c:pt idx="2441">
                  <c:v>77.47</c:v>
                </c:pt>
                <c:pt idx="2442">
                  <c:v>67.59</c:v>
                </c:pt>
                <c:pt idx="2443">
                  <c:v>80.89</c:v>
                </c:pt>
                <c:pt idx="2444">
                  <c:v>85.73</c:v>
                </c:pt>
                <c:pt idx="2445">
                  <c:v>82.68</c:v>
                </c:pt>
                <c:pt idx="2446">
                  <c:v>85.06</c:v>
                </c:pt>
                <c:pt idx="2447">
                  <c:v>86.36</c:v>
                </c:pt>
                <c:pt idx="2448">
                  <c:v>84.99</c:v>
                </c:pt>
                <c:pt idx="2449">
                  <c:v>74.09</c:v>
                </c:pt>
                <c:pt idx="2450">
                  <c:v>71.14</c:v>
                </c:pt>
                <c:pt idx="2451">
                  <c:v>31.53</c:v>
                </c:pt>
                <c:pt idx="2452">
                  <c:v>33.159999999999997</c:v>
                </c:pt>
                <c:pt idx="2453">
                  <c:v>40.65</c:v>
                </c:pt>
                <c:pt idx="2454">
                  <c:v>37.619999999999997</c:v>
                </c:pt>
                <c:pt idx="2455">
                  <c:v>42.15</c:v>
                </c:pt>
                <c:pt idx="2456">
                  <c:v>38.97</c:v>
                </c:pt>
                <c:pt idx="2457">
                  <c:v>44.42</c:v>
                </c:pt>
                <c:pt idx="2458">
                  <c:v>59.85</c:v>
                </c:pt>
                <c:pt idx="2459">
                  <c:v>65.239999999999995</c:v>
                </c:pt>
                <c:pt idx="2460">
                  <c:v>78.819999999999993</c:v>
                </c:pt>
                <c:pt idx="2461">
                  <c:v>71.33</c:v>
                </c:pt>
                <c:pt idx="2462">
                  <c:v>81.239999999999995</c:v>
                </c:pt>
                <c:pt idx="2463">
                  <c:v>65.709999999999994</c:v>
                </c:pt>
                <c:pt idx="2464">
                  <c:v>65.739999999999995</c:v>
                </c:pt>
                <c:pt idx="2465">
                  <c:v>68.739999999999995</c:v>
                </c:pt>
                <c:pt idx="2466">
                  <c:v>63.03</c:v>
                </c:pt>
                <c:pt idx="2467">
                  <c:v>49.96</c:v>
                </c:pt>
                <c:pt idx="2468">
                  <c:v>42.55</c:v>
                </c:pt>
                <c:pt idx="2469">
                  <c:v>25.8</c:v>
                </c:pt>
                <c:pt idx="2470">
                  <c:v>36.78</c:v>
                </c:pt>
                <c:pt idx="2471">
                  <c:v>16.940000000000001</c:v>
                </c:pt>
                <c:pt idx="2472">
                  <c:v>23.35</c:v>
                </c:pt>
                <c:pt idx="2473">
                  <c:v>30.83</c:v>
                </c:pt>
                <c:pt idx="2474">
                  <c:v>34.229999999999997</c:v>
                </c:pt>
                <c:pt idx="2475">
                  <c:v>41.28</c:v>
                </c:pt>
                <c:pt idx="2476">
                  <c:v>42.49</c:v>
                </c:pt>
                <c:pt idx="2477">
                  <c:v>42.75</c:v>
                </c:pt>
                <c:pt idx="2478">
                  <c:v>47.75</c:v>
                </c:pt>
                <c:pt idx="2479">
                  <c:v>52.76</c:v>
                </c:pt>
                <c:pt idx="2480">
                  <c:v>61.39</c:v>
                </c:pt>
                <c:pt idx="2481">
                  <c:v>74.290000000000006</c:v>
                </c:pt>
                <c:pt idx="2482">
                  <c:v>77.3</c:v>
                </c:pt>
                <c:pt idx="2483">
                  <c:v>75.56</c:v>
                </c:pt>
                <c:pt idx="2484">
                  <c:v>75.95</c:v>
                </c:pt>
                <c:pt idx="2485">
                  <c:v>77</c:v>
                </c:pt>
                <c:pt idx="2486">
                  <c:v>70.19</c:v>
                </c:pt>
                <c:pt idx="2487">
                  <c:v>60.62</c:v>
                </c:pt>
                <c:pt idx="2488">
                  <c:v>43.51</c:v>
                </c:pt>
                <c:pt idx="2489">
                  <c:v>33.799999999999997</c:v>
                </c:pt>
                <c:pt idx="2490">
                  <c:v>33.94</c:v>
                </c:pt>
                <c:pt idx="2491">
                  <c:v>24.82</c:v>
                </c:pt>
                <c:pt idx="2492">
                  <c:v>33.799999999999997</c:v>
                </c:pt>
                <c:pt idx="2493">
                  <c:v>31.39</c:v>
                </c:pt>
                <c:pt idx="2494">
                  <c:v>33.729999999999997</c:v>
                </c:pt>
                <c:pt idx="2495">
                  <c:v>32.36</c:v>
                </c:pt>
                <c:pt idx="2496">
                  <c:v>38.24</c:v>
                </c:pt>
                <c:pt idx="2497">
                  <c:v>48.85</c:v>
                </c:pt>
                <c:pt idx="2498">
                  <c:v>54.41</c:v>
                </c:pt>
                <c:pt idx="2499">
                  <c:v>56.47</c:v>
                </c:pt>
                <c:pt idx="2500">
                  <c:v>61.11</c:v>
                </c:pt>
                <c:pt idx="2501">
                  <c:v>68.400000000000006</c:v>
                </c:pt>
                <c:pt idx="2502">
                  <c:v>79.23</c:v>
                </c:pt>
                <c:pt idx="2503">
                  <c:v>81.99</c:v>
                </c:pt>
                <c:pt idx="2504">
                  <c:v>81.69</c:v>
                </c:pt>
                <c:pt idx="2505">
                  <c:v>70.650000000000006</c:v>
                </c:pt>
                <c:pt idx="2506">
                  <c:v>61.79</c:v>
                </c:pt>
                <c:pt idx="2507">
                  <c:v>55.1</c:v>
                </c:pt>
                <c:pt idx="2508">
                  <c:v>27.31</c:v>
                </c:pt>
                <c:pt idx="2509">
                  <c:v>27.73</c:v>
                </c:pt>
                <c:pt idx="2510">
                  <c:v>37.130000000000003</c:v>
                </c:pt>
                <c:pt idx="2511">
                  <c:v>45.8</c:v>
                </c:pt>
                <c:pt idx="2512">
                  <c:v>47.74</c:v>
                </c:pt>
                <c:pt idx="2513">
                  <c:v>65.45</c:v>
                </c:pt>
                <c:pt idx="2514">
                  <c:v>70.75</c:v>
                </c:pt>
                <c:pt idx="2515">
                  <c:v>75.930000000000007</c:v>
                </c:pt>
                <c:pt idx="2516">
                  <c:v>69.709999999999994</c:v>
                </c:pt>
                <c:pt idx="2517">
                  <c:v>76.61</c:v>
                </c:pt>
                <c:pt idx="2518">
                  <c:v>82.45</c:v>
                </c:pt>
                <c:pt idx="2519">
                  <c:v>77.17</c:v>
                </c:pt>
                <c:pt idx="2520">
                  <c:v>78.37</c:v>
                </c:pt>
                <c:pt idx="2521">
                  <c:v>70.87</c:v>
                </c:pt>
                <c:pt idx="2522">
                  <c:v>70.58</c:v>
                </c:pt>
                <c:pt idx="2523">
                  <c:v>56.49</c:v>
                </c:pt>
                <c:pt idx="2524">
                  <c:v>45.65</c:v>
                </c:pt>
                <c:pt idx="2525">
                  <c:v>46.14</c:v>
                </c:pt>
                <c:pt idx="2526">
                  <c:v>40.93</c:v>
                </c:pt>
                <c:pt idx="2527">
                  <c:v>30.54</c:v>
                </c:pt>
                <c:pt idx="2528">
                  <c:v>34.32</c:v>
                </c:pt>
                <c:pt idx="2529">
                  <c:v>28.73</c:v>
                </c:pt>
                <c:pt idx="2530">
                  <c:v>30.3</c:v>
                </c:pt>
                <c:pt idx="2531">
                  <c:v>38.65</c:v>
                </c:pt>
                <c:pt idx="2532">
                  <c:v>45.01</c:v>
                </c:pt>
                <c:pt idx="2533">
                  <c:v>37.270000000000003</c:v>
                </c:pt>
                <c:pt idx="2534">
                  <c:v>48.71</c:v>
                </c:pt>
                <c:pt idx="2535">
                  <c:v>58.21</c:v>
                </c:pt>
                <c:pt idx="2536">
                  <c:v>76.38</c:v>
                </c:pt>
                <c:pt idx="2537">
                  <c:v>73.88</c:v>
                </c:pt>
                <c:pt idx="2538">
                  <c:v>74.040000000000006</c:v>
                </c:pt>
                <c:pt idx="2539">
                  <c:v>77.489999999999995</c:v>
                </c:pt>
                <c:pt idx="2540">
                  <c:v>78.22</c:v>
                </c:pt>
                <c:pt idx="2541">
                  <c:v>77</c:v>
                </c:pt>
                <c:pt idx="2542">
                  <c:v>70.63</c:v>
                </c:pt>
                <c:pt idx="2543">
                  <c:v>71.48</c:v>
                </c:pt>
                <c:pt idx="2544">
                  <c:v>55.82</c:v>
                </c:pt>
                <c:pt idx="2545">
                  <c:v>43.92</c:v>
                </c:pt>
                <c:pt idx="2546">
                  <c:v>47.65</c:v>
                </c:pt>
                <c:pt idx="2547">
                  <c:v>50.19</c:v>
                </c:pt>
                <c:pt idx="2548">
                  <c:v>46.57</c:v>
                </c:pt>
                <c:pt idx="2549">
                  <c:v>35.880000000000003</c:v>
                </c:pt>
                <c:pt idx="2550">
                  <c:v>42.96</c:v>
                </c:pt>
                <c:pt idx="2551">
                  <c:v>37</c:v>
                </c:pt>
                <c:pt idx="2552">
                  <c:v>41.55</c:v>
                </c:pt>
                <c:pt idx="2553">
                  <c:v>45.52</c:v>
                </c:pt>
                <c:pt idx="2554">
                  <c:v>49.73</c:v>
                </c:pt>
                <c:pt idx="2555">
                  <c:v>55.21</c:v>
                </c:pt>
                <c:pt idx="2556">
                  <c:v>61.24</c:v>
                </c:pt>
                <c:pt idx="2557">
                  <c:v>74.48</c:v>
                </c:pt>
                <c:pt idx="2558">
                  <c:v>64.3</c:v>
                </c:pt>
                <c:pt idx="2559">
                  <c:v>82.99</c:v>
                </c:pt>
                <c:pt idx="2560">
                  <c:v>76.58</c:v>
                </c:pt>
                <c:pt idx="2561">
                  <c:v>78.650000000000006</c:v>
                </c:pt>
                <c:pt idx="2562">
                  <c:v>75.7</c:v>
                </c:pt>
                <c:pt idx="2563">
                  <c:v>64.89</c:v>
                </c:pt>
                <c:pt idx="2564">
                  <c:v>54.47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E-4799-82F4-7058484C25BB}"/>
            </c:ext>
          </c:extLst>
        </c:ser>
        <c:ser>
          <c:idx val="1"/>
          <c:order val="1"/>
          <c:tx>
            <c:v>Weekly_Sales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88E-4799-82F4-7058484C2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1472"/>
        <c:axId val="6082432"/>
      </c:scatterChart>
      <c:valAx>
        <c:axId val="6081472"/>
        <c:scaling>
          <c:orientation val="minMax"/>
          <c:max val="2800000"/>
          <c:min val="209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82432"/>
        <c:crosses val="autoZero"/>
        <c:crossBetween val="midCat"/>
      </c:valAx>
      <c:valAx>
        <c:axId val="6082432"/>
        <c:scaling>
          <c:orientation val="minMax"/>
          <c:min val="-2.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8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872746866906539"/>
          <c:y val="0.94078907562119751"/>
          <c:w val="0.64254488884253702"/>
          <c:h val="5.9210924378802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Preço</a:t>
            </a:r>
            <a:r>
              <a:rPr lang="pt-BR" baseline="0"/>
              <a:t> do Combustivél vs Vendas Semanais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740322335741085"/>
          <c:y val="0.13048369296637982"/>
          <c:w val="0.7471312119042971"/>
          <c:h val="0.65801850206206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Walmart_Sales!$H$1</c:f>
              <c:strCache>
                <c:ptCount val="1"/>
                <c:pt idx="0">
                  <c:v>Fuel_Price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313203618142773E-2"/>
                  <c:y val="-0.380646851945830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Walmart_Sales!$H$2:$H$2566</c:f>
              <c:numCache>
                <c:formatCode>"R$"\ #,##0.00</c:formatCode>
                <c:ptCount val="2565"/>
                <c:pt idx="0">
                  <c:v>2.5720000000000001</c:v>
                </c:pt>
                <c:pt idx="1">
                  <c:v>2.548</c:v>
                </c:pt>
                <c:pt idx="2">
                  <c:v>2.625</c:v>
                </c:pt>
                <c:pt idx="3">
                  <c:v>2.6669999999999998</c:v>
                </c:pt>
                <c:pt idx="4">
                  <c:v>2.7189999999999999</c:v>
                </c:pt>
                <c:pt idx="5">
                  <c:v>2.77</c:v>
                </c:pt>
                <c:pt idx="6">
                  <c:v>2.835</c:v>
                </c:pt>
                <c:pt idx="7">
                  <c:v>2.7050000000000001</c:v>
                </c:pt>
                <c:pt idx="8">
                  <c:v>2.6680000000000001</c:v>
                </c:pt>
                <c:pt idx="9">
                  <c:v>2.669</c:v>
                </c:pt>
                <c:pt idx="10">
                  <c:v>2.6419999999999999</c:v>
                </c:pt>
                <c:pt idx="11">
                  <c:v>2.6269999999999998</c:v>
                </c:pt>
                <c:pt idx="12">
                  <c:v>2.577</c:v>
                </c:pt>
                <c:pt idx="13">
                  <c:v>2.5649999999999999</c:v>
                </c:pt>
                <c:pt idx="14">
                  <c:v>2.6030000000000002</c:v>
                </c:pt>
                <c:pt idx="15">
                  <c:v>2.633</c:v>
                </c:pt>
                <c:pt idx="16">
                  <c:v>2.6890000000000001</c:v>
                </c:pt>
                <c:pt idx="17">
                  <c:v>2.7280000000000002</c:v>
                </c:pt>
                <c:pt idx="18">
                  <c:v>2.7080000000000002</c:v>
                </c:pt>
                <c:pt idx="19">
                  <c:v>2.843</c:v>
                </c:pt>
                <c:pt idx="20">
                  <c:v>2.976</c:v>
                </c:pt>
                <c:pt idx="21">
                  <c:v>2.9889999999999999</c:v>
                </c:pt>
                <c:pt idx="22">
                  <c:v>3.0219999999999998</c:v>
                </c:pt>
                <c:pt idx="23">
                  <c:v>3.2879999999999998</c:v>
                </c:pt>
                <c:pt idx="24">
                  <c:v>3.4590000000000001</c:v>
                </c:pt>
                <c:pt idx="25">
                  <c:v>3.524</c:v>
                </c:pt>
                <c:pt idx="26">
                  <c:v>3.6219999999999999</c:v>
                </c:pt>
                <c:pt idx="27">
                  <c:v>3.9060000000000001</c:v>
                </c:pt>
                <c:pt idx="28">
                  <c:v>3.6989999999999998</c:v>
                </c:pt>
                <c:pt idx="29">
                  <c:v>3.6480000000000001</c:v>
                </c:pt>
                <c:pt idx="30">
                  <c:v>3.524</c:v>
                </c:pt>
                <c:pt idx="31">
                  <c:v>3.48</c:v>
                </c:pt>
                <c:pt idx="32">
                  <c:v>3.6840000000000002</c:v>
                </c:pt>
                <c:pt idx="33">
                  <c:v>3.6379999999999999</c:v>
                </c:pt>
                <c:pt idx="34">
                  <c:v>3.5329999999999999</c:v>
                </c:pt>
                <c:pt idx="35">
                  <c:v>3.5459999999999998</c:v>
                </c:pt>
                <c:pt idx="36">
                  <c:v>3.2850000000000001</c:v>
                </c:pt>
                <c:pt idx="37">
                  <c:v>3.3319999999999999</c:v>
                </c:pt>
                <c:pt idx="38">
                  <c:v>3.2970000000000002</c:v>
                </c:pt>
                <c:pt idx="39">
                  <c:v>3.1720000000000002</c:v>
                </c:pt>
                <c:pt idx="40">
                  <c:v>3.1579999999999999</c:v>
                </c:pt>
                <c:pt idx="41">
                  <c:v>3.157</c:v>
                </c:pt>
                <c:pt idx="42">
                  <c:v>3.36</c:v>
                </c:pt>
                <c:pt idx="43">
                  <c:v>3.4089999999999998</c:v>
                </c:pt>
                <c:pt idx="44">
                  <c:v>3.63</c:v>
                </c:pt>
                <c:pt idx="45">
                  <c:v>3.669</c:v>
                </c:pt>
                <c:pt idx="46">
                  <c:v>3.891</c:v>
                </c:pt>
                <c:pt idx="47">
                  <c:v>3.7490000000000001</c:v>
                </c:pt>
                <c:pt idx="48">
                  <c:v>3.6880000000000002</c:v>
                </c:pt>
                <c:pt idx="49">
                  <c:v>3.5009999999999999</c:v>
                </c:pt>
                <c:pt idx="50">
                  <c:v>3.452</c:v>
                </c:pt>
                <c:pt idx="51">
                  <c:v>3.2269999999999999</c:v>
                </c:pt>
                <c:pt idx="52">
                  <c:v>3.4169999999999998</c:v>
                </c:pt>
                <c:pt idx="53">
                  <c:v>3.4940000000000002</c:v>
                </c:pt>
                <c:pt idx="54">
                  <c:v>3.73</c:v>
                </c:pt>
                <c:pt idx="55">
                  <c:v>3.617</c:v>
                </c:pt>
                <c:pt idx="56">
                  <c:v>3.601</c:v>
                </c:pt>
                <c:pt idx="57">
                  <c:v>2.5720000000000001</c:v>
                </c:pt>
                <c:pt idx="58">
                  <c:v>2.548</c:v>
                </c:pt>
                <c:pt idx="59">
                  <c:v>2.625</c:v>
                </c:pt>
                <c:pt idx="60">
                  <c:v>2.6669999999999998</c:v>
                </c:pt>
                <c:pt idx="61">
                  <c:v>2.7189999999999999</c:v>
                </c:pt>
                <c:pt idx="62">
                  <c:v>2.77</c:v>
                </c:pt>
                <c:pt idx="63">
                  <c:v>2.835</c:v>
                </c:pt>
                <c:pt idx="64">
                  <c:v>2.7050000000000001</c:v>
                </c:pt>
                <c:pt idx="65">
                  <c:v>2.6680000000000001</c:v>
                </c:pt>
                <c:pt idx="66">
                  <c:v>2.669</c:v>
                </c:pt>
                <c:pt idx="67">
                  <c:v>2.6419999999999999</c:v>
                </c:pt>
                <c:pt idx="68">
                  <c:v>2.6269999999999998</c:v>
                </c:pt>
                <c:pt idx="69">
                  <c:v>2.577</c:v>
                </c:pt>
                <c:pt idx="70">
                  <c:v>2.5649999999999999</c:v>
                </c:pt>
                <c:pt idx="71">
                  <c:v>2.6030000000000002</c:v>
                </c:pt>
                <c:pt idx="72">
                  <c:v>2.633</c:v>
                </c:pt>
                <c:pt idx="73">
                  <c:v>2.6890000000000001</c:v>
                </c:pt>
                <c:pt idx="74">
                  <c:v>2.7280000000000002</c:v>
                </c:pt>
                <c:pt idx="75">
                  <c:v>2.7080000000000002</c:v>
                </c:pt>
                <c:pt idx="76">
                  <c:v>2.843</c:v>
                </c:pt>
                <c:pt idx="77">
                  <c:v>2.976</c:v>
                </c:pt>
                <c:pt idx="78">
                  <c:v>2.9889999999999999</c:v>
                </c:pt>
                <c:pt idx="79">
                  <c:v>3.0219999999999998</c:v>
                </c:pt>
                <c:pt idx="80">
                  <c:v>3.2879999999999998</c:v>
                </c:pt>
                <c:pt idx="81">
                  <c:v>3.4590000000000001</c:v>
                </c:pt>
                <c:pt idx="82">
                  <c:v>3.524</c:v>
                </c:pt>
                <c:pt idx="83">
                  <c:v>3.6219999999999999</c:v>
                </c:pt>
                <c:pt idx="84">
                  <c:v>3.9060000000000001</c:v>
                </c:pt>
                <c:pt idx="85">
                  <c:v>3.6989999999999998</c:v>
                </c:pt>
                <c:pt idx="86">
                  <c:v>3.6480000000000001</c:v>
                </c:pt>
                <c:pt idx="87">
                  <c:v>3.524</c:v>
                </c:pt>
                <c:pt idx="88">
                  <c:v>3.48</c:v>
                </c:pt>
                <c:pt idx="89">
                  <c:v>3.6840000000000002</c:v>
                </c:pt>
                <c:pt idx="90">
                  <c:v>3.6379999999999999</c:v>
                </c:pt>
                <c:pt idx="91">
                  <c:v>3.5329999999999999</c:v>
                </c:pt>
                <c:pt idx="92">
                  <c:v>3.5459999999999998</c:v>
                </c:pt>
                <c:pt idx="93">
                  <c:v>3.2850000000000001</c:v>
                </c:pt>
                <c:pt idx="94">
                  <c:v>3.3319999999999999</c:v>
                </c:pt>
                <c:pt idx="95">
                  <c:v>3.2970000000000002</c:v>
                </c:pt>
                <c:pt idx="96">
                  <c:v>3.1720000000000002</c:v>
                </c:pt>
                <c:pt idx="97">
                  <c:v>3.1579999999999999</c:v>
                </c:pt>
                <c:pt idx="98">
                  <c:v>3.157</c:v>
                </c:pt>
                <c:pt idx="99">
                  <c:v>3.36</c:v>
                </c:pt>
                <c:pt idx="100">
                  <c:v>3.4089999999999998</c:v>
                </c:pt>
                <c:pt idx="101">
                  <c:v>3.63</c:v>
                </c:pt>
                <c:pt idx="102">
                  <c:v>3.669</c:v>
                </c:pt>
                <c:pt idx="103">
                  <c:v>3.891</c:v>
                </c:pt>
                <c:pt idx="104">
                  <c:v>3.7490000000000001</c:v>
                </c:pt>
                <c:pt idx="105">
                  <c:v>3.6880000000000002</c:v>
                </c:pt>
                <c:pt idx="106">
                  <c:v>3.5009999999999999</c:v>
                </c:pt>
                <c:pt idx="107">
                  <c:v>3.452</c:v>
                </c:pt>
                <c:pt idx="108">
                  <c:v>3.2269999999999999</c:v>
                </c:pt>
                <c:pt idx="109">
                  <c:v>3.4169999999999998</c:v>
                </c:pt>
                <c:pt idx="110">
                  <c:v>3.4940000000000002</c:v>
                </c:pt>
                <c:pt idx="111">
                  <c:v>3.73</c:v>
                </c:pt>
                <c:pt idx="112">
                  <c:v>3.617</c:v>
                </c:pt>
                <c:pt idx="113">
                  <c:v>3.601</c:v>
                </c:pt>
                <c:pt idx="114">
                  <c:v>2.5720000000000001</c:v>
                </c:pt>
                <c:pt idx="115">
                  <c:v>2.548</c:v>
                </c:pt>
                <c:pt idx="116">
                  <c:v>2.625</c:v>
                </c:pt>
                <c:pt idx="117">
                  <c:v>2.6669999999999998</c:v>
                </c:pt>
                <c:pt idx="118">
                  <c:v>2.7189999999999999</c:v>
                </c:pt>
                <c:pt idx="119">
                  <c:v>2.77</c:v>
                </c:pt>
                <c:pt idx="120">
                  <c:v>2.835</c:v>
                </c:pt>
                <c:pt idx="121">
                  <c:v>2.7050000000000001</c:v>
                </c:pt>
                <c:pt idx="122">
                  <c:v>2.6680000000000001</c:v>
                </c:pt>
                <c:pt idx="123">
                  <c:v>2.669</c:v>
                </c:pt>
                <c:pt idx="124">
                  <c:v>2.6419999999999999</c:v>
                </c:pt>
                <c:pt idx="125">
                  <c:v>2.6269999999999998</c:v>
                </c:pt>
                <c:pt idx="126">
                  <c:v>2.577</c:v>
                </c:pt>
                <c:pt idx="127">
                  <c:v>2.5649999999999999</c:v>
                </c:pt>
                <c:pt idx="128">
                  <c:v>2.6030000000000002</c:v>
                </c:pt>
                <c:pt idx="129">
                  <c:v>2.633</c:v>
                </c:pt>
                <c:pt idx="130">
                  <c:v>2.6890000000000001</c:v>
                </c:pt>
                <c:pt idx="131">
                  <c:v>2.7280000000000002</c:v>
                </c:pt>
                <c:pt idx="132">
                  <c:v>2.7080000000000002</c:v>
                </c:pt>
                <c:pt idx="133">
                  <c:v>2.843</c:v>
                </c:pt>
                <c:pt idx="134">
                  <c:v>2.976</c:v>
                </c:pt>
                <c:pt idx="135">
                  <c:v>2.9889999999999999</c:v>
                </c:pt>
                <c:pt idx="136">
                  <c:v>3.0219999999999998</c:v>
                </c:pt>
                <c:pt idx="137">
                  <c:v>3.2879999999999998</c:v>
                </c:pt>
                <c:pt idx="138">
                  <c:v>3.4590000000000001</c:v>
                </c:pt>
                <c:pt idx="139">
                  <c:v>3.524</c:v>
                </c:pt>
                <c:pt idx="140">
                  <c:v>3.6219999999999999</c:v>
                </c:pt>
                <c:pt idx="141">
                  <c:v>3.9060000000000001</c:v>
                </c:pt>
                <c:pt idx="142">
                  <c:v>3.6989999999999998</c:v>
                </c:pt>
                <c:pt idx="143">
                  <c:v>3.6480000000000001</c:v>
                </c:pt>
                <c:pt idx="144">
                  <c:v>3.524</c:v>
                </c:pt>
                <c:pt idx="145">
                  <c:v>3.48</c:v>
                </c:pt>
                <c:pt idx="146">
                  <c:v>3.6840000000000002</c:v>
                </c:pt>
                <c:pt idx="147">
                  <c:v>3.6379999999999999</c:v>
                </c:pt>
                <c:pt idx="148">
                  <c:v>3.5329999999999999</c:v>
                </c:pt>
                <c:pt idx="149">
                  <c:v>3.5459999999999998</c:v>
                </c:pt>
                <c:pt idx="150">
                  <c:v>3.2850000000000001</c:v>
                </c:pt>
                <c:pt idx="151">
                  <c:v>3.3319999999999999</c:v>
                </c:pt>
                <c:pt idx="152">
                  <c:v>3.2970000000000002</c:v>
                </c:pt>
                <c:pt idx="153">
                  <c:v>3.1720000000000002</c:v>
                </c:pt>
                <c:pt idx="154">
                  <c:v>3.1579999999999999</c:v>
                </c:pt>
                <c:pt idx="155">
                  <c:v>3.157</c:v>
                </c:pt>
                <c:pt idx="156">
                  <c:v>3.36</c:v>
                </c:pt>
                <c:pt idx="157">
                  <c:v>3.4089999999999998</c:v>
                </c:pt>
                <c:pt idx="158">
                  <c:v>3.63</c:v>
                </c:pt>
                <c:pt idx="159">
                  <c:v>3.669</c:v>
                </c:pt>
                <c:pt idx="160">
                  <c:v>3.891</c:v>
                </c:pt>
                <c:pt idx="161">
                  <c:v>3.7490000000000001</c:v>
                </c:pt>
                <c:pt idx="162">
                  <c:v>3.6880000000000002</c:v>
                </c:pt>
                <c:pt idx="163">
                  <c:v>3.5009999999999999</c:v>
                </c:pt>
                <c:pt idx="164">
                  <c:v>3.452</c:v>
                </c:pt>
                <c:pt idx="165">
                  <c:v>3.2269999999999999</c:v>
                </c:pt>
                <c:pt idx="166">
                  <c:v>3.4169999999999998</c:v>
                </c:pt>
                <c:pt idx="167">
                  <c:v>3.4940000000000002</c:v>
                </c:pt>
                <c:pt idx="168">
                  <c:v>3.73</c:v>
                </c:pt>
                <c:pt idx="169">
                  <c:v>3.617</c:v>
                </c:pt>
                <c:pt idx="170">
                  <c:v>3.601</c:v>
                </c:pt>
                <c:pt idx="171">
                  <c:v>2.5979999999999999</c:v>
                </c:pt>
                <c:pt idx="172">
                  <c:v>2.573</c:v>
                </c:pt>
                <c:pt idx="173">
                  <c:v>2.6539999999999999</c:v>
                </c:pt>
                <c:pt idx="174">
                  <c:v>2.7040000000000002</c:v>
                </c:pt>
                <c:pt idx="175">
                  <c:v>2.74</c:v>
                </c:pt>
                <c:pt idx="176">
                  <c:v>2.7730000000000001</c:v>
                </c:pt>
                <c:pt idx="177">
                  <c:v>2.8359999999999999</c:v>
                </c:pt>
                <c:pt idx="178">
                  <c:v>2.7010000000000001</c:v>
                </c:pt>
                <c:pt idx="179">
                  <c:v>2.6680000000000001</c:v>
                </c:pt>
                <c:pt idx="180">
                  <c:v>2.6680000000000001</c:v>
                </c:pt>
                <c:pt idx="181">
                  <c:v>2.637</c:v>
                </c:pt>
                <c:pt idx="182">
                  <c:v>2.64</c:v>
                </c:pt>
                <c:pt idx="183">
                  <c:v>2.5840000000000001</c:v>
                </c:pt>
                <c:pt idx="184">
                  <c:v>2.5739999999999998</c:v>
                </c:pt>
                <c:pt idx="185">
                  <c:v>2.6190000000000002</c:v>
                </c:pt>
                <c:pt idx="186">
                  <c:v>2.645</c:v>
                </c:pt>
                <c:pt idx="187">
                  <c:v>2.6989999999999998</c:v>
                </c:pt>
                <c:pt idx="188">
                  <c:v>2.7410000000000001</c:v>
                </c:pt>
                <c:pt idx="189">
                  <c:v>2.7269999999999999</c:v>
                </c:pt>
                <c:pt idx="190">
                  <c:v>2.86</c:v>
                </c:pt>
                <c:pt idx="191">
                  <c:v>2.98</c:v>
                </c:pt>
                <c:pt idx="192">
                  <c:v>2.996</c:v>
                </c:pt>
                <c:pt idx="193">
                  <c:v>3.0329999999999999</c:v>
                </c:pt>
                <c:pt idx="194">
                  <c:v>3.3050000000000002</c:v>
                </c:pt>
                <c:pt idx="195">
                  <c:v>3.4609999999999999</c:v>
                </c:pt>
                <c:pt idx="196">
                  <c:v>3.5209999999999999</c:v>
                </c:pt>
                <c:pt idx="197">
                  <c:v>3.605</c:v>
                </c:pt>
                <c:pt idx="198">
                  <c:v>3.8660000000000001</c:v>
                </c:pt>
                <c:pt idx="199">
                  <c:v>3.6829999999999998</c:v>
                </c:pt>
                <c:pt idx="200">
                  <c:v>3.64</c:v>
                </c:pt>
                <c:pt idx="201">
                  <c:v>3.504</c:v>
                </c:pt>
                <c:pt idx="202">
                  <c:v>3.4689999999999999</c:v>
                </c:pt>
                <c:pt idx="203">
                  <c:v>3.6619999999999999</c:v>
                </c:pt>
                <c:pt idx="204">
                  <c:v>3.617</c:v>
                </c:pt>
                <c:pt idx="205">
                  <c:v>3.5329999999999999</c:v>
                </c:pt>
                <c:pt idx="206">
                  <c:v>3.5539999999999998</c:v>
                </c:pt>
                <c:pt idx="207">
                  <c:v>3.2989999999999999</c:v>
                </c:pt>
                <c:pt idx="208">
                  <c:v>3.3220000000000001</c:v>
                </c:pt>
                <c:pt idx="209">
                  <c:v>3.286</c:v>
                </c:pt>
                <c:pt idx="210">
                  <c:v>3.1760000000000002</c:v>
                </c:pt>
                <c:pt idx="211">
                  <c:v>3.153</c:v>
                </c:pt>
                <c:pt idx="212">
                  <c:v>3.1579999999999999</c:v>
                </c:pt>
                <c:pt idx="213">
                  <c:v>3.3540000000000001</c:v>
                </c:pt>
                <c:pt idx="214">
                  <c:v>3.411</c:v>
                </c:pt>
                <c:pt idx="215">
                  <c:v>3.6190000000000002</c:v>
                </c:pt>
                <c:pt idx="216">
                  <c:v>3.6669999999999998</c:v>
                </c:pt>
                <c:pt idx="217">
                  <c:v>3.8639999999999999</c:v>
                </c:pt>
                <c:pt idx="218">
                  <c:v>3.7469999999999999</c:v>
                </c:pt>
                <c:pt idx="219">
                  <c:v>3.6850000000000001</c:v>
                </c:pt>
                <c:pt idx="220">
                  <c:v>3.4830000000000001</c:v>
                </c:pt>
                <c:pt idx="221">
                  <c:v>3.4329999999999998</c:v>
                </c:pt>
                <c:pt idx="222">
                  <c:v>3.1869999999999998</c:v>
                </c:pt>
                <c:pt idx="223">
                  <c:v>3.3740000000000001</c:v>
                </c:pt>
                <c:pt idx="224">
                  <c:v>3.476</c:v>
                </c:pt>
                <c:pt idx="225">
                  <c:v>3.7090000000000001</c:v>
                </c:pt>
                <c:pt idx="226">
                  <c:v>3.62</c:v>
                </c:pt>
                <c:pt idx="227">
                  <c:v>3.6030000000000002</c:v>
                </c:pt>
                <c:pt idx="228">
                  <c:v>2.5720000000000001</c:v>
                </c:pt>
                <c:pt idx="229">
                  <c:v>2.548</c:v>
                </c:pt>
                <c:pt idx="230">
                  <c:v>2.625</c:v>
                </c:pt>
                <c:pt idx="231">
                  <c:v>2.6669999999999998</c:v>
                </c:pt>
                <c:pt idx="232">
                  <c:v>2.7189999999999999</c:v>
                </c:pt>
                <c:pt idx="233">
                  <c:v>2.77</c:v>
                </c:pt>
                <c:pt idx="234">
                  <c:v>2.835</c:v>
                </c:pt>
                <c:pt idx="235">
                  <c:v>2.7050000000000001</c:v>
                </c:pt>
                <c:pt idx="236">
                  <c:v>2.6680000000000001</c:v>
                </c:pt>
                <c:pt idx="237">
                  <c:v>2.669</c:v>
                </c:pt>
                <c:pt idx="238">
                  <c:v>2.6419999999999999</c:v>
                </c:pt>
                <c:pt idx="239">
                  <c:v>2.6269999999999998</c:v>
                </c:pt>
                <c:pt idx="240">
                  <c:v>2.577</c:v>
                </c:pt>
                <c:pt idx="241">
                  <c:v>2.5649999999999999</c:v>
                </c:pt>
                <c:pt idx="242">
                  <c:v>2.6030000000000002</c:v>
                </c:pt>
                <c:pt idx="243">
                  <c:v>2.633</c:v>
                </c:pt>
                <c:pt idx="244">
                  <c:v>2.6890000000000001</c:v>
                </c:pt>
                <c:pt idx="245">
                  <c:v>2.7280000000000002</c:v>
                </c:pt>
                <c:pt idx="246">
                  <c:v>2.7080000000000002</c:v>
                </c:pt>
                <c:pt idx="247">
                  <c:v>2.843</c:v>
                </c:pt>
                <c:pt idx="248">
                  <c:v>2.976</c:v>
                </c:pt>
                <c:pt idx="249">
                  <c:v>2.9889999999999999</c:v>
                </c:pt>
                <c:pt idx="250">
                  <c:v>3.0219999999999998</c:v>
                </c:pt>
                <c:pt idx="251">
                  <c:v>3.2879999999999998</c:v>
                </c:pt>
                <c:pt idx="252">
                  <c:v>3.4590000000000001</c:v>
                </c:pt>
                <c:pt idx="253">
                  <c:v>3.524</c:v>
                </c:pt>
                <c:pt idx="254">
                  <c:v>3.6219999999999999</c:v>
                </c:pt>
                <c:pt idx="255">
                  <c:v>3.9060000000000001</c:v>
                </c:pt>
                <c:pt idx="256">
                  <c:v>3.6989999999999998</c:v>
                </c:pt>
                <c:pt idx="257">
                  <c:v>3.6480000000000001</c:v>
                </c:pt>
                <c:pt idx="258">
                  <c:v>3.524</c:v>
                </c:pt>
                <c:pt idx="259">
                  <c:v>3.48</c:v>
                </c:pt>
                <c:pt idx="260">
                  <c:v>3.6840000000000002</c:v>
                </c:pt>
                <c:pt idx="261">
                  <c:v>3.6379999999999999</c:v>
                </c:pt>
                <c:pt idx="262">
                  <c:v>3.5329999999999999</c:v>
                </c:pt>
                <c:pt idx="263">
                  <c:v>3.5459999999999998</c:v>
                </c:pt>
                <c:pt idx="264">
                  <c:v>3.2850000000000001</c:v>
                </c:pt>
                <c:pt idx="265">
                  <c:v>3.3319999999999999</c:v>
                </c:pt>
                <c:pt idx="266">
                  <c:v>3.2970000000000002</c:v>
                </c:pt>
                <c:pt idx="267">
                  <c:v>3.1720000000000002</c:v>
                </c:pt>
                <c:pt idx="268">
                  <c:v>3.1579999999999999</c:v>
                </c:pt>
                <c:pt idx="269">
                  <c:v>3.157</c:v>
                </c:pt>
                <c:pt idx="270">
                  <c:v>3.36</c:v>
                </c:pt>
                <c:pt idx="271">
                  <c:v>3.4089999999999998</c:v>
                </c:pt>
                <c:pt idx="272">
                  <c:v>3.63</c:v>
                </c:pt>
                <c:pt idx="273">
                  <c:v>3.669</c:v>
                </c:pt>
                <c:pt idx="274">
                  <c:v>3.891</c:v>
                </c:pt>
                <c:pt idx="275">
                  <c:v>3.7490000000000001</c:v>
                </c:pt>
                <c:pt idx="276">
                  <c:v>3.6880000000000002</c:v>
                </c:pt>
                <c:pt idx="277">
                  <c:v>3.5009999999999999</c:v>
                </c:pt>
                <c:pt idx="278">
                  <c:v>3.452</c:v>
                </c:pt>
                <c:pt idx="279">
                  <c:v>3.2269999999999999</c:v>
                </c:pt>
                <c:pt idx="280">
                  <c:v>3.4169999999999998</c:v>
                </c:pt>
                <c:pt idx="281">
                  <c:v>3.4940000000000002</c:v>
                </c:pt>
                <c:pt idx="282">
                  <c:v>3.73</c:v>
                </c:pt>
                <c:pt idx="283">
                  <c:v>3.617</c:v>
                </c:pt>
                <c:pt idx="284">
                  <c:v>3.601</c:v>
                </c:pt>
                <c:pt idx="285">
                  <c:v>2.5720000000000001</c:v>
                </c:pt>
                <c:pt idx="286">
                  <c:v>2.548</c:v>
                </c:pt>
                <c:pt idx="287">
                  <c:v>2.625</c:v>
                </c:pt>
                <c:pt idx="288">
                  <c:v>2.6669999999999998</c:v>
                </c:pt>
                <c:pt idx="289">
                  <c:v>2.7189999999999999</c:v>
                </c:pt>
                <c:pt idx="290">
                  <c:v>2.77</c:v>
                </c:pt>
                <c:pt idx="291">
                  <c:v>2.835</c:v>
                </c:pt>
                <c:pt idx="292">
                  <c:v>2.7050000000000001</c:v>
                </c:pt>
                <c:pt idx="293">
                  <c:v>2.6680000000000001</c:v>
                </c:pt>
                <c:pt idx="294">
                  <c:v>2.669</c:v>
                </c:pt>
                <c:pt idx="295">
                  <c:v>2.6419999999999999</c:v>
                </c:pt>
                <c:pt idx="296">
                  <c:v>2.6269999999999998</c:v>
                </c:pt>
                <c:pt idx="297">
                  <c:v>2.577</c:v>
                </c:pt>
                <c:pt idx="298">
                  <c:v>2.5649999999999999</c:v>
                </c:pt>
                <c:pt idx="299">
                  <c:v>2.6030000000000002</c:v>
                </c:pt>
                <c:pt idx="300">
                  <c:v>2.633</c:v>
                </c:pt>
                <c:pt idx="301">
                  <c:v>2.6890000000000001</c:v>
                </c:pt>
                <c:pt idx="302">
                  <c:v>2.7280000000000002</c:v>
                </c:pt>
                <c:pt idx="303">
                  <c:v>2.7080000000000002</c:v>
                </c:pt>
                <c:pt idx="304">
                  <c:v>2.843</c:v>
                </c:pt>
                <c:pt idx="305">
                  <c:v>2.976</c:v>
                </c:pt>
                <c:pt idx="306">
                  <c:v>2.9889999999999999</c:v>
                </c:pt>
                <c:pt idx="307">
                  <c:v>3.0219999999999998</c:v>
                </c:pt>
                <c:pt idx="308">
                  <c:v>3.2879999999999998</c:v>
                </c:pt>
                <c:pt idx="309">
                  <c:v>3.4590000000000001</c:v>
                </c:pt>
                <c:pt idx="310">
                  <c:v>3.524</c:v>
                </c:pt>
                <c:pt idx="311">
                  <c:v>3.6219999999999999</c:v>
                </c:pt>
                <c:pt idx="312">
                  <c:v>3.9060000000000001</c:v>
                </c:pt>
                <c:pt idx="313">
                  <c:v>3.6989999999999998</c:v>
                </c:pt>
                <c:pt idx="314">
                  <c:v>3.6480000000000001</c:v>
                </c:pt>
                <c:pt idx="315">
                  <c:v>3.524</c:v>
                </c:pt>
                <c:pt idx="316">
                  <c:v>3.48</c:v>
                </c:pt>
                <c:pt idx="317">
                  <c:v>3.6840000000000002</c:v>
                </c:pt>
                <c:pt idx="318">
                  <c:v>3.6379999999999999</c:v>
                </c:pt>
                <c:pt idx="319">
                  <c:v>3.5329999999999999</c:v>
                </c:pt>
                <c:pt idx="320">
                  <c:v>3.5459999999999998</c:v>
                </c:pt>
                <c:pt idx="321">
                  <c:v>3.2850000000000001</c:v>
                </c:pt>
                <c:pt idx="322">
                  <c:v>3.3319999999999999</c:v>
                </c:pt>
                <c:pt idx="323">
                  <c:v>3.2970000000000002</c:v>
                </c:pt>
                <c:pt idx="324">
                  <c:v>3.1720000000000002</c:v>
                </c:pt>
                <c:pt idx="325">
                  <c:v>3.1579999999999999</c:v>
                </c:pt>
                <c:pt idx="326">
                  <c:v>3.157</c:v>
                </c:pt>
                <c:pt idx="327">
                  <c:v>3.36</c:v>
                </c:pt>
                <c:pt idx="328">
                  <c:v>3.4089999999999998</c:v>
                </c:pt>
                <c:pt idx="329">
                  <c:v>3.63</c:v>
                </c:pt>
                <c:pt idx="330">
                  <c:v>3.669</c:v>
                </c:pt>
                <c:pt idx="331">
                  <c:v>3.891</c:v>
                </c:pt>
                <c:pt idx="332">
                  <c:v>3.7490000000000001</c:v>
                </c:pt>
                <c:pt idx="333">
                  <c:v>3.6880000000000002</c:v>
                </c:pt>
                <c:pt idx="334">
                  <c:v>3.5009999999999999</c:v>
                </c:pt>
                <c:pt idx="335">
                  <c:v>3.452</c:v>
                </c:pt>
                <c:pt idx="336">
                  <c:v>3.2269999999999999</c:v>
                </c:pt>
                <c:pt idx="337">
                  <c:v>3.4169999999999998</c:v>
                </c:pt>
                <c:pt idx="338">
                  <c:v>3.4940000000000002</c:v>
                </c:pt>
                <c:pt idx="339">
                  <c:v>3.73</c:v>
                </c:pt>
                <c:pt idx="340">
                  <c:v>3.617</c:v>
                </c:pt>
                <c:pt idx="341">
                  <c:v>3.601</c:v>
                </c:pt>
                <c:pt idx="342">
                  <c:v>2.58</c:v>
                </c:pt>
                <c:pt idx="343">
                  <c:v>2.5720000000000001</c:v>
                </c:pt>
                <c:pt idx="344">
                  <c:v>2.62</c:v>
                </c:pt>
                <c:pt idx="345">
                  <c:v>2.6840000000000002</c:v>
                </c:pt>
                <c:pt idx="346">
                  <c:v>2.7250000000000001</c:v>
                </c:pt>
                <c:pt idx="347">
                  <c:v>2.75</c:v>
                </c:pt>
                <c:pt idx="348">
                  <c:v>2.7709999999999999</c:v>
                </c:pt>
                <c:pt idx="349">
                  <c:v>2.7</c:v>
                </c:pt>
                <c:pt idx="350">
                  <c:v>2.6840000000000002</c:v>
                </c:pt>
                <c:pt idx="351">
                  <c:v>2.7280000000000002</c:v>
                </c:pt>
                <c:pt idx="352">
                  <c:v>2.7109999999999999</c:v>
                </c:pt>
                <c:pt idx="353">
                  <c:v>2.69</c:v>
                </c:pt>
                <c:pt idx="354">
                  <c:v>2.7730000000000001</c:v>
                </c:pt>
                <c:pt idx="355">
                  <c:v>2.78</c:v>
                </c:pt>
                <c:pt idx="356">
                  <c:v>2.7589999999999999</c:v>
                </c:pt>
                <c:pt idx="357">
                  <c:v>2.7450000000000001</c:v>
                </c:pt>
                <c:pt idx="358">
                  <c:v>2.7290000000000001</c:v>
                </c:pt>
                <c:pt idx="359">
                  <c:v>2.7370000000000001</c:v>
                </c:pt>
                <c:pt idx="360">
                  <c:v>2.7120000000000002</c:v>
                </c:pt>
                <c:pt idx="361">
                  <c:v>2.7280000000000002</c:v>
                </c:pt>
                <c:pt idx="362">
                  <c:v>2.8820000000000001</c:v>
                </c:pt>
                <c:pt idx="363">
                  <c:v>3.0110000000000001</c:v>
                </c:pt>
                <c:pt idx="364">
                  <c:v>3.0369999999999999</c:v>
                </c:pt>
                <c:pt idx="365">
                  <c:v>3.2320000000000002</c:v>
                </c:pt>
                <c:pt idx="366">
                  <c:v>3.3719999999999999</c:v>
                </c:pt>
                <c:pt idx="367">
                  <c:v>3.4609999999999999</c:v>
                </c:pt>
                <c:pt idx="368">
                  <c:v>3.532</c:v>
                </c:pt>
                <c:pt idx="369">
                  <c:v>3.7349999999999999</c:v>
                </c:pt>
                <c:pt idx="370">
                  <c:v>3.7629999999999999</c:v>
                </c:pt>
                <c:pt idx="371">
                  <c:v>3.7349999999999999</c:v>
                </c:pt>
                <c:pt idx="372">
                  <c:v>3.597</c:v>
                </c:pt>
                <c:pt idx="373">
                  <c:v>3.54</c:v>
                </c:pt>
                <c:pt idx="374">
                  <c:v>3.5539999999999998</c:v>
                </c:pt>
                <c:pt idx="375">
                  <c:v>3.5419999999999998</c:v>
                </c:pt>
                <c:pt idx="376">
                  <c:v>3.5110000000000001</c:v>
                </c:pt>
                <c:pt idx="377">
                  <c:v>3.5659999999999998</c:v>
                </c:pt>
                <c:pt idx="378">
                  <c:v>3.4980000000000002</c:v>
                </c:pt>
                <c:pt idx="379">
                  <c:v>3.5270000000000001</c:v>
                </c:pt>
                <c:pt idx="380">
                  <c:v>3.5049999999999999</c:v>
                </c:pt>
                <c:pt idx="381">
                  <c:v>3.3780000000000001</c:v>
                </c:pt>
                <c:pt idx="382">
                  <c:v>3.331</c:v>
                </c:pt>
                <c:pt idx="383">
                  <c:v>3.0950000000000002</c:v>
                </c:pt>
                <c:pt idx="384">
                  <c:v>3.0310000000000001</c:v>
                </c:pt>
                <c:pt idx="385">
                  <c:v>3.1030000000000002</c:v>
                </c:pt>
                <c:pt idx="386">
                  <c:v>3.1909999999999998</c:v>
                </c:pt>
                <c:pt idx="387">
                  <c:v>3.286</c:v>
                </c:pt>
                <c:pt idx="388">
                  <c:v>3.8540000000000001</c:v>
                </c:pt>
                <c:pt idx="389">
                  <c:v>3.903</c:v>
                </c:pt>
                <c:pt idx="390">
                  <c:v>3.87</c:v>
                </c:pt>
                <c:pt idx="391">
                  <c:v>3.7639999999999998</c:v>
                </c:pt>
                <c:pt idx="392">
                  <c:v>3.7410000000000001</c:v>
                </c:pt>
                <c:pt idx="393">
                  <c:v>3.6459999999999999</c:v>
                </c:pt>
                <c:pt idx="394">
                  <c:v>3.528</c:v>
                </c:pt>
                <c:pt idx="395">
                  <c:v>3.5089999999999999</c:v>
                </c:pt>
                <c:pt idx="396">
                  <c:v>3.5960000000000001</c:v>
                </c:pt>
                <c:pt idx="397">
                  <c:v>3.7789999999999999</c:v>
                </c:pt>
                <c:pt idx="398">
                  <c:v>3.76</c:v>
                </c:pt>
                <c:pt idx="399">
                  <c:v>2.5720000000000001</c:v>
                </c:pt>
                <c:pt idx="400">
                  <c:v>2.548</c:v>
                </c:pt>
                <c:pt idx="401">
                  <c:v>2.625</c:v>
                </c:pt>
                <c:pt idx="402">
                  <c:v>2.6669999999999998</c:v>
                </c:pt>
                <c:pt idx="403">
                  <c:v>2.7189999999999999</c:v>
                </c:pt>
                <c:pt idx="404">
                  <c:v>2.77</c:v>
                </c:pt>
                <c:pt idx="405">
                  <c:v>2.835</c:v>
                </c:pt>
                <c:pt idx="406">
                  <c:v>2.7050000000000001</c:v>
                </c:pt>
                <c:pt idx="407">
                  <c:v>2.6680000000000001</c:v>
                </c:pt>
                <c:pt idx="408">
                  <c:v>2.669</c:v>
                </c:pt>
                <c:pt idx="409">
                  <c:v>2.6419999999999999</c:v>
                </c:pt>
                <c:pt idx="410">
                  <c:v>2.6269999999999998</c:v>
                </c:pt>
                <c:pt idx="411">
                  <c:v>2.577</c:v>
                </c:pt>
                <c:pt idx="412">
                  <c:v>2.5649999999999999</c:v>
                </c:pt>
                <c:pt idx="413">
                  <c:v>2.6030000000000002</c:v>
                </c:pt>
                <c:pt idx="414">
                  <c:v>2.633</c:v>
                </c:pt>
                <c:pt idx="415">
                  <c:v>2.6890000000000001</c:v>
                </c:pt>
                <c:pt idx="416">
                  <c:v>2.7280000000000002</c:v>
                </c:pt>
                <c:pt idx="417">
                  <c:v>2.7080000000000002</c:v>
                </c:pt>
                <c:pt idx="418">
                  <c:v>2.843</c:v>
                </c:pt>
                <c:pt idx="419">
                  <c:v>2.976</c:v>
                </c:pt>
                <c:pt idx="420">
                  <c:v>2.9889999999999999</c:v>
                </c:pt>
                <c:pt idx="421">
                  <c:v>3.0219999999999998</c:v>
                </c:pt>
                <c:pt idx="422">
                  <c:v>3.2879999999999998</c:v>
                </c:pt>
                <c:pt idx="423">
                  <c:v>3.4590000000000001</c:v>
                </c:pt>
                <c:pt idx="424">
                  <c:v>3.524</c:v>
                </c:pt>
                <c:pt idx="425">
                  <c:v>3.6219999999999999</c:v>
                </c:pt>
                <c:pt idx="426">
                  <c:v>3.9060000000000001</c:v>
                </c:pt>
                <c:pt idx="427">
                  <c:v>3.6989999999999998</c:v>
                </c:pt>
                <c:pt idx="428">
                  <c:v>3.6480000000000001</c:v>
                </c:pt>
                <c:pt idx="429">
                  <c:v>3.524</c:v>
                </c:pt>
                <c:pt idx="430">
                  <c:v>3.48</c:v>
                </c:pt>
                <c:pt idx="431">
                  <c:v>3.6840000000000002</c:v>
                </c:pt>
                <c:pt idx="432">
                  <c:v>3.6379999999999999</c:v>
                </c:pt>
                <c:pt idx="433">
                  <c:v>3.5329999999999999</c:v>
                </c:pt>
                <c:pt idx="434">
                  <c:v>3.5459999999999998</c:v>
                </c:pt>
                <c:pt idx="435">
                  <c:v>3.2850000000000001</c:v>
                </c:pt>
                <c:pt idx="436">
                  <c:v>3.3319999999999999</c:v>
                </c:pt>
                <c:pt idx="437">
                  <c:v>3.2970000000000002</c:v>
                </c:pt>
                <c:pt idx="438">
                  <c:v>3.1720000000000002</c:v>
                </c:pt>
                <c:pt idx="439">
                  <c:v>3.1579999999999999</c:v>
                </c:pt>
                <c:pt idx="440">
                  <c:v>3.157</c:v>
                </c:pt>
                <c:pt idx="441">
                  <c:v>3.36</c:v>
                </c:pt>
                <c:pt idx="442">
                  <c:v>3.4089999999999998</c:v>
                </c:pt>
                <c:pt idx="443">
                  <c:v>3.63</c:v>
                </c:pt>
                <c:pt idx="444">
                  <c:v>3.669</c:v>
                </c:pt>
                <c:pt idx="445">
                  <c:v>3.891</c:v>
                </c:pt>
                <c:pt idx="446">
                  <c:v>3.7490000000000001</c:v>
                </c:pt>
                <c:pt idx="447">
                  <c:v>3.6880000000000002</c:v>
                </c:pt>
                <c:pt idx="448">
                  <c:v>3.5009999999999999</c:v>
                </c:pt>
                <c:pt idx="449">
                  <c:v>3.452</c:v>
                </c:pt>
                <c:pt idx="450">
                  <c:v>3.2269999999999999</c:v>
                </c:pt>
                <c:pt idx="451">
                  <c:v>3.4169999999999998</c:v>
                </c:pt>
                <c:pt idx="452">
                  <c:v>3.4940000000000002</c:v>
                </c:pt>
                <c:pt idx="453">
                  <c:v>3.73</c:v>
                </c:pt>
                <c:pt idx="454">
                  <c:v>3.617</c:v>
                </c:pt>
                <c:pt idx="455">
                  <c:v>3.601</c:v>
                </c:pt>
                <c:pt idx="456">
                  <c:v>2.5720000000000001</c:v>
                </c:pt>
                <c:pt idx="457">
                  <c:v>2.548</c:v>
                </c:pt>
                <c:pt idx="458">
                  <c:v>2.625</c:v>
                </c:pt>
                <c:pt idx="459">
                  <c:v>2.6669999999999998</c:v>
                </c:pt>
                <c:pt idx="460">
                  <c:v>2.7189999999999999</c:v>
                </c:pt>
                <c:pt idx="461">
                  <c:v>2.77</c:v>
                </c:pt>
                <c:pt idx="462">
                  <c:v>2.835</c:v>
                </c:pt>
                <c:pt idx="463">
                  <c:v>2.7050000000000001</c:v>
                </c:pt>
                <c:pt idx="464">
                  <c:v>2.6680000000000001</c:v>
                </c:pt>
                <c:pt idx="465">
                  <c:v>2.669</c:v>
                </c:pt>
                <c:pt idx="466">
                  <c:v>2.6419999999999999</c:v>
                </c:pt>
                <c:pt idx="467">
                  <c:v>2.6269999999999998</c:v>
                </c:pt>
                <c:pt idx="468">
                  <c:v>2.577</c:v>
                </c:pt>
                <c:pt idx="469">
                  <c:v>2.5649999999999999</c:v>
                </c:pt>
                <c:pt idx="470">
                  <c:v>2.6030000000000002</c:v>
                </c:pt>
                <c:pt idx="471">
                  <c:v>2.633</c:v>
                </c:pt>
                <c:pt idx="472">
                  <c:v>2.6890000000000001</c:v>
                </c:pt>
                <c:pt idx="473">
                  <c:v>2.7280000000000002</c:v>
                </c:pt>
                <c:pt idx="474">
                  <c:v>2.7080000000000002</c:v>
                </c:pt>
                <c:pt idx="475">
                  <c:v>2.843</c:v>
                </c:pt>
                <c:pt idx="476">
                  <c:v>2.976</c:v>
                </c:pt>
                <c:pt idx="477">
                  <c:v>2.9889999999999999</c:v>
                </c:pt>
                <c:pt idx="478">
                  <c:v>3.0219999999999998</c:v>
                </c:pt>
                <c:pt idx="479">
                  <c:v>3.2879999999999998</c:v>
                </c:pt>
                <c:pt idx="480">
                  <c:v>3.4590000000000001</c:v>
                </c:pt>
                <c:pt idx="481">
                  <c:v>3.524</c:v>
                </c:pt>
                <c:pt idx="482">
                  <c:v>3.6219999999999999</c:v>
                </c:pt>
                <c:pt idx="483">
                  <c:v>3.9060000000000001</c:v>
                </c:pt>
                <c:pt idx="484">
                  <c:v>3.6989999999999998</c:v>
                </c:pt>
                <c:pt idx="485">
                  <c:v>3.6480000000000001</c:v>
                </c:pt>
                <c:pt idx="486">
                  <c:v>3.524</c:v>
                </c:pt>
                <c:pt idx="487">
                  <c:v>3.48</c:v>
                </c:pt>
                <c:pt idx="488">
                  <c:v>3.6840000000000002</c:v>
                </c:pt>
                <c:pt idx="489">
                  <c:v>3.6379999999999999</c:v>
                </c:pt>
                <c:pt idx="490">
                  <c:v>3.5329999999999999</c:v>
                </c:pt>
                <c:pt idx="491">
                  <c:v>3.5459999999999998</c:v>
                </c:pt>
                <c:pt idx="492">
                  <c:v>3.2850000000000001</c:v>
                </c:pt>
                <c:pt idx="493">
                  <c:v>3.3319999999999999</c:v>
                </c:pt>
                <c:pt idx="494">
                  <c:v>3.2970000000000002</c:v>
                </c:pt>
                <c:pt idx="495">
                  <c:v>3.1720000000000002</c:v>
                </c:pt>
                <c:pt idx="496">
                  <c:v>3.1579999999999999</c:v>
                </c:pt>
                <c:pt idx="497">
                  <c:v>3.157</c:v>
                </c:pt>
                <c:pt idx="498">
                  <c:v>3.36</c:v>
                </c:pt>
                <c:pt idx="499">
                  <c:v>3.4089999999999998</c:v>
                </c:pt>
                <c:pt idx="500">
                  <c:v>3.63</c:v>
                </c:pt>
                <c:pt idx="501">
                  <c:v>3.669</c:v>
                </c:pt>
                <c:pt idx="502">
                  <c:v>3.891</c:v>
                </c:pt>
                <c:pt idx="503">
                  <c:v>3.7490000000000001</c:v>
                </c:pt>
                <c:pt idx="504">
                  <c:v>3.6880000000000002</c:v>
                </c:pt>
                <c:pt idx="505">
                  <c:v>3.5009999999999999</c:v>
                </c:pt>
                <c:pt idx="506">
                  <c:v>3.452</c:v>
                </c:pt>
                <c:pt idx="507">
                  <c:v>3.2269999999999999</c:v>
                </c:pt>
                <c:pt idx="508">
                  <c:v>3.4169999999999998</c:v>
                </c:pt>
                <c:pt idx="509">
                  <c:v>3.4940000000000002</c:v>
                </c:pt>
                <c:pt idx="510">
                  <c:v>3.73</c:v>
                </c:pt>
                <c:pt idx="511">
                  <c:v>3.617</c:v>
                </c:pt>
                <c:pt idx="512">
                  <c:v>3.601</c:v>
                </c:pt>
                <c:pt idx="513">
                  <c:v>2.9620000000000002</c:v>
                </c:pt>
                <c:pt idx="514">
                  <c:v>2.8279999999999998</c:v>
                </c:pt>
                <c:pt idx="515">
                  <c:v>2.8769999999999998</c:v>
                </c:pt>
                <c:pt idx="516">
                  <c:v>3.0339999999999998</c:v>
                </c:pt>
                <c:pt idx="517">
                  <c:v>3.0859999999999999</c:v>
                </c:pt>
                <c:pt idx="518">
                  <c:v>3.004</c:v>
                </c:pt>
                <c:pt idx="519">
                  <c:v>3.1269999999999998</c:v>
                </c:pt>
                <c:pt idx="520">
                  <c:v>2.9409999999999998</c:v>
                </c:pt>
                <c:pt idx="521">
                  <c:v>3.0569999999999999</c:v>
                </c:pt>
                <c:pt idx="522">
                  <c:v>2.9780000000000002</c:v>
                </c:pt>
                <c:pt idx="523">
                  <c:v>3.1</c:v>
                </c:pt>
                <c:pt idx="524">
                  <c:v>3.1230000000000002</c:v>
                </c:pt>
                <c:pt idx="525">
                  <c:v>3.0870000000000002</c:v>
                </c:pt>
                <c:pt idx="526">
                  <c:v>2.9609999999999999</c:v>
                </c:pt>
                <c:pt idx="527">
                  <c:v>3.0009999999999999</c:v>
                </c:pt>
                <c:pt idx="528">
                  <c:v>2.9239999999999999</c:v>
                </c:pt>
                <c:pt idx="529">
                  <c:v>3.0089999999999999</c:v>
                </c:pt>
                <c:pt idx="530">
                  <c:v>3.13</c:v>
                </c:pt>
                <c:pt idx="531">
                  <c:v>3.0409999999999999</c:v>
                </c:pt>
                <c:pt idx="532">
                  <c:v>3.0910000000000002</c:v>
                </c:pt>
                <c:pt idx="533">
                  <c:v>3.2869999999999999</c:v>
                </c:pt>
                <c:pt idx="534">
                  <c:v>3.3479999999999999</c:v>
                </c:pt>
                <c:pt idx="535">
                  <c:v>3.3809999999999998</c:v>
                </c:pt>
                <c:pt idx="536">
                  <c:v>3.6739999999999999</c:v>
                </c:pt>
                <c:pt idx="537">
                  <c:v>3.63</c:v>
                </c:pt>
                <c:pt idx="538">
                  <c:v>3.7719999999999998</c:v>
                </c:pt>
                <c:pt idx="539">
                  <c:v>3.8180000000000001</c:v>
                </c:pt>
                <c:pt idx="540">
                  <c:v>4.1929999999999996</c:v>
                </c:pt>
                <c:pt idx="541">
                  <c:v>3.8929999999999998</c:v>
                </c:pt>
                <c:pt idx="542">
                  <c:v>3.9809999999999999</c:v>
                </c:pt>
                <c:pt idx="543">
                  <c:v>3.8420000000000001</c:v>
                </c:pt>
                <c:pt idx="544">
                  <c:v>3.7930000000000001</c:v>
                </c:pt>
                <c:pt idx="545">
                  <c:v>3.8029999999999999</c:v>
                </c:pt>
                <c:pt idx="546">
                  <c:v>3.794</c:v>
                </c:pt>
                <c:pt idx="547">
                  <c:v>3.798</c:v>
                </c:pt>
                <c:pt idx="548">
                  <c:v>3.7709999999999999</c:v>
                </c:pt>
                <c:pt idx="549">
                  <c:v>3.827</c:v>
                </c:pt>
                <c:pt idx="550">
                  <c:v>3.8279999999999998</c:v>
                </c:pt>
                <c:pt idx="551">
                  <c:v>3.677</c:v>
                </c:pt>
                <c:pt idx="552">
                  <c:v>3.7010000000000001</c:v>
                </c:pt>
                <c:pt idx="553">
                  <c:v>3.6440000000000001</c:v>
                </c:pt>
                <c:pt idx="554">
                  <c:v>3.4430000000000001</c:v>
                </c:pt>
                <c:pt idx="555">
                  <c:v>3.5430000000000001</c:v>
                </c:pt>
                <c:pt idx="556">
                  <c:v>3.722</c:v>
                </c:pt>
                <c:pt idx="557">
                  <c:v>3.8820000000000001</c:v>
                </c:pt>
                <c:pt idx="558">
                  <c:v>3.9630000000000001</c:v>
                </c:pt>
                <c:pt idx="559">
                  <c:v>4.282</c:v>
                </c:pt>
                <c:pt idx="560">
                  <c:v>4.0579999999999998</c:v>
                </c:pt>
                <c:pt idx="561">
                  <c:v>4.1859999999999999</c:v>
                </c:pt>
                <c:pt idx="562">
                  <c:v>4.2770000000000001</c:v>
                </c:pt>
                <c:pt idx="563">
                  <c:v>4.1029999999999998</c:v>
                </c:pt>
                <c:pt idx="564">
                  <c:v>3.6659999999999999</c:v>
                </c:pt>
                <c:pt idx="565">
                  <c:v>3.5950000000000002</c:v>
                </c:pt>
                <c:pt idx="566">
                  <c:v>3.8109999999999999</c:v>
                </c:pt>
                <c:pt idx="567">
                  <c:v>4.1239999999999997</c:v>
                </c:pt>
                <c:pt idx="568">
                  <c:v>4.1319999999999997</c:v>
                </c:pt>
                <c:pt idx="569">
                  <c:v>4.468</c:v>
                </c:pt>
                <c:pt idx="570">
                  <c:v>2.5720000000000001</c:v>
                </c:pt>
                <c:pt idx="571">
                  <c:v>2.548</c:v>
                </c:pt>
                <c:pt idx="572">
                  <c:v>2.625</c:v>
                </c:pt>
                <c:pt idx="573">
                  <c:v>2.6669999999999998</c:v>
                </c:pt>
                <c:pt idx="574">
                  <c:v>2.7189999999999999</c:v>
                </c:pt>
                <c:pt idx="575">
                  <c:v>2.77</c:v>
                </c:pt>
                <c:pt idx="576">
                  <c:v>2.835</c:v>
                </c:pt>
                <c:pt idx="577">
                  <c:v>2.7050000000000001</c:v>
                </c:pt>
                <c:pt idx="578">
                  <c:v>2.6680000000000001</c:v>
                </c:pt>
                <c:pt idx="579">
                  <c:v>2.669</c:v>
                </c:pt>
                <c:pt idx="580">
                  <c:v>2.6419999999999999</c:v>
                </c:pt>
                <c:pt idx="581">
                  <c:v>2.6269999999999998</c:v>
                </c:pt>
                <c:pt idx="582">
                  <c:v>2.577</c:v>
                </c:pt>
                <c:pt idx="583">
                  <c:v>2.5649999999999999</c:v>
                </c:pt>
                <c:pt idx="584">
                  <c:v>2.6030000000000002</c:v>
                </c:pt>
                <c:pt idx="585">
                  <c:v>2.633</c:v>
                </c:pt>
                <c:pt idx="586">
                  <c:v>2.6890000000000001</c:v>
                </c:pt>
                <c:pt idx="587">
                  <c:v>2.7280000000000002</c:v>
                </c:pt>
                <c:pt idx="588">
                  <c:v>2.7080000000000002</c:v>
                </c:pt>
                <c:pt idx="589">
                  <c:v>2.843</c:v>
                </c:pt>
                <c:pt idx="590">
                  <c:v>2.976</c:v>
                </c:pt>
                <c:pt idx="591">
                  <c:v>2.9889999999999999</c:v>
                </c:pt>
                <c:pt idx="592">
                  <c:v>3.0219999999999998</c:v>
                </c:pt>
                <c:pt idx="593">
                  <c:v>3.2879999999999998</c:v>
                </c:pt>
                <c:pt idx="594">
                  <c:v>3.4590000000000001</c:v>
                </c:pt>
                <c:pt idx="595">
                  <c:v>3.524</c:v>
                </c:pt>
                <c:pt idx="596">
                  <c:v>3.6219999999999999</c:v>
                </c:pt>
                <c:pt idx="597">
                  <c:v>3.9060000000000001</c:v>
                </c:pt>
                <c:pt idx="598">
                  <c:v>3.6989999999999998</c:v>
                </c:pt>
                <c:pt idx="599">
                  <c:v>3.6480000000000001</c:v>
                </c:pt>
                <c:pt idx="600">
                  <c:v>3.524</c:v>
                </c:pt>
                <c:pt idx="601">
                  <c:v>3.48</c:v>
                </c:pt>
                <c:pt idx="602">
                  <c:v>3.6840000000000002</c:v>
                </c:pt>
                <c:pt idx="603">
                  <c:v>3.6379999999999999</c:v>
                </c:pt>
                <c:pt idx="604">
                  <c:v>3.5329999999999999</c:v>
                </c:pt>
                <c:pt idx="605">
                  <c:v>3.5459999999999998</c:v>
                </c:pt>
                <c:pt idx="606">
                  <c:v>3.2850000000000001</c:v>
                </c:pt>
                <c:pt idx="607">
                  <c:v>3.3319999999999999</c:v>
                </c:pt>
                <c:pt idx="608">
                  <c:v>3.2970000000000002</c:v>
                </c:pt>
                <c:pt idx="609">
                  <c:v>3.1720000000000002</c:v>
                </c:pt>
                <c:pt idx="610">
                  <c:v>3.1579999999999999</c:v>
                </c:pt>
                <c:pt idx="611">
                  <c:v>3.157</c:v>
                </c:pt>
                <c:pt idx="612">
                  <c:v>3.36</c:v>
                </c:pt>
                <c:pt idx="613">
                  <c:v>3.4089999999999998</c:v>
                </c:pt>
                <c:pt idx="614">
                  <c:v>3.63</c:v>
                </c:pt>
                <c:pt idx="615">
                  <c:v>3.669</c:v>
                </c:pt>
                <c:pt idx="616">
                  <c:v>3.891</c:v>
                </c:pt>
                <c:pt idx="617">
                  <c:v>3.7490000000000001</c:v>
                </c:pt>
                <c:pt idx="618">
                  <c:v>3.6880000000000002</c:v>
                </c:pt>
                <c:pt idx="619">
                  <c:v>3.5009999999999999</c:v>
                </c:pt>
                <c:pt idx="620">
                  <c:v>3.452</c:v>
                </c:pt>
                <c:pt idx="621">
                  <c:v>3.2269999999999999</c:v>
                </c:pt>
                <c:pt idx="622">
                  <c:v>3.4169999999999998</c:v>
                </c:pt>
                <c:pt idx="623">
                  <c:v>3.4940000000000002</c:v>
                </c:pt>
                <c:pt idx="624">
                  <c:v>3.73</c:v>
                </c:pt>
                <c:pt idx="625">
                  <c:v>3.617</c:v>
                </c:pt>
                <c:pt idx="626">
                  <c:v>3.601</c:v>
                </c:pt>
                <c:pt idx="627">
                  <c:v>2.9620000000000002</c:v>
                </c:pt>
                <c:pt idx="628">
                  <c:v>2.9460000000000002</c:v>
                </c:pt>
                <c:pt idx="629">
                  <c:v>2.9870000000000001</c:v>
                </c:pt>
                <c:pt idx="630">
                  <c:v>2.9249999999999998</c:v>
                </c:pt>
                <c:pt idx="631">
                  <c:v>3.0859999999999999</c:v>
                </c:pt>
                <c:pt idx="632">
                  <c:v>3.09</c:v>
                </c:pt>
                <c:pt idx="633">
                  <c:v>3.1269999999999998</c:v>
                </c:pt>
                <c:pt idx="634">
                  <c:v>2.9409999999999998</c:v>
                </c:pt>
                <c:pt idx="635">
                  <c:v>2.9489999999999998</c:v>
                </c:pt>
                <c:pt idx="636">
                  <c:v>3.105</c:v>
                </c:pt>
                <c:pt idx="637">
                  <c:v>3.1</c:v>
                </c:pt>
                <c:pt idx="638">
                  <c:v>3.1230000000000002</c:v>
                </c:pt>
                <c:pt idx="639">
                  <c:v>3.0870000000000002</c:v>
                </c:pt>
                <c:pt idx="640">
                  <c:v>3.044</c:v>
                </c:pt>
                <c:pt idx="641">
                  <c:v>3.0009999999999999</c:v>
                </c:pt>
                <c:pt idx="642">
                  <c:v>3.0129999999999999</c:v>
                </c:pt>
                <c:pt idx="643">
                  <c:v>3.129</c:v>
                </c:pt>
                <c:pt idx="644">
                  <c:v>3.13</c:v>
                </c:pt>
                <c:pt idx="645">
                  <c:v>3.0409999999999999</c:v>
                </c:pt>
                <c:pt idx="646">
                  <c:v>3.2029999999999998</c:v>
                </c:pt>
                <c:pt idx="647">
                  <c:v>3.2869999999999999</c:v>
                </c:pt>
                <c:pt idx="648">
                  <c:v>3.3479999999999999</c:v>
                </c:pt>
                <c:pt idx="649">
                  <c:v>3.3809999999999998</c:v>
                </c:pt>
                <c:pt idx="650">
                  <c:v>3.6739999999999999</c:v>
                </c:pt>
                <c:pt idx="651">
                  <c:v>3.8180000000000001</c:v>
                </c:pt>
                <c:pt idx="652">
                  <c:v>3.7719999999999998</c:v>
                </c:pt>
                <c:pt idx="653">
                  <c:v>4.0030000000000001</c:v>
                </c:pt>
                <c:pt idx="654">
                  <c:v>4.1929999999999996</c:v>
                </c:pt>
                <c:pt idx="655">
                  <c:v>4.0309999999999997</c:v>
                </c:pt>
                <c:pt idx="656">
                  <c:v>3.9809999999999999</c:v>
                </c:pt>
                <c:pt idx="657">
                  <c:v>3.8420000000000001</c:v>
                </c:pt>
                <c:pt idx="658">
                  <c:v>3.7050000000000001</c:v>
                </c:pt>
                <c:pt idx="659">
                  <c:v>3.8029999999999999</c:v>
                </c:pt>
                <c:pt idx="660">
                  <c:v>3.7010000000000001</c:v>
                </c:pt>
                <c:pt idx="661">
                  <c:v>3.798</c:v>
                </c:pt>
                <c:pt idx="662">
                  <c:v>3.9129999999999998</c:v>
                </c:pt>
                <c:pt idx="663">
                  <c:v>3.827</c:v>
                </c:pt>
                <c:pt idx="664">
                  <c:v>3.8279999999999998</c:v>
                </c:pt>
                <c:pt idx="665">
                  <c:v>3.8239999999999998</c:v>
                </c:pt>
                <c:pt idx="666">
                  <c:v>3.7010000000000001</c:v>
                </c:pt>
                <c:pt idx="667">
                  <c:v>3.6440000000000001</c:v>
                </c:pt>
                <c:pt idx="668">
                  <c:v>3.5990000000000002</c:v>
                </c:pt>
                <c:pt idx="669">
                  <c:v>3.702</c:v>
                </c:pt>
                <c:pt idx="670">
                  <c:v>3.722</c:v>
                </c:pt>
                <c:pt idx="671">
                  <c:v>4.1779999999999999</c:v>
                </c:pt>
                <c:pt idx="672">
                  <c:v>4.25</c:v>
                </c:pt>
                <c:pt idx="673">
                  <c:v>4.1210000000000004</c:v>
                </c:pt>
                <c:pt idx="674">
                  <c:v>4.1710000000000003</c:v>
                </c:pt>
                <c:pt idx="675">
                  <c:v>4.1859999999999999</c:v>
                </c:pt>
                <c:pt idx="676">
                  <c:v>4.2770000000000001</c:v>
                </c:pt>
                <c:pt idx="677">
                  <c:v>4.1029999999999998</c:v>
                </c:pt>
                <c:pt idx="678">
                  <c:v>3.7650000000000001</c:v>
                </c:pt>
                <c:pt idx="679">
                  <c:v>3.76</c:v>
                </c:pt>
                <c:pt idx="680">
                  <c:v>3.8109999999999999</c:v>
                </c:pt>
                <c:pt idx="681">
                  <c:v>4.1239999999999997</c:v>
                </c:pt>
                <c:pt idx="682">
                  <c:v>3.9660000000000002</c:v>
                </c:pt>
                <c:pt idx="683">
                  <c:v>4.468</c:v>
                </c:pt>
                <c:pt idx="684">
                  <c:v>2.6659999999999999</c:v>
                </c:pt>
                <c:pt idx="685">
                  <c:v>2.6709999999999998</c:v>
                </c:pt>
                <c:pt idx="686">
                  <c:v>2.681</c:v>
                </c:pt>
                <c:pt idx="687">
                  <c:v>2.7330000000000001</c:v>
                </c:pt>
                <c:pt idx="688">
                  <c:v>2.8420000000000001</c:v>
                </c:pt>
                <c:pt idx="689">
                  <c:v>2.8769999999999998</c:v>
                </c:pt>
                <c:pt idx="690">
                  <c:v>2.948</c:v>
                </c:pt>
                <c:pt idx="691">
                  <c:v>2.871</c:v>
                </c:pt>
                <c:pt idx="692">
                  <c:v>2.8410000000000002</c:v>
                </c:pt>
                <c:pt idx="693">
                  <c:v>2.8140000000000001</c:v>
                </c:pt>
                <c:pt idx="694">
                  <c:v>2.802</c:v>
                </c:pt>
                <c:pt idx="695">
                  <c:v>2.802</c:v>
                </c:pt>
                <c:pt idx="696">
                  <c:v>2.8679999999999999</c:v>
                </c:pt>
                <c:pt idx="697">
                  <c:v>2.87</c:v>
                </c:pt>
                <c:pt idx="698">
                  <c:v>2.8530000000000002</c:v>
                </c:pt>
                <c:pt idx="699">
                  <c:v>2.8410000000000002</c:v>
                </c:pt>
                <c:pt idx="700">
                  <c:v>2.831</c:v>
                </c:pt>
                <c:pt idx="701">
                  <c:v>2.831</c:v>
                </c:pt>
                <c:pt idx="702">
                  <c:v>2.8119999999999998</c:v>
                </c:pt>
                <c:pt idx="703">
                  <c:v>2.8170000000000002</c:v>
                </c:pt>
                <c:pt idx="704">
                  <c:v>2.891</c:v>
                </c:pt>
                <c:pt idx="705">
                  <c:v>2.9740000000000002</c:v>
                </c:pt>
                <c:pt idx="706">
                  <c:v>3.0339999999999998</c:v>
                </c:pt>
                <c:pt idx="707">
                  <c:v>3.23</c:v>
                </c:pt>
                <c:pt idx="708">
                  <c:v>3.3460000000000001</c:v>
                </c:pt>
                <c:pt idx="709">
                  <c:v>3.4870000000000001</c:v>
                </c:pt>
                <c:pt idx="710">
                  <c:v>3.5470000000000002</c:v>
                </c:pt>
                <c:pt idx="711">
                  <c:v>3.7440000000000002</c:v>
                </c:pt>
                <c:pt idx="712">
                  <c:v>3.7519999999999998</c:v>
                </c:pt>
                <c:pt idx="713">
                  <c:v>3.7320000000000002</c:v>
                </c:pt>
                <c:pt idx="714">
                  <c:v>3.613</c:v>
                </c:pt>
                <c:pt idx="715">
                  <c:v>3.5630000000000002</c:v>
                </c:pt>
                <c:pt idx="716">
                  <c:v>3.5950000000000002</c:v>
                </c:pt>
                <c:pt idx="717">
                  <c:v>3.6059999999999999</c:v>
                </c:pt>
                <c:pt idx="718">
                  <c:v>3.58</c:v>
                </c:pt>
                <c:pt idx="719">
                  <c:v>3.6190000000000002</c:v>
                </c:pt>
                <c:pt idx="720">
                  <c:v>3.5920000000000001</c:v>
                </c:pt>
                <c:pt idx="721">
                  <c:v>3.5379999999999998</c:v>
                </c:pt>
                <c:pt idx="722">
                  <c:v>3.5129999999999999</c:v>
                </c:pt>
                <c:pt idx="723">
                  <c:v>3.3889999999999998</c:v>
                </c:pt>
                <c:pt idx="724">
                  <c:v>3.3410000000000002</c:v>
                </c:pt>
                <c:pt idx="725">
                  <c:v>3.08</c:v>
                </c:pt>
                <c:pt idx="726">
                  <c:v>3.077</c:v>
                </c:pt>
                <c:pt idx="727">
                  <c:v>3.1160000000000001</c:v>
                </c:pt>
                <c:pt idx="728">
                  <c:v>3.242</c:v>
                </c:pt>
                <c:pt idx="729">
                  <c:v>3.38</c:v>
                </c:pt>
                <c:pt idx="730">
                  <c:v>3.7930000000000001</c:v>
                </c:pt>
                <c:pt idx="731">
                  <c:v>3.831</c:v>
                </c:pt>
                <c:pt idx="732">
                  <c:v>3.8090000000000002</c:v>
                </c:pt>
                <c:pt idx="733">
                  <c:v>3.7879999999999998</c:v>
                </c:pt>
                <c:pt idx="734">
                  <c:v>3.7759999999999998</c:v>
                </c:pt>
                <c:pt idx="735">
                  <c:v>3.63</c:v>
                </c:pt>
                <c:pt idx="736">
                  <c:v>3.512</c:v>
                </c:pt>
                <c:pt idx="737">
                  <c:v>3.5089999999999999</c:v>
                </c:pt>
                <c:pt idx="738">
                  <c:v>3.6890000000000001</c:v>
                </c:pt>
                <c:pt idx="739">
                  <c:v>3.8149999999999999</c:v>
                </c:pt>
                <c:pt idx="740">
                  <c:v>3.7970000000000002</c:v>
                </c:pt>
                <c:pt idx="741">
                  <c:v>2.7839999999999998</c:v>
                </c:pt>
                <c:pt idx="742">
                  <c:v>2.7730000000000001</c:v>
                </c:pt>
                <c:pt idx="743">
                  <c:v>2.7770000000000001</c:v>
                </c:pt>
                <c:pt idx="744">
                  <c:v>2.8180000000000001</c:v>
                </c:pt>
                <c:pt idx="745">
                  <c:v>2.85</c:v>
                </c:pt>
                <c:pt idx="746">
                  <c:v>2.8690000000000002</c:v>
                </c:pt>
                <c:pt idx="747">
                  <c:v>2.9660000000000002</c:v>
                </c:pt>
                <c:pt idx="748">
                  <c:v>2.847</c:v>
                </c:pt>
                <c:pt idx="749">
                  <c:v>2.8090000000000002</c:v>
                </c:pt>
                <c:pt idx="750">
                  <c:v>2.8149999999999999</c:v>
                </c:pt>
                <c:pt idx="751">
                  <c:v>2.7930000000000001</c:v>
                </c:pt>
                <c:pt idx="752">
                  <c:v>2.7839999999999998</c:v>
                </c:pt>
                <c:pt idx="753">
                  <c:v>2.7149999999999999</c:v>
                </c:pt>
                <c:pt idx="754">
                  <c:v>2.6989999999999998</c:v>
                </c:pt>
                <c:pt idx="755">
                  <c:v>2.7069999999999999</c:v>
                </c:pt>
                <c:pt idx="756">
                  <c:v>2.7639999999999998</c:v>
                </c:pt>
                <c:pt idx="757">
                  <c:v>2.9169999999999998</c:v>
                </c:pt>
                <c:pt idx="758">
                  <c:v>2.931</c:v>
                </c:pt>
                <c:pt idx="759">
                  <c:v>3.0459999999999998</c:v>
                </c:pt>
                <c:pt idx="760">
                  <c:v>3.109</c:v>
                </c:pt>
                <c:pt idx="761">
                  <c:v>3.1930000000000001</c:v>
                </c:pt>
                <c:pt idx="762">
                  <c:v>3.2309999999999999</c:v>
                </c:pt>
                <c:pt idx="763">
                  <c:v>3.2389999999999999</c:v>
                </c:pt>
                <c:pt idx="764">
                  <c:v>3.4329999999999998</c:v>
                </c:pt>
                <c:pt idx="765">
                  <c:v>3.5819999999999999</c:v>
                </c:pt>
                <c:pt idx="766">
                  <c:v>3.6379999999999999</c:v>
                </c:pt>
                <c:pt idx="767">
                  <c:v>3.72</c:v>
                </c:pt>
                <c:pt idx="768">
                  <c:v>4.0460000000000003</c:v>
                </c:pt>
                <c:pt idx="769">
                  <c:v>3.9220000000000002</c:v>
                </c:pt>
                <c:pt idx="770">
                  <c:v>3.8809999999999998</c:v>
                </c:pt>
                <c:pt idx="771">
                  <c:v>3.7480000000000002</c:v>
                </c:pt>
                <c:pt idx="772">
                  <c:v>3.7109999999999999</c:v>
                </c:pt>
                <c:pt idx="773">
                  <c:v>3.8420000000000001</c:v>
                </c:pt>
                <c:pt idx="774">
                  <c:v>3.8119999999999998</c:v>
                </c:pt>
                <c:pt idx="775">
                  <c:v>3.7029999999999998</c:v>
                </c:pt>
                <c:pt idx="776">
                  <c:v>3.738</c:v>
                </c:pt>
                <c:pt idx="777">
                  <c:v>3.5830000000000002</c:v>
                </c:pt>
                <c:pt idx="778">
                  <c:v>3.5510000000000002</c:v>
                </c:pt>
                <c:pt idx="779">
                  <c:v>3.53</c:v>
                </c:pt>
                <c:pt idx="780">
                  <c:v>3.452</c:v>
                </c:pt>
                <c:pt idx="781">
                  <c:v>3.415</c:v>
                </c:pt>
                <c:pt idx="782">
                  <c:v>3.4220000000000002</c:v>
                </c:pt>
                <c:pt idx="783">
                  <c:v>3.617</c:v>
                </c:pt>
                <c:pt idx="784">
                  <c:v>3.64</c:v>
                </c:pt>
                <c:pt idx="785">
                  <c:v>3.8159999999999998</c:v>
                </c:pt>
                <c:pt idx="786">
                  <c:v>3.8479999999999999</c:v>
                </c:pt>
                <c:pt idx="787">
                  <c:v>3.996</c:v>
                </c:pt>
                <c:pt idx="788">
                  <c:v>3.9510000000000001</c:v>
                </c:pt>
                <c:pt idx="789">
                  <c:v>3.8889999999999998</c:v>
                </c:pt>
                <c:pt idx="790">
                  <c:v>3.742</c:v>
                </c:pt>
                <c:pt idx="791">
                  <c:v>3.6890000000000001</c:v>
                </c:pt>
                <c:pt idx="792">
                  <c:v>3.4750000000000001</c:v>
                </c:pt>
                <c:pt idx="793">
                  <c:v>3.6539999999999999</c:v>
                </c:pt>
                <c:pt idx="794">
                  <c:v>3.722</c:v>
                </c:pt>
                <c:pt idx="795">
                  <c:v>3.911</c:v>
                </c:pt>
                <c:pt idx="796">
                  <c:v>3.9849999999999999</c:v>
                </c:pt>
                <c:pt idx="797">
                  <c:v>4</c:v>
                </c:pt>
                <c:pt idx="798">
                  <c:v>2.9540000000000002</c:v>
                </c:pt>
                <c:pt idx="799">
                  <c:v>2.94</c:v>
                </c:pt>
                <c:pt idx="800">
                  <c:v>2.919</c:v>
                </c:pt>
                <c:pt idx="801">
                  <c:v>2.9380000000000002</c:v>
                </c:pt>
                <c:pt idx="802">
                  <c:v>2.9569999999999999</c:v>
                </c:pt>
                <c:pt idx="803">
                  <c:v>2.992</c:v>
                </c:pt>
                <c:pt idx="804">
                  <c:v>3.0950000000000002</c:v>
                </c:pt>
                <c:pt idx="805">
                  <c:v>3.0059999999999998</c:v>
                </c:pt>
                <c:pt idx="806">
                  <c:v>2.972</c:v>
                </c:pt>
                <c:pt idx="807">
                  <c:v>2.9580000000000002</c:v>
                </c:pt>
                <c:pt idx="808">
                  <c:v>2.94</c:v>
                </c:pt>
                <c:pt idx="809">
                  <c:v>2.9420000000000002</c:v>
                </c:pt>
                <c:pt idx="810">
                  <c:v>2.86</c:v>
                </c:pt>
                <c:pt idx="811">
                  <c:v>2.8370000000000002</c:v>
                </c:pt>
                <c:pt idx="812">
                  <c:v>2.84</c:v>
                </c:pt>
                <c:pt idx="813">
                  <c:v>2.903</c:v>
                </c:pt>
                <c:pt idx="814">
                  <c:v>3.0489999999999999</c:v>
                </c:pt>
                <c:pt idx="815">
                  <c:v>3.0649999999999999</c:v>
                </c:pt>
                <c:pt idx="816">
                  <c:v>3.2</c:v>
                </c:pt>
                <c:pt idx="817">
                  <c:v>3.2549999999999999</c:v>
                </c:pt>
                <c:pt idx="818">
                  <c:v>3.351</c:v>
                </c:pt>
                <c:pt idx="819">
                  <c:v>3.4</c:v>
                </c:pt>
                <c:pt idx="820">
                  <c:v>3.4159999999999999</c:v>
                </c:pt>
                <c:pt idx="821">
                  <c:v>3.605</c:v>
                </c:pt>
                <c:pt idx="822">
                  <c:v>3.7519999999999998</c:v>
                </c:pt>
                <c:pt idx="823">
                  <c:v>3.8109999999999999</c:v>
                </c:pt>
                <c:pt idx="824">
                  <c:v>3.895</c:v>
                </c:pt>
                <c:pt idx="825">
                  <c:v>4.1920000000000002</c:v>
                </c:pt>
                <c:pt idx="826">
                  <c:v>4.069</c:v>
                </c:pt>
                <c:pt idx="827">
                  <c:v>4.0250000000000004</c:v>
                </c:pt>
                <c:pt idx="828">
                  <c:v>3.9159999999999999</c:v>
                </c:pt>
                <c:pt idx="829">
                  <c:v>3.8860000000000001</c:v>
                </c:pt>
                <c:pt idx="830">
                  <c:v>4.0199999999999996</c:v>
                </c:pt>
                <c:pt idx="831">
                  <c:v>3.9950000000000001</c:v>
                </c:pt>
                <c:pt idx="832">
                  <c:v>3.879</c:v>
                </c:pt>
                <c:pt idx="833">
                  <c:v>3.93</c:v>
                </c:pt>
                <c:pt idx="834">
                  <c:v>3.7749999999999999</c:v>
                </c:pt>
                <c:pt idx="835">
                  <c:v>3.738</c:v>
                </c:pt>
                <c:pt idx="836">
                  <c:v>3.7189999999999999</c:v>
                </c:pt>
                <c:pt idx="837">
                  <c:v>3.6659999999999999</c:v>
                </c:pt>
                <c:pt idx="838">
                  <c:v>3.6269999999999998</c:v>
                </c:pt>
                <c:pt idx="839">
                  <c:v>3.585</c:v>
                </c:pt>
                <c:pt idx="840">
                  <c:v>3.7959999999999998</c:v>
                </c:pt>
                <c:pt idx="841">
                  <c:v>3.8260000000000001</c:v>
                </c:pt>
                <c:pt idx="842">
                  <c:v>3.9830000000000001</c:v>
                </c:pt>
                <c:pt idx="843">
                  <c:v>4.0209999999999999</c:v>
                </c:pt>
                <c:pt idx="844">
                  <c:v>4.1429999999999998</c:v>
                </c:pt>
                <c:pt idx="845">
                  <c:v>4.1239999999999997</c:v>
                </c:pt>
                <c:pt idx="846">
                  <c:v>4.0549999999999997</c:v>
                </c:pt>
                <c:pt idx="847">
                  <c:v>3.915</c:v>
                </c:pt>
                <c:pt idx="848">
                  <c:v>3.871</c:v>
                </c:pt>
                <c:pt idx="849">
                  <c:v>3.6459999999999999</c:v>
                </c:pt>
                <c:pt idx="850">
                  <c:v>3.819</c:v>
                </c:pt>
                <c:pt idx="851">
                  <c:v>3.863</c:v>
                </c:pt>
                <c:pt idx="852">
                  <c:v>4.0759999999999996</c:v>
                </c:pt>
                <c:pt idx="853">
                  <c:v>4.1509999999999998</c:v>
                </c:pt>
                <c:pt idx="854">
                  <c:v>4.1859999999999999</c:v>
                </c:pt>
                <c:pt idx="855">
                  <c:v>2.58</c:v>
                </c:pt>
                <c:pt idx="856">
                  <c:v>2.5720000000000001</c:v>
                </c:pt>
                <c:pt idx="857">
                  <c:v>2.62</c:v>
                </c:pt>
                <c:pt idx="858">
                  <c:v>2.6840000000000002</c:v>
                </c:pt>
                <c:pt idx="859">
                  <c:v>2.7250000000000001</c:v>
                </c:pt>
                <c:pt idx="860">
                  <c:v>2.75</c:v>
                </c:pt>
                <c:pt idx="861">
                  <c:v>2.7709999999999999</c:v>
                </c:pt>
                <c:pt idx="862">
                  <c:v>2.7</c:v>
                </c:pt>
                <c:pt idx="863">
                  <c:v>2.6840000000000002</c:v>
                </c:pt>
                <c:pt idx="864">
                  <c:v>2.7280000000000002</c:v>
                </c:pt>
                <c:pt idx="865">
                  <c:v>2.7109999999999999</c:v>
                </c:pt>
                <c:pt idx="866">
                  <c:v>2.69</c:v>
                </c:pt>
                <c:pt idx="867">
                  <c:v>2.7730000000000001</c:v>
                </c:pt>
                <c:pt idx="868">
                  <c:v>2.78</c:v>
                </c:pt>
                <c:pt idx="869">
                  <c:v>2.7589999999999999</c:v>
                </c:pt>
                <c:pt idx="870">
                  <c:v>2.7450000000000001</c:v>
                </c:pt>
                <c:pt idx="871">
                  <c:v>2.7290000000000001</c:v>
                </c:pt>
                <c:pt idx="872">
                  <c:v>2.7370000000000001</c:v>
                </c:pt>
                <c:pt idx="873">
                  <c:v>2.7120000000000002</c:v>
                </c:pt>
                <c:pt idx="874">
                  <c:v>2.7280000000000002</c:v>
                </c:pt>
                <c:pt idx="875">
                  <c:v>2.8820000000000001</c:v>
                </c:pt>
                <c:pt idx="876">
                  <c:v>3.0110000000000001</c:v>
                </c:pt>
                <c:pt idx="877">
                  <c:v>3.0369999999999999</c:v>
                </c:pt>
                <c:pt idx="878">
                  <c:v>3.2320000000000002</c:v>
                </c:pt>
                <c:pt idx="879">
                  <c:v>3.3719999999999999</c:v>
                </c:pt>
                <c:pt idx="880">
                  <c:v>3.4609999999999999</c:v>
                </c:pt>
                <c:pt idx="881">
                  <c:v>3.532</c:v>
                </c:pt>
                <c:pt idx="882">
                  <c:v>3.7349999999999999</c:v>
                </c:pt>
                <c:pt idx="883">
                  <c:v>3.7629999999999999</c:v>
                </c:pt>
                <c:pt idx="884">
                  <c:v>3.7349999999999999</c:v>
                </c:pt>
                <c:pt idx="885">
                  <c:v>3.597</c:v>
                </c:pt>
                <c:pt idx="886">
                  <c:v>3.54</c:v>
                </c:pt>
                <c:pt idx="887">
                  <c:v>3.5539999999999998</c:v>
                </c:pt>
                <c:pt idx="888">
                  <c:v>3.5419999999999998</c:v>
                </c:pt>
                <c:pt idx="889">
                  <c:v>3.5110000000000001</c:v>
                </c:pt>
                <c:pt idx="890">
                  <c:v>3.5659999999999998</c:v>
                </c:pt>
                <c:pt idx="891">
                  <c:v>3.4980000000000002</c:v>
                </c:pt>
                <c:pt idx="892">
                  <c:v>3.5270000000000001</c:v>
                </c:pt>
                <c:pt idx="893">
                  <c:v>3.5049999999999999</c:v>
                </c:pt>
                <c:pt idx="894">
                  <c:v>3.3780000000000001</c:v>
                </c:pt>
                <c:pt idx="895">
                  <c:v>3.331</c:v>
                </c:pt>
                <c:pt idx="896">
                  <c:v>3.0950000000000002</c:v>
                </c:pt>
                <c:pt idx="897">
                  <c:v>3.0310000000000001</c:v>
                </c:pt>
                <c:pt idx="898">
                  <c:v>3.1030000000000002</c:v>
                </c:pt>
                <c:pt idx="899">
                  <c:v>3.1909999999999998</c:v>
                </c:pt>
                <c:pt idx="900">
                  <c:v>3.286</c:v>
                </c:pt>
                <c:pt idx="901">
                  <c:v>3.8540000000000001</c:v>
                </c:pt>
                <c:pt idx="902">
                  <c:v>3.903</c:v>
                </c:pt>
                <c:pt idx="903">
                  <c:v>3.87</c:v>
                </c:pt>
                <c:pt idx="904">
                  <c:v>3.7639999999999998</c:v>
                </c:pt>
                <c:pt idx="905">
                  <c:v>3.7410000000000001</c:v>
                </c:pt>
                <c:pt idx="906">
                  <c:v>3.6459999999999999</c:v>
                </c:pt>
                <c:pt idx="907">
                  <c:v>3.528</c:v>
                </c:pt>
                <c:pt idx="908">
                  <c:v>3.5089999999999999</c:v>
                </c:pt>
                <c:pt idx="909">
                  <c:v>3.5960000000000001</c:v>
                </c:pt>
                <c:pt idx="910">
                  <c:v>3.7789999999999999</c:v>
                </c:pt>
                <c:pt idx="911">
                  <c:v>3.76</c:v>
                </c:pt>
                <c:pt idx="912">
                  <c:v>2.6659999999999999</c:v>
                </c:pt>
                <c:pt idx="913">
                  <c:v>2.6709999999999998</c:v>
                </c:pt>
                <c:pt idx="914">
                  <c:v>2.681</c:v>
                </c:pt>
                <c:pt idx="915">
                  <c:v>2.7330000000000001</c:v>
                </c:pt>
                <c:pt idx="916">
                  <c:v>2.8420000000000001</c:v>
                </c:pt>
                <c:pt idx="917">
                  <c:v>2.8769999999999998</c:v>
                </c:pt>
                <c:pt idx="918">
                  <c:v>2.948</c:v>
                </c:pt>
                <c:pt idx="919">
                  <c:v>2.871</c:v>
                </c:pt>
                <c:pt idx="920">
                  <c:v>2.8410000000000002</c:v>
                </c:pt>
                <c:pt idx="921">
                  <c:v>2.8140000000000001</c:v>
                </c:pt>
                <c:pt idx="922">
                  <c:v>2.802</c:v>
                </c:pt>
                <c:pt idx="923">
                  <c:v>2.802</c:v>
                </c:pt>
                <c:pt idx="924">
                  <c:v>2.8679999999999999</c:v>
                </c:pt>
                <c:pt idx="925">
                  <c:v>2.87</c:v>
                </c:pt>
                <c:pt idx="926">
                  <c:v>2.8530000000000002</c:v>
                </c:pt>
                <c:pt idx="927">
                  <c:v>2.8410000000000002</c:v>
                </c:pt>
                <c:pt idx="928">
                  <c:v>2.831</c:v>
                </c:pt>
                <c:pt idx="929">
                  <c:v>2.831</c:v>
                </c:pt>
                <c:pt idx="930">
                  <c:v>2.8119999999999998</c:v>
                </c:pt>
                <c:pt idx="931">
                  <c:v>2.8170000000000002</c:v>
                </c:pt>
                <c:pt idx="932">
                  <c:v>2.891</c:v>
                </c:pt>
                <c:pt idx="933">
                  <c:v>2.9740000000000002</c:v>
                </c:pt>
                <c:pt idx="934">
                  <c:v>3.0339999999999998</c:v>
                </c:pt>
                <c:pt idx="935">
                  <c:v>3.23</c:v>
                </c:pt>
                <c:pt idx="936">
                  <c:v>3.3460000000000001</c:v>
                </c:pt>
                <c:pt idx="937">
                  <c:v>3.4870000000000001</c:v>
                </c:pt>
                <c:pt idx="938">
                  <c:v>3.5470000000000002</c:v>
                </c:pt>
                <c:pt idx="939">
                  <c:v>3.7440000000000002</c:v>
                </c:pt>
                <c:pt idx="940">
                  <c:v>3.7519999999999998</c:v>
                </c:pt>
                <c:pt idx="941">
                  <c:v>3.7320000000000002</c:v>
                </c:pt>
                <c:pt idx="942">
                  <c:v>3.613</c:v>
                </c:pt>
                <c:pt idx="943">
                  <c:v>3.5630000000000002</c:v>
                </c:pt>
                <c:pt idx="944">
                  <c:v>3.5950000000000002</c:v>
                </c:pt>
                <c:pt idx="945">
                  <c:v>3.6059999999999999</c:v>
                </c:pt>
                <c:pt idx="946">
                  <c:v>3.58</c:v>
                </c:pt>
                <c:pt idx="947">
                  <c:v>3.6190000000000002</c:v>
                </c:pt>
                <c:pt idx="948">
                  <c:v>3.5920000000000001</c:v>
                </c:pt>
                <c:pt idx="949">
                  <c:v>3.5379999999999998</c:v>
                </c:pt>
                <c:pt idx="950">
                  <c:v>3.5129999999999999</c:v>
                </c:pt>
                <c:pt idx="951">
                  <c:v>3.3889999999999998</c:v>
                </c:pt>
                <c:pt idx="952">
                  <c:v>3.3410000000000002</c:v>
                </c:pt>
                <c:pt idx="953">
                  <c:v>3.08</c:v>
                </c:pt>
                <c:pt idx="954">
                  <c:v>3.077</c:v>
                </c:pt>
                <c:pt idx="955">
                  <c:v>3.1160000000000001</c:v>
                </c:pt>
                <c:pt idx="956">
                  <c:v>3.242</c:v>
                </c:pt>
                <c:pt idx="957">
                  <c:v>3.38</c:v>
                </c:pt>
                <c:pt idx="958">
                  <c:v>3.7930000000000001</c:v>
                </c:pt>
                <c:pt idx="959">
                  <c:v>3.831</c:v>
                </c:pt>
                <c:pt idx="960">
                  <c:v>3.8090000000000002</c:v>
                </c:pt>
                <c:pt idx="961">
                  <c:v>3.7879999999999998</c:v>
                </c:pt>
                <c:pt idx="962">
                  <c:v>3.7759999999999998</c:v>
                </c:pt>
                <c:pt idx="963">
                  <c:v>3.63</c:v>
                </c:pt>
                <c:pt idx="964">
                  <c:v>3.512</c:v>
                </c:pt>
                <c:pt idx="965">
                  <c:v>3.5089999999999999</c:v>
                </c:pt>
                <c:pt idx="966">
                  <c:v>3.6890000000000001</c:v>
                </c:pt>
                <c:pt idx="967">
                  <c:v>3.8149999999999999</c:v>
                </c:pt>
                <c:pt idx="968">
                  <c:v>3.7970000000000002</c:v>
                </c:pt>
                <c:pt idx="969">
                  <c:v>2.7879999999999998</c:v>
                </c:pt>
                <c:pt idx="970">
                  <c:v>2.7709999999999999</c:v>
                </c:pt>
                <c:pt idx="971">
                  <c:v>2.766</c:v>
                </c:pt>
                <c:pt idx="972">
                  <c:v>2.8050000000000002</c:v>
                </c:pt>
                <c:pt idx="973">
                  <c:v>2.8260000000000001</c:v>
                </c:pt>
                <c:pt idx="974">
                  <c:v>2.8490000000000002</c:v>
                </c:pt>
                <c:pt idx="975">
                  <c:v>2.9809999999999999</c:v>
                </c:pt>
                <c:pt idx="976">
                  <c:v>2.8570000000000002</c:v>
                </c:pt>
                <c:pt idx="977">
                  <c:v>2.83</c:v>
                </c:pt>
                <c:pt idx="978">
                  <c:v>2.8149999999999999</c:v>
                </c:pt>
                <c:pt idx="979">
                  <c:v>2.806</c:v>
                </c:pt>
                <c:pt idx="980">
                  <c:v>2.7919999999999998</c:v>
                </c:pt>
                <c:pt idx="981">
                  <c:v>2.7349999999999999</c:v>
                </c:pt>
                <c:pt idx="982">
                  <c:v>2.7170000000000001</c:v>
                </c:pt>
                <c:pt idx="983">
                  <c:v>2.7170000000000001</c:v>
                </c:pt>
                <c:pt idx="984">
                  <c:v>2.7759999999999998</c:v>
                </c:pt>
                <c:pt idx="985">
                  <c:v>2.9380000000000002</c:v>
                </c:pt>
                <c:pt idx="986">
                  <c:v>2.9609999999999999</c:v>
                </c:pt>
                <c:pt idx="987">
                  <c:v>3.0649999999999999</c:v>
                </c:pt>
                <c:pt idx="988">
                  <c:v>3.1320000000000001</c:v>
                </c:pt>
                <c:pt idx="989">
                  <c:v>3.1930000000000001</c:v>
                </c:pt>
                <c:pt idx="990">
                  <c:v>3.24</c:v>
                </c:pt>
                <c:pt idx="991">
                  <c:v>3.2549999999999999</c:v>
                </c:pt>
                <c:pt idx="992">
                  <c:v>3.4369999999999998</c:v>
                </c:pt>
                <c:pt idx="993">
                  <c:v>3.6</c:v>
                </c:pt>
                <c:pt idx="994">
                  <c:v>3.6379999999999999</c:v>
                </c:pt>
                <c:pt idx="995">
                  <c:v>3.72</c:v>
                </c:pt>
                <c:pt idx="996">
                  <c:v>4.0780000000000003</c:v>
                </c:pt>
                <c:pt idx="997">
                  <c:v>3.9729999999999999</c:v>
                </c:pt>
                <c:pt idx="998">
                  <c:v>3.9239999999999999</c:v>
                </c:pt>
                <c:pt idx="999">
                  <c:v>3.8149999999999999</c:v>
                </c:pt>
                <c:pt idx="1000">
                  <c:v>3.7839999999999998</c:v>
                </c:pt>
                <c:pt idx="1001">
                  <c:v>3.903</c:v>
                </c:pt>
                <c:pt idx="1002">
                  <c:v>3.88</c:v>
                </c:pt>
                <c:pt idx="1003">
                  <c:v>3.7839999999999998</c:v>
                </c:pt>
                <c:pt idx="1004">
                  <c:v>3.8090000000000002</c:v>
                </c:pt>
                <c:pt idx="1005">
                  <c:v>3.633</c:v>
                </c:pt>
                <c:pt idx="1006">
                  <c:v>3.5859999999999999</c:v>
                </c:pt>
                <c:pt idx="1007">
                  <c:v>3.57</c:v>
                </c:pt>
                <c:pt idx="1008">
                  <c:v>3.5009999999999999</c:v>
                </c:pt>
                <c:pt idx="1009">
                  <c:v>3.47</c:v>
                </c:pt>
                <c:pt idx="1010">
                  <c:v>3.4390000000000001</c:v>
                </c:pt>
                <c:pt idx="1011">
                  <c:v>3.633</c:v>
                </c:pt>
                <c:pt idx="1012">
                  <c:v>3.6549999999999998</c:v>
                </c:pt>
                <c:pt idx="1013">
                  <c:v>3.827</c:v>
                </c:pt>
                <c:pt idx="1014">
                  <c:v>3.8759999999999999</c:v>
                </c:pt>
                <c:pt idx="1015">
                  <c:v>3.9569999999999999</c:v>
                </c:pt>
                <c:pt idx="1016">
                  <c:v>3.9910000000000001</c:v>
                </c:pt>
                <c:pt idx="1017">
                  <c:v>3.9470000000000001</c:v>
                </c:pt>
                <c:pt idx="1018">
                  <c:v>3.798</c:v>
                </c:pt>
                <c:pt idx="1019">
                  <c:v>3.746</c:v>
                </c:pt>
                <c:pt idx="1020">
                  <c:v>3.5379999999999998</c:v>
                </c:pt>
                <c:pt idx="1021">
                  <c:v>3.698</c:v>
                </c:pt>
                <c:pt idx="1022">
                  <c:v>3.7719999999999998</c:v>
                </c:pt>
                <c:pt idx="1023">
                  <c:v>3.9209999999999998</c:v>
                </c:pt>
                <c:pt idx="1024">
                  <c:v>4.0270000000000001</c:v>
                </c:pt>
                <c:pt idx="1025">
                  <c:v>4.0289999999999999</c:v>
                </c:pt>
                <c:pt idx="1026">
                  <c:v>2.9540000000000002</c:v>
                </c:pt>
                <c:pt idx="1027">
                  <c:v>2.94</c:v>
                </c:pt>
                <c:pt idx="1028">
                  <c:v>2.919</c:v>
                </c:pt>
                <c:pt idx="1029">
                  <c:v>2.9380000000000002</c:v>
                </c:pt>
                <c:pt idx="1030">
                  <c:v>2.9569999999999999</c:v>
                </c:pt>
                <c:pt idx="1031">
                  <c:v>2.992</c:v>
                </c:pt>
                <c:pt idx="1032">
                  <c:v>3.0950000000000002</c:v>
                </c:pt>
                <c:pt idx="1033">
                  <c:v>3.0059999999999998</c:v>
                </c:pt>
                <c:pt idx="1034">
                  <c:v>2.972</c:v>
                </c:pt>
                <c:pt idx="1035">
                  <c:v>2.9580000000000002</c:v>
                </c:pt>
                <c:pt idx="1036">
                  <c:v>2.94</c:v>
                </c:pt>
                <c:pt idx="1037">
                  <c:v>2.9420000000000002</c:v>
                </c:pt>
                <c:pt idx="1038">
                  <c:v>2.86</c:v>
                </c:pt>
                <c:pt idx="1039">
                  <c:v>2.8370000000000002</c:v>
                </c:pt>
                <c:pt idx="1040">
                  <c:v>2.84</c:v>
                </c:pt>
                <c:pt idx="1041">
                  <c:v>2.903</c:v>
                </c:pt>
                <c:pt idx="1042">
                  <c:v>3.0489999999999999</c:v>
                </c:pt>
                <c:pt idx="1043">
                  <c:v>3.0649999999999999</c:v>
                </c:pt>
                <c:pt idx="1044">
                  <c:v>3.2</c:v>
                </c:pt>
                <c:pt idx="1045">
                  <c:v>3.2549999999999999</c:v>
                </c:pt>
                <c:pt idx="1046">
                  <c:v>3.351</c:v>
                </c:pt>
                <c:pt idx="1047">
                  <c:v>3.4</c:v>
                </c:pt>
                <c:pt idx="1048">
                  <c:v>3.4159999999999999</c:v>
                </c:pt>
                <c:pt idx="1049">
                  <c:v>3.605</c:v>
                </c:pt>
                <c:pt idx="1050">
                  <c:v>3.7519999999999998</c:v>
                </c:pt>
                <c:pt idx="1051">
                  <c:v>3.8109999999999999</c:v>
                </c:pt>
                <c:pt idx="1052">
                  <c:v>3.895</c:v>
                </c:pt>
                <c:pt idx="1053">
                  <c:v>4.1920000000000002</c:v>
                </c:pt>
                <c:pt idx="1054">
                  <c:v>4.069</c:v>
                </c:pt>
                <c:pt idx="1055">
                  <c:v>4.0250000000000004</c:v>
                </c:pt>
                <c:pt idx="1056">
                  <c:v>3.9159999999999999</c:v>
                </c:pt>
                <c:pt idx="1057">
                  <c:v>3.8860000000000001</c:v>
                </c:pt>
                <c:pt idx="1058">
                  <c:v>4.0199999999999996</c:v>
                </c:pt>
                <c:pt idx="1059">
                  <c:v>3.9950000000000001</c:v>
                </c:pt>
                <c:pt idx="1060">
                  <c:v>3.879</c:v>
                </c:pt>
                <c:pt idx="1061">
                  <c:v>3.93</c:v>
                </c:pt>
                <c:pt idx="1062">
                  <c:v>3.7749999999999999</c:v>
                </c:pt>
                <c:pt idx="1063">
                  <c:v>3.738</c:v>
                </c:pt>
                <c:pt idx="1064">
                  <c:v>3.7189999999999999</c:v>
                </c:pt>
                <c:pt idx="1065">
                  <c:v>3.6659999999999999</c:v>
                </c:pt>
                <c:pt idx="1066">
                  <c:v>3.6269999999999998</c:v>
                </c:pt>
                <c:pt idx="1067">
                  <c:v>3.585</c:v>
                </c:pt>
                <c:pt idx="1068">
                  <c:v>3.7959999999999998</c:v>
                </c:pt>
                <c:pt idx="1069">
                  <c:v>3.8260000000000001</c:v>
                </c:pt>
                <c:pt idx="1070">
                  <c:v>3.9830000000000001</c:v>
                </c:pt>
                <c:pt idx="1071">
                  <c:v>4.0209999999999999</c:v>
                </c:pt>
                <c:pt idx="1072">
                  <c:v>4.1429999999999998</c:v>
                </c:pt>
                <c:pt idx="1073">
                  <c:v>4.1239999999999997</c:v>
                </c:pt>
                <c:pt idx="1074">
                  <c:v>4.0549999999999997</c:v>
                </c:pt>
                <c:pt idx="1075">
                  <c:v>3.915</c:v>
                </c:pt>
                <c:pt idx="1076">
                  <c:v>3.871</c:v>
                </c:pt>
                <c:pt idx="1077">
                  <c:v>3.6459999999999999</c:v>
                </c:pt>
                <c:pt idx="1078">
                  <c:v>3.819</c:v>
                </c:pt>
                <c:pt idx="1079">
                  <c:v>3.863</c:v>
                </c:pt>
                <c:pt idx="1080">
                  <c:v>4.0759999999999996</c:v>
                </c:pt>
                <c:pt idx="1081">
                  <c:v>4.1509999999999998</c:v>
                </c:pt>
                <c:pt idx="1082">
                  <c:v>4.1859999999999999</c:v>
                </c:pt>
                <c:pt idx="1083">
                  <c:v>2.7839999999999998</c:v>
                </c:pt>
                <c:pt idx="1084">
                  <c:v>2.7730000000000001</c:v>
                </c:pt>
                <c:pt idx="1085">
                  <c:v>2.7770000000000001</c:v>
                </c:pt>
                <c:pt idx="1086">
                  <c:v>2.8180000000000001</c:v>
                </c:pt>
                <c:pt idx="1087">
                  <c:v>2.85</c:v>
                </c:pt>
                <c:pt idx="1088">
                  <c:v>2.8690000000000002</c:v>
                </c:pt>
                <c:pt idx="1089">
                  <c:v>2.9660000000000002</c:v>
                </c:pt>
                <c:pt idx="1090">
                  <c:v>2.847</c:v>
                </c:pt>
                <c:pt idx="1091">
                  <c:v>2.8090000000000002</c:v>
                </c:pt>
                <c:pt idx="1092">
                  <c:v>2.8149999999999999</c:v>
                </c:pt>
                <c:pt idx="1093">
                  <c:v>2.7930000000000001</c:v>
                </c:pt>
                <c:pt idx="1094">
                  <c:v>2.7839999999999998</c:v>
                </c:pt>
                <c:pt idx="1095">
                  <c:v>2.7149999999999999</c:v>
                </c:pt>
                <c:pt idx="1096">
                  <c:v>2.6989999999999998</c:v>
                </c:pt>
                <c:pt idx="1097">
                  <c:v>2.7069999999999999</c:v>
                </c:pt>
                <c:pt idx="1098">
                  <c:v>2.7639999999999998</c:v>
                </c:pt>
                <c:pt idx="1099">
                  <c:v>2.9169999999999998</c:v>
                </c:pt>
                <c:pt idx="1100">
                  <c:v>2.931</c:v>
                </c:pt>
                <c:pt idx="1101">
                  <c:v>3.0459999999999998</c:v>
                </c:pt>
                <c:pt idx="1102">
                  <c:v>3.109</c:v>
                </c:pt>
                <c:pt idx="1103">
                  <c:v>3.1930000000000001</c:v>
                </c:pt>
                <c:pt idx="1104">
                  <c:v>3.2309999999999999</c:v>
                </c:pt>
                <c:pt idx="1105">
                  <c:v>3.2389999999999999</c:v>
                </c:pt>
                <c:pt idx="1106">
                  <c:v>3.4329999999999998</c:v>
                </c:pt>
                <c:pt idx="1107">
                  <c:v>3.5819999999999999</c:v>
                </c:pt>
                <c:pt idx="1108">
                  <c:v>3.6379999999999999</c:v>
                </c:pt>
                <c:pt idx="1109">
                  <c:v>3.72</c:v>
                </c:pt>
                <c:pt idx="1110">
                  <c:v>4.0460000000000003</c:v>
                </c:pt>
                <c:pt idx="1111">
                  <c:v>3.9220000000000002</c:v>
                </c:pt>
                <c:pt idx="1112">
                  <c:v>3.8809999999999998</c:v>
                </c:pt>
                <c:pt idx="1113">
                  <c:v>3.7480000000000002</c:v>
                </c:pt>
                <c:pt idx="1114">
                  <c:v>3.7109999999999999</c:v>
                </c:pt>
                <c:pt idx="1115">
                  <c:v>3.8420000000000001</c:v>
                </c:pt>
                <c:pt idx="1116">
                  <c:v>3.8119999999999998</c:v>
                </c:pt>
                <c:pt idx="1117">
                  <c:v>3.7029999999999998</c:v>
                </c:pt>
                <c:pt idx="1118">
                  <c:v>3.738</c:v>
                </c:pt>
                <c:pt idx="1119">
                  <c:v>3.5830000000000002</c:v>
                </c:pt>
                <c:pt idx="1120">
                  <c:v>3.5510000000000002</c:v>
                </c:pt>
                <c:pt idx="1121">
                  <c:v>3.53</c:v>
                </c:pt>
                <c:pt idx="1122">
                  <c:v>3.452</c:v>
                </c:pt>
                <c:pt idx="1123">
                  <c:v>3.415</c:v>
                </c:pt>
                <c:pt idx="1124">
                  <c:v>3.4220000000000002</c:v>
                </c:pt>
                <c:pt idx="1125">
                  <c:v>3.617</c:v>
                </c:pt>
                <c:pt idx="1126">
                  <c:v>3.64</c:v>
                </c:pt>
                <c:pt idx="1127">
                  <c:v>3.8159999999999998</c:v>
                </c:pt>
                <c:pt idx="1128">
                  <c:v>3.8479999999999999</c:v>
                </c:pt>
                <c:pt idx="1129">
                  <c:v>3.996</c:v>
                </c:pt>
                <c:pt idx="1130">
                  <c:v>3.9510000000000001</c:v>
                </c:pt>
                <c:pt idx="1131">
                  <c:v>3.8889999999999998</c:v>
                </c:pt>
                <c:pt idx="1132">
                  <c:v>3.742</c:v>
                </c:pt>
                <c:pt idx="1133">
                  <c:v>3.6890000000000001</c:v>
                </c:pt>
                <c:pt idx="1134">
                  <c:v>3.4750000000000001</c:v>
                </c:pt>
                <c:pt idx="1135">
                  <c:v>3.6539999999999999</c:v>
                </c:pt>
                <c:pt idx="1136">
                  <c:v>3.722</c:v>
                </c:pt>
                <c:pt idx="1137">
                  <c:v>3.911</c:v>
                </c:pt>
                <c:pt idx="1138">
                  <c:v>3.9849999999999999</c:v>
                </c:pt>
                <c:pt idx="1139">
                  <c:v>4</c:v>
                </c:pt>
                <c:pt idx="1140">
                  <c:v>2.5720000000000001</c:v>
                </c:pt>
                <c:pt idx="1141">
                  <c:v>2.548</c:v>
                </c:pt>
                <c:pt idx="1142">
                  <c:v>2.625</c:v>
                </c:pt>
                <c:pt idx="1143">
                  <c:v>2.6669999999999998</c:v>
                </c:pt>
                <c:pt idx="1144">
                  <c:v>2.7189999999999999</c:v>
                </c:pt>
                <c:pt idx="1145">
                  <c:v>2.77</c:v>
                </c:pt>
                <c:pt idx="1146">
                  <c:v>2.835</c:v>
                </c:pt>
                <c:pt idx="1147">
                  <c:v>2.7050000000000001</c:v>
                </c:pt>
                <c:pt idx="1148">
                  <c:v>2.6680000000000001</c:v>
                </c:pt>
                <c:pt idx="1149">
                  <c:v>2.669</c:v>
                </c:pt>
                <c:pt idx="1150">
                  <c:v>2.6419999999999999</c:v>
                </c:pt>
                <c:pt idx="1151">
                  <c:v>2.6269999999999998</c:v>
                </c:pt>
                <c:pt idx="1152">
                  <c:v>2.577</c:v>
                </c:pt>
                <c:pt idx="1153">
                  <c:v>2.5649999999999999</c:v>
                </c:pt>
                <c:pt idx="1154">
                  <c:v>2.6030000000000002</c:v>
                </c:pt>
                <c:pt idx="1155">
                  <c:v>2.633</c:v>
                </c:pt>
                <c:pt idx="1156">
                  <c:v>2.6890000000000001</c:v>
                </c:pt>
                <c:pt idx="1157">
                  <c:v>2.7280000000000002</c:v>
                </c:pt>
                <c:pt idx="1158">
                  <c:v>2.7080000000000002</c:v>
                </c:pt>
                <c:pt idx="1159">
                  <c:v>2.843</c:v>
                </c:pt>
                <c:pt idx="1160">
                  <c:v>2.976</c:v>
                </c:pt>
                <c:pt idx="1161">
                  <c:v>2.9889999999999999</c:v>
                </c:pt>
                <c:pt idx="1162">
                  <c:v>3.0219999999999998</c:v>
                </c:pt>
                <c:pt idx="1163">
                  <c:v>3.2879999999999998</c:v>
                </c:pt>
                <c:pt idx="1164">
                  <c:v>3.4590000000000001</c:v>
                </c:pt>
                <c:pt idx="1165">
                  <c:v>3.524</c:v>
                </c:pt>
                <c:pt idx="1166">
                  <c:v>3.6219999999999999</c:v>
                </c:pt>
                <c:pt idx="1167">
                  <c:v>3.9060000000000001</c:v>
                </c:pt>
                <c:pt idx="1168">
                  <c:v>3.6989999999999998</c:v>
                </c:pt>
                <c:pt idx="1169">
                  <c:v>3.6480000000000001</c:v>
                </c:pt>
                <c:pt idx="1170">
                  <c:v>3.524</c:v>
                </c:pt>
                <c:pt idx="1171">
                  <c:v>3.48</c:v>
                </c:pt>
                <c:pt idx="1172">
                  <c:v>3.6840000000000002</c:v>
                </c:pt>
                <c:pt idx="1173">
                  <c:v>3.6379999999999999</c:v>
                </c:pt>
                <c:pt idx="1174">
                  <c:v>3.5329999999999999</c:v>
                </c:pt>
                <c:pt idx="1175">
                  <c:v>3.5459999999999998</c:v>
                </c:pt>
                <c:pt idx="1176">
                  <c:v>3.2850000000000001</c:v>
                </c:pt>
                <c:pt idx="1177">
                  <c:v>3.3319999999999999</c:v>
                </c:pt>
                <c:pt idx="1178">
                  <c:v>3.2970000000000002</c:v>
                </c:pt>
                <c:pt idx="1179">
                  <c:v>3.1720000000000002</c:v>
                </c:pt>
                <c:pt idx="1180">
                  <c:v>3.1579999999999999</c:v>
                </c:pt>
                <c:pt idx="1181">
                  <c:v>3.157</c:v>
                </c:pt>
                <c:pt idx="1182">
                  <c:v>3.36</c:v>
                </c:pt>
                <c:pt idx="1183">
                  <c:v>3.4089999999999998</c:v>
                </c:pt>
                <c:pt idx="1184">
                  <c:v>3.63</c:v>
                </c:pt>
                <c:pt idx="1185">
                  <c:v>3.669</c:v>
                </c:pt>
                <c:pt idx="1186">
                  <c:v>3.891</c:v>
                </c:pt>
                <c:pt idx="1187">
                  <c:v>3.7490000000000001</c:v>
                </c:pt>
                <c:pt idx="1188">
                  <c:v>3.6880000000000002</c:v>
                </c:pt>
                <c:pt idx="1189">
                  <c:v>3.5009999999999999</c:v>
                </c:pt>
                <c:pt idx="1190">
                  <c:v>3.452</c:v>
                </c:pt>
                <c:pt idx="1191">
                  <c:v>3.2269999999999999</c:v>
                </c:pt>
                <c:pt idx="1192">
                  <c:v>3.4169999999999998</c:v>
                </c:pt>
                <c:pt idx="1193">
                  <c:v>3.4940000000000002</c:v>
                </c:pt>
                <c:pt idx="1194">
                  <c:v>3.73</c:v>
                </c:pt>
                <c:pt idx="1195">
                  <c:v>3.617</c:v>
                </c:pt>
                <c:pt idx="1196">
                  <c:v>3.601</c:v>
                </c:pt>
                <c:pt idx="1197">
                  <c:v>2.7879999999999998</c:v>
                </c:pt>
                <c:pt idx="1198">
                  <c:v>2.7709999999999999</c:v>
                </c:pt>
                <c:pt idx="1199">
                  <c:v>2.766</c:v>
                </c:pt>
                <c:pt idx="1200">
                  <c:v>2.8050000000000002</c:v>
                </c:pt>
                <c:pt idx="1201">
                  <c:v>2.8260000000000001</c:v>
                </c:pt>
                <c:pt idx="1202">
                  <c:v>2.8490000000000002</c:v>
                </c:pt>
                <c:pt idx="1203">
                  <c:v>2.9809999999999999</c:v>
                </c:pt>
                <c:pt idx="1204">
                  <c:v>2.8570000000000002</c:v>
                </c:pt>
                <c:pt idx="1205">
                  <c:v>2.83</c:v>
                </c:pt>
                <c:pt idx="1206">
                  <c:v>2.8149999999999999</c:v>
                </c:pt>
                <c:pt idx="1207">
                  <c:v>2.806</c:v>
                </c:pt>
                <c:pt idx="1208">
                  <c:v>2.7919999999999998</c:v>
                </c:pt>
                <c:pt idx="1209">
                  <c:v>2.7349999999999999</c:v>
                </c:pt>
                <c:pt idx="1210">
                  <c:v>2.7170000000000001</c:v>
                </c:pt>
                <c:pt idx="1211">
                  <c:v>2.7170000000000001</c:v>
                </c:pt>
                <c:pt idx="1212">
                  <c:v>2.7759999999999998</c:v>
                </c:pt>
                <c:pt idx="1213">
                  <c:v>2.9380000000000002</c:v>
                </c:pt>
                <c:pt idx="1214">
                  <c:v>2.9609999999999999</c:v>
                </c:pt>
                <c:pt idx="1215">
                  <c:v>3.0649999999999999</c:v>
                </c:pt>
                <c:pt idx="1216">
                  <c:v>3.1320000000000001</c:v>
                </c:pt>
                <c:pt idx="1217">
                  <c:v>3.1930000000000001</c:v>
                </c:pt>
                <c:pt idx="1218">
                  <c:v>3.24</c:v>
                </c:pt>
                <c:pt idx="1219">
                  <c:v>3.2549999999999999</c:v>
                </c:pt>
                <c:pt idx="1220">
                  <c:v>3.4369999999999998</c:v>
                </c:pt>
                <c:pt idx="1221">
                  <c:v>3.6</c:v>
                </c:pt>
                <c:pt idx="1222">
                  <c:v>3.6379999999999999</c:v>
                </c:pt>
                <c:pt idx="1223">
                  <c:v>3.72</c:v>
                </c:pt>
                <c:pt idx="1224">
                  <c:v>4.0780000000000003</c:v>
                </c:pt>
                <c:pt idx="1225">
                  <c:v>3.9729999999999999</c:v>
                </c:pt>
                <c:pt idx="1226">
                  <c:v>3.9239999999999999</c:v>
                </c:pt>
                <c:pt idx="1227">
                  <c:v>3.8149999999999999</c:v>
                </c:pt>
                <c:pt idx="1228">
                  <c:v>3.7839999999999998</c:v>
                </c:pt>
                <c:pt idx="1229">
                  <c:v>3.903</c:v>
                </c:pt>
                <c:pt idx="1230">
                  <c:v>3.88</c:v>
                </c:pt>
                <c:pt idx="1231">
                  <c:v>3.7839999999999998</c:v>
                </c:pt>
                <c:pt idx="1232">
                  <c:v>3.8090000000000002</c:v>
                </c:pt>
                <c:pt idx="1233">
                  <c:v>3.633</c:v>
                </c:pt>
                <c:pt idx="1234">
                  <c:v>3.5859999999999999</c:v>
                </c:pt>
                <c:pt idx="1235">
                  <c:v>3.57</c:v>
                </c:pt>
                <c:pt idx="1236">
                  <c:v>3.5009999999999999</c:v>
                </c:pt>
                <c:pt idx="1237">
                  <c:v>3.47</c:v>
                </c:pt>
                <c:pt idx="1238">
                  <c:v>3.4390000000000001</c:v>
                </c:pt>
                <c:pt idx="1239">
                  <c:v>3.633</c:v>
                </c:pt>
                <c:pt idx="1240">
                  <c:v>3.6549999999999998</c:v>
                </c:pt>
                <c:pt idx="1241">
                  <c:v>3.827</c:v>
                </c:pt>
                <c:pt idx="1242">
                  <c:v>3.8759999999999999</c:v>
                </c:pt>
                <c:pt idx="1243">
                  <c:v>3.9569999999999999</c:v>
                </c:pt>
                <c:pt idx="1244">
                  <c:v>3.9910000000000001</c:v>
                </c:pt>
                <c:pt idx="1245">
                  <c:v>3.9470000000000001</c:v>
                </c:pt>
                <c:pt idx="1246">
                  <c:v>3.798</c:v>
                </c:pt>
                <c:pt idx="1247">
                  <c:v>3.746</c:v>
                </c:pt>
                <c:pt idx="1248">
                  <c:v>3.5379999999999998</c:v>
                </c:pt>
                <c:pt idx="1249">
                  <c:v>3.698</c:v>
                </c:pt>
                <c:pt idx="1250">
                  <c:v>3.7719999999999998</c:v>
                </c:pt>
                <c:pt idx="1251">
                  <c:v>3.9209999999999998</c:v>
                </c:pt>
                <c:pt idx="1252">
                  <c:v>4.0270000000000001</c:v>
                </c:pt>
                <c:pt idx="1253">
                  <c:v>4.0289999999999999</c:v>
                </c:pt>
                <c:pt idx="1254">
                  <c:v>2.7879999999999998</c:v>
                </c:pt>
                <c:pt idx="1255">
                  <c:v>2.7709999999999999</c:v>
                </c:pt>
                <c:pt idx="1256">
                  <c:v>2.766</c:v>
                </c:pt>
                <c:pt idx="1257">
                  <c:v>2.8050000000000002</c:v>
                </c:pt>
                <c:pt idx="1258">
                  <c:v>2.8260000000000001</c:v>
                </c:pt>
                <c:pt idx="1259">
                  <c:v>2.8490000000000002</c:v>
                </c:pt>
                <c:pt idx="1260">
                  <c:v>2.9809999999999999</c:v>
                </c:pt>
                <c:pt idx="1261">
                  <c:v>2.8570000000000002</c:v>
                </c:pt>
                <c:pt idx="1262">
                  <c:v>2.83</c:v>
                </c:pt>
                <c:pt idx="1263">
                  <c:v>2.8149999999999999</c:v>
                </c:pt>
                <c:pt idx="1264">
                  <c:v>2.806</c:v>
                </c:pt>
                <c:pt idx="1265">
                  <c:v>2.7919999999999998</c:v>
                </c:pt>
                <c:pt idx="1266">
                  <c:v>2.7349999999999999</c:v>
                </c:pt>
                <c:pt idx="1267">
                  <c:v>2.7170000000000001</c:v>
                </c:pt>
                <c:pt idx="1268">
                  <c:v>2.7170000000000001</c:v>
                </c:pt>
                <c:pt idx="1269">
                  <c:v>2.7759999999999998</c:v>
                </c:pt>
                <c:pt idx="1270">
                  <c:v>2.9380000000000002</c:v>
                </c:pt>
                <c:pt idx="1271">
                  <c:v>2.9609999999999999</c:v>
                </c:pt>
                <c:pt idx="1272">
                  <c:v>3.0649999999999999</c:v>
                </c:pt>
                <c:pt idx="1273">
                  <c:v>3.1320000000000001</c:v>
                </c:pt>
                <c:pt idx="1274">
                  <c:v>3.1930000000000001</c:v>
                </c:pt>
                <c:pt idx="1275">
                  <c:v>3.24</c:v>
                </c:pt>
                <c:pt idx="1276">
                  <c:v>3.2549999999999999</c:v>
                </c:pt>
                <c:pt idx="1277">
                  <c:v>3.4369999999999998</c:v>
                </c:pt>
                <c:pt idx="1278">
                  <c:v>3.6</c:v>
                </c:pt>
                <c:pt idx="1279">
                  <c:v>3.6379999999999999</c:v>
                </c:pt>
                <c:pt idx="1280">
                  <c:v>3.72</c:v>
                </c:pt>
                <c:pt idx="1281">
                  <c:v>4.0780000000000003</c:v>
                </c:pt>
                <c:pt idx="1282">
                  <c:v>3.9729999999999999</c:v>
                </c:pt>
                <c:pt idx="1283">
                  <c:v>3.9239999999999999</c:v>
                </c:pt>
                <c:pt idx="1284">
                  <c:v>3.8149999999999999</c:v>
                </c:pt>
                <c:pt idx="1285">
                  <c:v>3.7839999999999998</c:v>
                </c:pt>
                <c:pt idx="1286">
                  <c:v>3.903</c:v>
                </c:pt>
                <c:pt idx="1287">
                  <c:v>3.88</c:v>
                </c:pt>
                <c:pt idx="1288">
                  <c:v>3.7839999999999998</c:v>
                </c:pt>
                <c:pt idx="1289">
                  <c:v>3.8090000000000002</c:v>
                </c:pt>
                <c:pt idx="1290">
                  <c:v>3.633</c:v>
                </c:pt>
                <c:pt idx="1291">
                  <c:v>3.5859999999999999</c:v>
                </c:pt>
                <c:pt idx="1292">
                  <c:v>3.57</c:v>
                </c:pt>
                <c:pt idx="1293">
                  <c:v>3.5009999999999999</c:v>
                </c:pt>
                <c:pt idx="1294">
                  <c:v>3.47</c:v>
                </c:pt>
                <c:pt idx="1295">
                  <c:v>3.4390000000000001</c:v>
                </c:pt>
                <c:pt idx="1296">
                  <c:v>3.633</c:v>
                </c:pt>
                <c:pt idx="1297">
                  <c:v>3.6549999999999998</c:v>
                </c:pt>
                <c:pt idx="1298">
                  <c:v>3.827</c:v>
                </c:pt>
                <c:pt idx="1299">
                  <c:v>3.8759999999999999</c:v>
                </c:pt>
                <c:pt idx="1300">
                  <c:v>3.9569999999999999</c:v>
                </c:pt>
                <c:pt idx="1301">
                  <c:v>3.9910000000000001</c:v>
                </c:pt>
                <c:pt idx="1302">
                  <c:v>3.9470000000000001</c:v>
                </c:pt>
                <c:pt idx="1303">
                  <c:v>3.798</c:v>
                </c:pt>
                <c:pt idx="1304">
                  <c:v>3.746</c:v>
                </c:pt>
                <c:pt idx="1305">
                  <c:v>3.5379999999999998</c:v>
                </c:pt>
                <c:pt idx="1306">
                  <c:v>3.698</c:v>
                </c:pt>
                <c:pt idx="1307">
                  <c:v>3.7719999999999998</c:v>
                </c:pt>
                <c:pt idx="1308">
                  <c:v>3.9209999999999998</c:v>
                </c:pt>
                <c:pt idx="1309">
                  <c:v>4.0270000000000001</c:v>
                </c:pt>
                <c:pt idx="1310">
                  <c:v>4.0289999999999999</c:v>
                </c:pt>
                <c:pt idx="1311">
                  <c:v>2.9540000000000002</c:v>
                </c:pt>
                <c:pt idx="1312">
                  <c:v>2.94</c:v>
                </c:pt>
                <c:pt idx="1313">
                  <c:v>2.919</c:v>
                </c:pt>
                <c:pt idx="1314">
                  <c:v>2.9380000000000002</c:v>
                </c:pt>
                <c:pt idx="1315">
                  <c:v>2.9569999999999999</c:v>
                </c:pt>
                <c:pt idx="1316">
                  <c:v>2.992</c:v>
                </c:pt>
                <c:pt idx="1317">
                  <c:v>3.0950000000000002</c:v>
                </c:pt>
                <c:pt idx="1318">
                  <c:v>3.0059999999999998</c:v>
                </c:pt>
                <c:pt idx="1319">
                  <c:v>2.972</c:v>
                </c:pt>
                <c:pt idx="1320">
                  <c:v>2.9580000000000002</c:v>
                </c:pt>
                <c:pt idx="1321">
                  <c:v>2.94</c:v>
                </c:pt>
                <c:pt idx="1322">
                  <c:v>2.9420000000000002</c:v>
                </c:pt>
                <c:pt idx="1323">
                  <c:v>2.86</c:v>
                </c:pt>
                <c:pt idx="1324">
                  <c:v>2.8370000000000002</c:v>
                </c:pt>
                <c:pt idx="1325">
                  <c:v>2.84</c:v>
                </c:pt>
                <c:pt idx="1326">
                  <c:v>2.903</c:v>
                </c:pt>
                <c:pt idx="1327">
                  <c:v>3.0489999999999999</c:v>
                </c:pt>
                <c:pt idx="1328">
                  <c:v>3.0649999999999999</c:v>
                </c:pt>
                <c:pt idx="1329">
                  <c:v>3.2</c:v>
                </c:pt>
                <c:pt idx="1330">
                  <c:v>3.2549999999999999</c:v>
                </c:pt>
                <c:pt idx="1331">
                  <c:v>3.351</c:v>
                </c:pt>
                <c:pt idx="1332">
                  <c:v>3.4</c:v>
                </c:pt>
                <c:pt idx="1333">
                  <c:v>3.4159999999999999</c:v>
                </c:pt>
                <c:pt idx="1334">
                  <c:v>3.605</c:v>
                </c:pt>
                <c:pt idx="1335">
                  <c:v>3.7519999999999998</c:v>
                </c:pt>
                <c:pt idx="1336">
                  <c:v>3.8109999999999999</c:v>
                </c:pt>
                <c:pt idx="1337">
                  <c:v>3.895</c:v>
                </c:pt>
                <c:pt idx="1338">
                  <c:v>4.1920000000000002</c:v>
                </c:pt>
                <c:pt idx="1339">
                  <c:v>4.069</c:v>
                </c:pt>
                <c:pt idx="1340">
                  <c:v>4.0250000000000004</c:v>
                </c:pt>
                <c:pt idx="1341">
                  <c:v>3.9159999999999999</c:v>
                </c:pt>
                <c:pt idx="1342">
                  <c:v>3.8860000000000001</c:v>
                </c:pt>
                <c:pt idx="1343">
                  <c:v>4.0199999999999996</c:v>
                </c:pt>
                <c:pt idx="1344">
                  <c:v>3.9950000000000001</c:v>
                </c:pt>
                <c:pt idx="1345">
                  <c:v>3.879</c:v>
                </c:pt>
                <c:pt idx="1346">
                  <c:v>3.93</c:v>
                </c:pt>
                <c:pt idx="1347">
                  <c:v>3.7749999999999999</c:v>
                </c:pt>
                <c:pt idx="1348">
                  <c:v>3.738</c:v>
                </c:pt>
                <c:pt idx="1349">
                  <c:v>3.7189999999999999</c:v>
                </c:pt>
                <c:pt idx="1350">
                  <c:v>3.6659999999999999</c:v>
                </c:pt>
                <c:pt idx="1351">
                  <c:v>3.6269999999999998</c:v>
                </c:pt>
                <c:pt idx="1352">
                  <c:v>3.585</c:v>
                </c:pt>
                <c:pt idx="1353">
                  <c:v>3.7959999999999998</c:v>
                </c:pt>
                <c:pt idx="1354">
                  <c:v>3.8260000000000001</c:v>
                </c:pt>
                <c:pt idx="1355">
                  <c:v>3.9830000000000001</c:v>
                </c:pt>
                <c:pt idx="1356">
                  <c:v>4.0209999999999999</c:v>
                </c:pt>
                <c:pt idx="1357">
                  <c:v>4.1429999999999998</c:v>
                </c:pt>
                <c:pt idx="1358">
                  <c:v>4.1239999999999997</c:v>
                </c:pt>
                <c:pt idx="1359">
                  <c:v>4.0549999999999997</c:v>
                </c:pt>
                <c:pt idx="1360">
                  <c:v>3.915</c:v>
                </c:pt>
                <c:pt idx="1361">
                  <c:v>3.871</c:v>
                </c:pt>
                <c:pt idx="1362">
                  <c:v>3.6459999999999999</c:v>
                </c:pt>
                <c:pt idx="1363">
                  <c:v>3.819</c:v>
                </c:pt>
                <c:pt idx="1364">
                  <c:v>3.863</c:v>
                </c:pt>
                <c:pt idx="1365">
                  <c:v>4.0759999999999996</c:v>
                </c:pt>
                <c:pt idx="1366">
                  <c:v>4.1509999999999998</c:v>
                </c:pt>
                <c:pt idx="1367">
                  <c:v>4.1859999999999999</c:v>
                </c:pt>
                <c:pt idx="1368">
                  <c:v>2.7839999999999998</c:v>
                </c:pt>
                <c:pt idx="1369">
                  <c:v>2.7730000000000001</c:v>
                </c:pt>
                <c:pt idx="1370">
                  <c:v>2.7770000000000001</c:v>
                </c:pt>
                <c:pt idx="1371">
                  <c:v>2.8180000000000001</c:v>
                </c:pt>
                <c:pt idx="1372">
                  <c:v>2.85</c:v>
                </c:pt>
                <c:pt idx="1373">
                  <c:v>2.8690000000000002</c:v>
                </c:pt>
                <c:pt idx="1374">
                  <c:v>2.9660000000000002</c:v>
                </c:pt>
                <c:pt idx="1375">
                  <c:v>2.847</c:v>
                </c:pt>
                <c:pt idx="1376">
                  <c:v>2.8090000000000002</c:v>
                </c:pt>
                <c:pt idx="1377">
                  <c:v>2.8149999999999999</c:v>
                </c:pt>
                <c:pt idx="1378">
                  <c:v>2.7930000000000001</c:v>
                </c:pt>
                <c:pt idx="1379">
                  <c:v>2.7839999999999998</c:v>
                </c:pt>
                <c:pt idx="1380">
                  <c:v>2.7149999999999999</c:v>
                </c:pt>
                <c:pt idx="1381">
                  <c:v>2.6989999999999998</c:v>
                </c:pt>
                <c:pt idx="1382">
                  <c:v>2.7069999999999999</c:v>
                </c:pt>
                <c:pt idx="1383">
                  <c:v>2.7639999999999998</c:v>
                </c:pt>
                <c:pt idx="1384">
                  <c:v>2.9169999999999998</c:v>
                </c:pt>
                <c:pt idx="1385">
                  <c:v>2.931</c:v>
                </c:pt>
                <c:pt idx="1386">
                  <c:v>3.0459999999999998</c:v>
                </c:pt>
                <c:pt idx="1387">
                  <c:v>3.109</c:v>
                </c:pt>
                <c:pt idx="1388">
                  <c:v>3.1930000000000001</c:v>
                </c:pt>
                <c:pt idx="1389">
                  <c:v>3.2309999999999999</c:v>
                </c:pt>
                <c:pt idx="1390">
                  <c:v>3.2389999999999999</c:v>
                </c:pt>
                <c:pt idx="1391">
                  <c:v>3.4329999999999998</c:v>
                </c:pt>
                <c:pt idx="1392">
                  <c:v>3.5819999999999999</c:v>
                </c:pt>
                <c:pt idx="1393">
                  <c:v>3.6379999999999999</c:v>
                </c:pt>
                <c:pt idx="1394">
                  <c:v>3.72</c:v>
                </c:pt>
                <c:pt idx="1395">
                  <c:v>4.0460000000000003</c:v>
                </c:pt>
                <c:pt idx="1396">
                  <c:v>3.9220000000000002</c:v>
                </c:pt>
                <c:pt idx="1397">
                  <c:v>3.8809999999999998</c:v>
                </c:pt>
                <c:pt idx="1398">
                  <c:v>3.7480000000000002</c:v>
                </c:pt>
                <c:pt idx="1399">
                  <c:v>3.7109999999999999</c:v>
                </c:pt>
                <c:pt idx="1400">
                  <c:v>3.8420000000000001</c:v>
                </c:pt>
                <c:pt idx="1401">
                  <c:v>3.8119999999999998</c:v>
                </c:pt>
                <c:pt idx="1402">
                  <c:v>3.7029999999999998</c:v>
                </c:pt>
                <c:pt idx="1403">
                  <c:v>3.738</c:v>
                </c:pt>
                <c:pt idx="1404">
                  <c:v>3.5830000000000002</c:v>
                </c:pt>
                <c:pt idx="1405">
                  <c:v>3.5510000000000002</c:v>
                </c:pt>
                <c:pt idx="1406">
                  <c:v>3.53</c:v>
                </c:pt>
                <c:pt idx="1407">
                  <c:v>3.452</c:v>
                </c:pt>
                <c:pt idx="1408">
                  <c:v>3.415</c:v>
                </c:pt>
                <c:pt idx="1409">
                  <c:v>3.4220000000000002</c:v>
                </c:pt>
                <c:pt idx="1410">
                  <c:v>3.617</c:v>
                </c:pt>
                <c:pt idx="1411">
                  <c:v>3.64</c:v>
                </c:pt>
                <c:pt idx="1412">
                  <c:v>3.8159999999999998</c:v>
                </c:pt>
                <c:pt idx="1413">
                  <c:v>3.8479999999999999</c:v>
                </c:pt>
                <c:pt idx="1414">
                  <c:v>3.996</c:v>
                </c:pt>
                <c:pt idx="1415">
                  <c:v>3.9510000000000001</c:v>
                </c:pt>
                <c:pt idx="1416">
                  <c:v>3.8889999999999998</c:v>
                </c:pt>
                <c:pt idx="1417">
                  <c:v>3.742</c:v>
                </c:pt>
                <c:pt idx="1418">
                  <c:v>3.6890000000000001</c:v>
                </c:pt>
                <c:pt idx="1419">
                  <c:v>3.4750000000000001</c:v>
                </c:pt>
                <c:pt idx="1420">
                  <c:v>3.6539999999999999</c:v>
                </c:pt>
                <c:pt idx="1421">
                  <c:v>3.722</c:v>
                </c:pt>
                <c:pt idx="1422">
                  <c:v>3.911</c:v>
                </c:pt>
                <c:pt idx="1423">
                  <c:v>3.9849999999999999</c:v>
                </c:pt>
                <c:pt idx="1424">
                  <c:v>4</c:v>
                </c:pt>
                <c:pt idx="1425">
                  <c:v>2.7879999999999998</c:v>
                </c:pt>
                <c:pt idx="1426">
                  <c:v>2.7709999999999999</c:v>
                </c:pt>
                <c:pt idx="1427">
                  <c:v>2.766</c:v>
                </c:pt>
                <c:pt idx="1428">
                  <c:v>2.8050000000000002</c:v>
                </c:pt>
                <c:pt idx="1429">
                  <c:v>2.8260000000000001</c:v>
                </c:pt>
                <c:pt idx="1430">
                  <c:v>2.8490000000000002</c:v>
                </c:pt>
                <c:pt idx="1431">
                  <c:v>2.9809999999999999</c:v>
                </c:pt>
                <c:pt idx="1432">
                  <c:v>2.8570000000000002</c:v>
                </c:pt>
                <c:pt idx="1433">
                  <c:v>2.83</c:v>
                </c:pt>
                <c:pt idx="1434">
                  <c:v>2.8149999999999999</c:v>
                </c:pt>
                <c:pt idx="1435">
                  <c:v>2.806</c:v>
                </c:pt>
                <c:pt idx="1436">
                  <c:v>2.7919999999999998</c:v>
                </c:pt>
                <c:pt idx="1437">
                  <c:v>2.7349999999999999</c:v>
                </c:pt>
                <c:pt idx="1438">
                  <c:v>2.7170000000000001</c:v>
                </c:pt>
                <c:pt idx="1439">
                  <c:v>2.7170000000000001</c:v>
                </c:pt>
                <c:pt idx="1440">
                  <c:v>2.7759999999999998</c:v>
                </c:pt>
                <c:pt idx="1441">
                  <c:v>2.9380000000000002</c:v>
                </c:pt>
                <c:pt idx="1442">
                  <c:v>2.9609999999999999</c:v>
                </c:pt>
                <c:pt idx="1443">
                  <c:v>3.0649999999999999</c:v>
                </c:pt>
                <c:pt idx="1444">
                  <c:v>3.1320000000000001</c:v>
                </c:pt>
                <c:pt idx="1445">
                  <c:v>3.1930000000000001</c:v>
                </c:pt>
                <c:pt idx="1446">
                  <c:v>3.24</c:v>
                </c:pt>
                <c:pt idx="1447">
                  <c:v>3.2549999999999999</c:v>
                </c:pt>
                <c:pt idx="1448">
                  <c:v>3.4369999999999998</c:v>
                </c:pt>
                <c:pt idx="1449">
                  <c:v>3.6</c:v>
                </c:pt>
                <c:pt idx="1450">
                  <c:v>3.6379999999999999</c:v>
                </c:pt>
                <c:pt idx="1451">
                  <c:v>3.72</c:v>
                </c:pt>
                <c:pt idx="1452">
                  <c:v>4.0780000000000003</c:v>
                </c:pt>
                <c:pt idx="1453">
                  <c:v>3.9729999999999999</c:v>
                </c:pt>
                <c:pt idx="1454">
                  <c:v>3.9239999999999999</c:v>
                </c:pt>
                <c:pt idx="1455">
                  <c:v>3.8149999999999999</c:v>
                </c:pt>
                <c:pt idx="1456">
                  <c:v>3.7839999999999998</c:v>
                </c:pt>
                <c:pt idx="1457">
                  <c:v>3.903</c:v>
                </c:pt>
                <c:pt idx="1458">
                  <c:v>3.88</c:v>
                </c:pt>
                <c:pt idx="1459">
                  <c:v>3.7839999999999998</c:v>
                </c:pt>
                <c:pt idx="1460">
                  <c:v>3.8090000000000002</c:v>
                </c:pt>
                <c:pt idx="1461">
                  <c:v>3.633</c:v>
                </c:pt>
                <c:pt idx="1462">
                  <c:v>3.5859999999999999</c:v>
                </c:pt>
                <c:pt idx="1463">
                  <c:v>3.57</c:v>
                </c:pt>
                <c:pt idx="1464">
                  <c:v>3.5009999999999999</c:v>
                </c:pt>
                <c:pt idx="1465">
                  <c:v>3.47</c:v>
                </c:pt>
                <c:pt idx="1466">
                  <c:v>3.4390000000000001</c:v>
                </c:pt>
                <c:pt idx="1467">
                  <c:v>3.633</c:v>
                </c:pt>
                <c:pt idx="1468">
                  <c:v>3.6549999999999998</c:v>
                </c:pt>
                <c:pt idx="1469">
                  <c:v>3.827</c:v>
                </c:pt>
                <c:pt idx="1470">
                  <c:v>3.8759999999999999</c:v>
                </c:pt>
                <c:pt idx="1471">
                  <c:v>3.9569999999999999</c:v>
                </c:pt>
                <c:pt idx="1472">
                  <c:v>3.9910000000000001</c:v>
                </c:pt>
                <c:pt idx="1473">
                  <c:v>3.9470000000000001</c:v>
                </c:pt>
                <c:pt idx="1474">
                  <c:v>3.798</c:v>
                </c:pt>
                <c:pt idx="1475">
                  <c:v>3.746</c:v>
                </c:pt>
                <c:pt idx="1476">
                  <c:v>3.5379999999999998</c:v>
                </c:pt>
                <c:pt idx="1477">
                  <c:v>3.698</c:v>
                </c:pt>
                <c:pt idx="1478">
                  <c:v>3.7719999999999998</c:v>
                </c:pt>
                <c:pt idx="1479">
                  <c:v>3.9209999999999998</c:v>
                </c:pt>
                <c:pt idx="1480">
                  <c:v>4.0270000000000001</c:v>
                </c:pt>
                <c:pt idx="1481">
                  <c:v>4.0289999999999999</c:v>
                </c:pt>
                <c:pt idx="1482">
                  <c:v>2.9540000000000002</c:v>
                </c:pt>
                <c:pt idx="1483">
                  <c:v>2.94</c:v>
                </c:pt>
                <c:pt idx="1484">
                  <c:v>2.919</c:v>
                </c:pt>
                <c:pt idx="1485">
                  <c:v>2.9380000000000002</c:v>
                </c:pt>
                <c:pt idx="1486">
                  <c:v>2.9569999999999999</c:v>
                </c:pt>
                <c:pt idx="1487">
                  <c:v>2.992</c:v>
                </c:pt>
                <c:pt idx="1488">
                  <c:v>3.0950000000000002</c:v>
                </c:pt>
                <c:pt idx="1489">
                  <c:v>3.0059999999999998</c:v>
                </c:pt>
                <c:pt idx="1490">
                  <c:v>2.972</c:v>
                </c:pt>
                <c:pt idx="1491">
                  <c:v>2.9580000000000002</c:v>
                </c:pt>
                <c:pt idx="1492">
                  <c:v>2.94</c:v>
                </c:pt>
                <c:pt idx="1493">
                  <c:v>2.9420000000000002</c:v>
                </c:pt>
                <c:pt idx="1494">
                  <c:v>2.86</c:v>
                </c:pt>
                <c:pt idx="1495">
                  <c:v>2.8370000000000002</c:v>
                </c:pt>
                <c:pt idx="1496">
                  <c:v>2.84</c:v>
                </c:pt>
                <c:pt idx="1497">
                  <c:v>2.903</c:v>
                </c:pt>
                <c:pt idx="1498">
                  <c:v>3.0489999999999999</c:v>
                </c:pt>
                <c:pt idx="1499">
                  <c:v>3.0649999999999999</c:v>
                </c:pt>
                <c:pt idx="1500">
                  <c:v>3.2</c:v>
                </c:pt>
                <c:pt idx="1501">
                  <c:v>3.2549999999999999</c:v>
                </c:pt>
                <c:pt idx="1502">
                  <c:v>3.351</c:v>
                </c:pt>
                <c:pt idx="1503">
                  <c:v>3.4</c:v>
                </c:pt>
                <c:pt idx="1504">
                  <c:v>3.4159999999999999</c:v>
                </c:pt>
                <c:pt idx="1505">
                  <c:v>3.605</c:v>
                </c:pt>
                <c:pt idx="1506">
                  <c:v>3.7519999999999998</c:v>
                </c:pt>
                <c:pt idx="1507">
                  <c:v>3.8109999999999999</c:v>
                </c:pt>
                <c:pt idx="1508">
                  <c:v>3.895</c:v>
                </c:pt>
                <c:pt idx="1509">
                  <c:v>4.1920000000000002</c:v>
                </c:pt>
                <c:pt idx="1510">
                  <c:v>4.069</c:v>
                </c:pt>
                <c:pt idx="1511">
                  <c:v>4.0250000000000004</c:v>
                </c:pt>
                <c:pt idx="1512">
                  <c:v>3.9159999999999999</c:v>
                </c:pt>
                <c:pt idx="1513">
                  <c:v>3.8860000000000001</c:v>
                </c:pt>
                <c:pt idx="1514">
                  <c:v>4.0199999999999996</c:v>
                </c:pt>
                <c:pt idx="1515">
                  <c:v>3.9950000000000001</c:v>
                </c:pt>
                <c:pt idx="1516">
                  <c:v>3.879</c:v>
                </c:pt>
                <c:pt idx="1517">
                  <c:v>3.93</c:v>
                </c:pt>
                <c:pt idx="1518">
                  <c:v>3.7749999999999999</c:v>
                </c:pt>
                <c:pt idx="1519">
                  <c:v>3.738</c:v>
                </c:pt>
                <c:pt idx="1520">
                  <c:v>3.7189999999999999</c:v>
                </c:pt>
                <c:pt idx="1521">
                  <c:v>3.6659999999999999</c:v>
                </c:pt>
                <c:pt idx="1522">
                  <c:v>3.6269999999999998</c:v>
                </c:pt>
                <c:pt idx="1523">
                  <c:v>3.585</c:v>
                </c:pt>
                <c:pt idx="1524">
                  <c:v>3.7959999999999998</c:v>
                </c:pt>
                <c:pt idx="1525">
                  <c:v>3.8260000000000001</c:v>
                </c:pt>
                <c:pt idx="1526">
                  <c:v>3.9830000000000001</c:v>
                </c:pt>
                <c:pt idx="1527">
                  <c:v>4.0209999999999999</c:v>
                </c:pt>
                <c:pt idx="1528">
                  <c:v>4.1429999999999998</c:v>
                </c:pt>
                <c:pt idx="1529">
                  <c:v>4.1239999999999997</c:v>
                </c:pt>
                <c:pt idx="1530">
                  <c:v>4.0549999999999997</c:v>
                </c:pt>
                <c:pt idx="1531">
                  <c:v>3.915</c:v>
                </c:pt>
                <c:pt idx="1532">
                  <c:v>3.871</c:v>
                </c:pt>
                <c:pt idx="1533">
                  <c:v>3.6459999999999999</c:v>
                </c:pt>
                <c:pt idx="1534">
                  <c:v>3.819</c:v>
                </c:pt>
                <c:pt idx="1535">
                  <c:v>3.863</c:v>
                </c:pt>
                <c:pt idx="1536">
                  <c:v>4.0759999999999996</c:v>
                </c:pt>
                <c:pt idx="1537">
                  <c:v>4.1509999999999998</c:v>
                </c:pt>
                <c:pt idx="1538">
                  <c:v>4.1859999999999999</c:v>
                </c:pt>
                <c:pt idx="1539">
                  <c:v>2.9620000000000002</c:v>
                </c:pt>
                <c:pt idx="1540">
                  <c:v>2.9460000000000002</c:v>
                </c:pt>
                <c:pt idx="1541">
                  <c:v>2.9870000000000001</c:v>
                </c:pt>
                <c:pt idx="1542">
                  <c:v>2.9249999999999998</c:v>
                </c:pt>
                <c:pt idx="1543">
                  <c:v>3.0859999999999999</c:v>
                </c:pt>
                <c:pt idx="1544">
                  <c:v>3.09</c:v>
                </c:pt>
                <c:pt idx="1545">
                  <c:v>3.1269999999999998</c:v>
                </c:pt>
                <c:pt idx="1546">
                  <c:v>2.9409999999999998</c:v>
                </c:pt>
                <c:pt idx="1547">
                  <c:v>2.9489999999999998</c:v>
                </c:pt>
                <c:pt idx="1548">
                  <c:v>3.105</c:v>
                </c:pt>
                <c:pt idx="1549">
                  <c:v>3.1</c:v>
                </c:pt>
                <c:pt idx="1550">
                  <c:v>3.1230000000000002</c:v>
                </c:pt>
                <c:pt idx="1551">
                  <c:v>3.0870000000000002</c:v>
                </c:pt>
                <c:pt idx="1552">
                  <c:v>3.044</c:v>
                </c:pt>
                <c:pt idx="1553">
                  <c:v>3.0009999999999999</c:v>
                </c:pt>
                <c:pt idx="1554">
                  <c:v>3.0129999999999999</c:v>
                </c:pt>
                <c:pt idx="1555">
                  <c:v>3.129</c:v>
                </c:pt>
                <c:pt idx="1556">
                  <c:v>3.13</c:v>
                </c:pt>
                <c:pt idx="1557">
                  <c:v>3.0409999999999999</c:v>
                </c:pt>
                <c:pt idx="1558">
                  <c:v>3.2029999999999998</c:v>
                </c:pt>
                <c:pt idx="1559">
                  <c:v>3.2869999999999999</c:v>
                </c:pt>
                <c:pt idx="1560">
                  <c:v>3.3479999999999999</c:v>
                </c:pt>
                <c:pt idx="1561">
                  <c:v>3.3809999999999998</c:v>
                </c:pt>
                <c:pt idx="1562">
                  <c:v>3.6739999999999999</c:v>
                </c:pt>
                <c:pt idx="1563">
                  <c:v>3.8180000000000001</c:v>
                </c:pt>
                <c:pt idx="1564">
                  <c:v>3.7719999999999998</c:v>
                </c:pt>
                <c:pt idx="1565">
                  <c:v>4.0030000000000001</c:v>
                </c:pt>
                <c:pt idx="1566">
                  <c:v>4.1929999999999996</c:v>
                </c:pt>
                <c:pt idx="1567">
                  <c:v>4.0309999999999997</c:v>
                </c:pt>
                <c:pt idx="1568">
                  <c:v>3.9809999999999999</c:v>
                </c:pt>
                <c:pt idx="1569">
                  <c:v>3.8420000000000001</c:v>
                </c:pt>
                <c:pt idx="1570">
                  <c:v>3.7050000000000001</c:v>
                </c:pt>
                <c:pt idx="1571">
                  <c:v>3.8029999999999999</c:v>
                </c:pt>
                <c:pt idx="1572">
                  <c:v>3.7010000000000001</c:v>
                </c:pt>
                <c:pt idx="1573">
                  <c:v>3.798</c:v>
                </c:pt>
                <c:pt idx="1574">
                  <c:v>3.9129999999999998</c:v>
                </c:pt>
                <c:pt idx="1575">
                  <c:v>3.827</c:v>
                </c:pt>
                <c:pt idx="1576">
                  <c:v>3.8279999999999998</c:v>
                </c:pt>
                <c:pt idx="1577">
                  <c:v>3.8239999999999998</c:v>
                </c:pt>
                <c:pt idx="1578">
                  <c:v>3.7010000000000001</c:v>
                </c:pt>
                <c:pt idx="1579">
                  <c:v>3.6440000000000001</c:v>
                </c:pt>
                <c:pt idx="1580">
                  <c:v>3.5990000000000002</c:v>
                </c:pt>
                <c:pt idx="1581">
                  <c:v>3.702</c:v>
                </c:pt>
                <c:pt idx="1582">
                  <c:v>3.722</c:v>
                </c:pt>
                <c:pt idx="1583">
                  <c:v>4.1779999999999999</c:v>
                </c:pt>
                <c:pt idx="1584">
                  <c:v>4.25</c:v>
                </c:pt>
                <c:pt idx="1585">
                  <c:v>4.1210000000000004</c:v>
                </c:pt>
                <c:pt idx="1586">
                  <c:v>4.1710000000000003</c:v>
                </c:pt>
                <c:pt idx="1587">
                  <c:v>4.1859999999999999</c:v>
                </c:pt>
                <c:pt idx="1588">
                  <c:v>4.2770000000000001</c:v>
                </c:pt>
                <c:pt idx="1589">
                  <c:v>4.1029999999999998</c:v>
                </c:pt>
                <c:pt idx="1590">
                  <c:v>3.7650000000000001</c:v>
                </c:pt>
                <c:pt idx="1591">
                  <c:v>3.76</c:v>
                </c:pt>
                <c:pt idx="1592">
                  <c:v>3.8109999999999999</c:v>
                </c:pt>
                <c:pt idx="1593">
                  <c:v>4.1239999999999997</c:v>
                </c:pt>
                <c:pt idx="1594">
                  <c:v>3.9660000000000002</c:v>
                </c:pt>
                <c:pt idx="1595">
                  <c:v>4.468</c:v>
                </c:pt>
                <c:pt idx="1596">
                  <c:v>2.7879999999999998</c:v>
                </c:pt>
                <c:pt idx="1597">
                  <c:v>2.7709999999999999</c:v>
                </c:pt>
                <c:pt idx="1598">
                  <c:v>2.766</c:v>
                </c:pt>
                <c:pt idx="1599">
                  <c:v>2.8050000000000002</c:v>
                </c:pt>
                <c:pt idx="1600">
                  <c:v>2.8260000000000001</c:v>
                </c:pt>
                <c:pt idx="1601">
                  <c:v>2.8490000000000002</c:v>
                </c:pt>
                <c:pt idx="1602">
                  <c:v>2.9809999999999999</c:v>
                </c:pt>
                <c:pt idx="1603">
                  <c:v>2.8570000000000002</c:v>
                </c:pt>
                <c:pt idx="1604">
                  <c:v>2.83</c:v>
                </c:pt>
                <c:pt idx="1605">
                  <c:v>2.8149999999999999</c:v>
                </c:pt>
                <c:pt idx="1606">
                  <c:v>2.806</c:v>
                </c:pt>
                <c:pt idx="1607">
                  <c:v>2.7919999999999998</c:v>
                </c:pt>
                <c:pt idx="1608">
                  <c:v>2.7349999999999999</c:v>
                </c:pt>
                <c:pt idx="1609">
                  <c:v>2.7170000000000001</c:v>
                </c:pt>
                <c:pt idx="1610">
                  <c:v>2.7170000000000001</c:v>
                </c:pt>
                <c:pt idx="1611">
                  <c:v>2.7759999999999998</c:v>
                </c:pt>
                <c:pt idx="1612">
                  <c:v>2.9380000000000002</c:v>
                </c:pt>
                <c:pt idx="1613">
                  <c:v>2.9609999999999999</c:v>
                </c:pt>
                <c:pt idx="1614">
                  <c:v>3.0649999999999999</c:v>
                </c:pt>
                <c:pt idx="1615">
                  <c:v>3.1320000000000001</c:v>
                </c:pt>
                <c:pt idx="1616">
                  <c:v>3.1930000000000001</c:v>
                </c:pt>
                <c:pt idx="1617">
                  <c:v>3.24</c:v>
                </c:pt>
                <c:pt idx="1618">
                  <c:v>3.2549999999999999</c:v>
                </c:pt>
                <c:pt idx="1619">
                  <c:v>3.4369999999999998</c:v>
                </c:pt>
                <c:pt idx="1620">
                  <c:v>3.6</c:v>
                </c:pt>
                <c:pt idx="1621">
                  <c:v>3.6379999999999999</c:v>
                </c:pt>
                <c:pt idx="1622">
                  <c:v>3.72</c:v>
                </c:pt>
                <c:pt idx="1623">
                  <c:v>4.0780000000000003</c:v>
                </c:pt>
                <c:pt idx="1624">
                  <c:v>3.9729999999999999</c:v>
                </c:pt>
                <c:pt idx="1625">
                  <c:v>3.9239999999999999</c:v>
                </c:pt>
                <c:pt idx="1626">
                  <c:v>3.8149999999999999</c:v>
                </c:pt>
                <c:pt idx="1627">
                  <c:v>3.7839999999999998</c:v>
                </c:pt>
                <c:pt idx="1628">
                  <c:v>3.903</c:v>
                </c:pt>
                <c:pt idx="1629">
                  <c:v>3.88</c:v>
                </c:pt>
                <c:pt idx="1630">
                  <c:v>3.7839999999999998</c:v>
                </c:pt>
                <c:pt idx="1631">
                  <c:v>3.8090000000000002</c:v>
                </c:pt>
                <c:pt idx="1632">
                  <c:v>3.633</c:v>
                </c:pt>
                <c:pt idx="1633">
                  <c:v>3.5859999999999999</c:v>
                </c:pt>
                <c:pt idx="1634">
                  <c:v>3.57</c:v>
                </c:pt>
                <c:pt idx="1635">
                  <c:v>3.5009999999999999</c:v>
                </c:pt>
                <c:pt idx="1636">
                  <c:v>3.47</c:v>
                </c:pt>
                <c:pt idx="1637">
                  <c:v>3.4390000000000001</c:v>
                </c:pt>
                <c:pt idx="1638">
                  <c:v>3.633</c:v>
                </c:pt>
                <c:pt idx="1639">
                  <c:v>3.6549999999999998</c:v>
                </c:pt>
                <c:pt idx="1640">
                  <c:v>3.827</c:v>
                </c:pt>
                <c:pt idx="1641">
                  <c:v>3.8759999999999999</c:v>
                </c:pt>
                <c:pt idx="1642">
                  <c:v>3.9569999999999999</c:v>
                </c:pt>
                <c:pt idx="1643">
                  <c:v>3.9910000000000001</c:v>
                </c:pt>
                <c:pt idx="1644">
                  <c:v>3.9470000000000001</c:v>
                </c:pt>
                <c:pt idx="1645">
                  <c:v>3.798</c:v>
                </c:pt>
                <c:pt idx="1646">
                  <c:v>3.746</c:v>
                </c:pt>
                <c:pt idx="1647">
                  <c:v>3.5379999999999998</c:v>
                </c:pt>
                <c:pt idx="1648">
                  <c:v>3.698</c:v>
                </c:pt>
                <c:pt idx="1649">
                  <c:v>3.7719999999999998</c:v>
                </c:pt>
                <c:pt idx="1650">
                  <c:v>3.9209999999999998</c:v>
                </c:pt>
                <c:pt idx="1651">
                  <c:v>4.0270000000000001</c:v>
                </c:pt>
                <c:pt idx="1652">
                  <c:v>4.0289999999999999</c:v>
                </c:pt>
                <c:pt idx="1653">
                  <c:v>2.5720000000000001</c:v>
                </c:pt>
                <c:pt idx="1654">
                  <c:v>2.548</c:v>
                </c:pt>
                <c:pt idx="1655">
                  <c:v>2.625</c:v>
                </c:pt>
                <c:pt idx="1656">
                  <c:v>2.6669999999999998</c:v>
                </c:pt>
                <c:pt idx="1657">
                  <c:v>2.7189999999999999</c:v>
                </c:pt>
                <c:pt idx="1658">
                  <c:v>2.77</c:v>
                </c:pt>
                <c:pt idx="1659">
                  <c:v>2.835</c:v>
                </c:pt>
                <c:pt idx="1660">
                  <c:v>2.7050000000000001</c:v>
                </c:pt>
                <c:pt idx="1661">
                  <c:v>2.6680000000000001</c:v>
                </c:pt>
                <c:pt idx="1662">
                  <c:v>2.669</c:v>
                </c:pt>
                <c:pt idx="1663">
                  <c:v>2.6419999999999999</c:v>
                </c:pt>
                <c:pt idx="1664">
                  <c:v>2.6269999999999998</c:v>
                </c:pt>
                <c:pt idx="1665">
                  <c:v>2.577</c:v>
                </c:pt>
                <c:pt idx="1666">
                  <c:v>2.5649999999999999</c:v>
                </c:pt>
                <c:pt idx="1667">
                  <c:v>2.6030000000000002</c:v>
                </c:pt>
                <c:pt idx="1668">
                  <c:v>2.633</c:v>
                </c:pt>
                <c:pt idx="1669">
                  <c:v>2.6890000000000001</c:v>
                </c:pt>
                <c:pt idx="1670">
                  <c:v>2.7280000000000002</c:v>
                </c:pt>
                <c:pt idx="1671">
                  <c:v>2.7080000000000002</c:v>
                </c:pt>
                <c:pt idx="1672">
                  <c:v>2.843</c:v>
                </c:pt>
                <c:pt idx="1673">
                  <c:v>2.976</c:v>
                </c:pt>
                <c:pt idx="1674">
                  <c:v>2.9889999999999999</c:v>
                </c:pt>
                <c:pt idx="1675">
                  <c:v>3.0219999999999998</c:v>
                </c:pt>
                <c:pt idx="1676">
                  <c:v>3.2879999999999998</c:v>
                </c:pt>
                <c:pt idx="1677">
                  <c:v>3.4590000000000001</c:v>
                </c:pt>
                <c:pt idx="1678">
                  <c:v>3.524</c:v>
                </c:pt>
                <c:pt idx="1679">
                  <c:v>3.6219999999999999</c:v>
                </c:pt>
                <c:pt idx="1680">
                  <c:v>3.9060000000000001</c:v>
                </c:pt>
                <c:pt idx="1681">
                  <c:v>3.6989999999999998</c:v>
                </c:pt>
                <c:pt idx="1682">
                  <c:v>3.6480000000000001</c:v>
                </c:pt>
                <c:pt idx="1683">
                  <c:v>3.524</c:v>
                </c:pt>
                <c:pt idx="1684">
                  <c:v>3.48</c:v>
                </c:pt>
                <c:pt idx="1685">
                  <c:v>3.6840000000000002</c:v>
                </c:pt>
                <c:pt idx="1686">
                  <c:v>3.6379999999999999</c:v>
                </c:pt>
                <c:pt idx="1687">
                  <c:v>3.5329999999999999</c:v>
                </c:pt>
                <c:pt idx="1688">
                  <c:v>3.5459999999999998</c:v>
                </c:pt>
                <c:pt idx="1689">
                  <c:v>3.2850000000000001</c:v>
                </c:pt>
                <c:pt idx="1690">
                  <c:v>3.3319999999999999</c:v>
                </c:pt>
                <c:pt idx="1691">
                  <c:v>3.2970000000000002</c:v>
                </c:pt>
                <c:pt idx="1692">
                  <c:v>3.1720000000000002</c:v>
                </c:pt>
                <c:pt idx="1693">
                  <c:v>3.1579999999999999</c:v>
                </c:pt>
                <c:pt idx="1694">
                  <c:v>3.157</c:v>
                </c:pt>
                <c:pt idx="1695">
                  <c:v>3.36</c:v>
                </c:pt>
                <c:pt idx="1696">
                  <c:v>3.4089999999999998</c:v>
                </c:pt>
                <c:pt idx="1697">
                  <c:v>3.63</c:v>
                </c:pt>
                <c:pt idx="1698">
                  <c:v>3.669</c:v>
                </c:pt>
                <c:pt idx="1699">
                  <c:v>3.891</c:v>
                </c:pt>
                <c:pt idx="1700">
                  <c:v>3.7490000000000001</c:v>
                </c:pt>
                <c:pt idx="1701">
                  <c:v>3.6880000000000002</c:v>
                </c:pt>
                <c:pt idx="1702">
                  <c:v>3.5009999999999999</c:v>
                </c:pt>
                <c:pt idx="1703">
                  <c:v>3.452</c:v>
                </c:pt>
                <c:pt idx="1704">
                  <c:v>3.2269999999999999</c:v>
                </c:pt>
                <c:pt idx="1705">
                  <c:v>3.4169999999999998</c:v>
                </c:pt>
                <c:pt idx="1706">
                  <c:v>3.4940000000000002</c:v>
                </c:pt>
                <c:pt idx="1707">
                  <c:v>3.73</c:v>
                </c:pt>
                <c:pt idx="1708">
                  <c:v>3.617</c:v>
                </c:pt>
                <c:pt idx="1709">
                  <c:v>3.601</c:v>
                </c:pt>
                <c:pt idx="1710">
                  <c:v>2.5720000000000001</c:v>
                </c:pt>
                <c:pt idx="1711">
                  <c:v>2.548</c:v>
                </c:pt>
                <c:pt idx="1712">
                  <c:v>2.625</c:v>
                </c:pt>
                <c:pt idx="1713">
                  <c:v>2.6669999999999998</c:v>
                </c:pt>
                <c:pt idx="1714">
                  <c:v>2.7189999999999999</c:v>
                </c:pt>
                <c:pt idx="1715">
                  <c:v>2.77</c:v>
                </c:pt>
                <c:pt idx="1716">
                  <c:v>2.835</c:v>
                </c:pt>
                <c:pt idx="1717">
                  <c:v>2.7050000000000001</c:v>
                </c:pt>
                <c:pt idx="1718">
                  <c:v>2.6680000000000001</c:v>
                </c:pt>
                <c:pt idx="1719">
                  <c:v>2.669</c:v>
                </c:pt>
                <c:pt idx="1720">
                  <c:v>2.6419999999999999</c:v>
                </c:pt>
                <c:pt idx="1721">
                  <c:v>2.6269999999999998</c:v>
                </c:pt>
                <c:pt idx="1722">
                  <c:v>2.577</c:v>
                </c:pt>
                <c:pt idx="1723">
                  <c:v>2.5649999999999999</c:v>
                </c:pt>
                <c:pt idx="1724">
                  <c:v>2.6030000000000002</c:v>
                </c:pt>
                <c:pt idx="1725">
                  <c:v>2.633</c:v>
                </c:pt>
                <c:pt idx="1726">
                  <c:v>2.6890000000000001</c:v>
                </c:pt>
                <c:pt idx="1727">
                  <c:v>2.7280000000000002</c:v>
                </c:pt>
                <c:pt idx="1728">
                  <c:v>2.7080000000000002</c:v>
                </c:pt>
                <c:pt idx="1729">
                  <c:v>2.843</c:v>
                </c:pt>
                <c:pt idx="1730">
                  <c:v>2.976</c:v>
                </c:pt>
                <c:pt idx="1731">
                  <c:v>2.9889999999999999</c:v>
                </c:pt>
                <c:pt idx="1732">
                  <c:v>3.0219999999999998</c:v>
                </c:pt>
                <c:pt idx="1733">
                  <c:v>3.2879999999999998</c:v>
                </c:pt>
                <c:pt idx="1734">
                  <c:v>3.4590000000000001</c:v>
                </c:pt>
                <c:pt idx="1735">
                  <c:v>3.524</c:v>
                </c:pt>
                <c:pt idx="1736">
                  <c:v>3.6219999999999999</c:v>
                </c:pt>
                <c:pt idx="1737">
                  <c:v>3.9060000000000001</c:v>
                </c:pt>
                <c:pt idx="1738">
                  <c:v>3.6989999999999998</c:v>
                </c:pt>
                <c:pt idx="1739">
                  <c:v>3.6480000000000001</c:v>
                </c:pt>
                <c:pt idx="1740">
                  <c:v>3.524</c:v>
                </c:pt>
                <c:pt idx="1741">
                  <c:v>3.48</c:v>
                </c:pt>
                <c:pt idx="1742">
                  <c:v>3.6840000000000002</c:v>
                </c:pt>
                <c:pt idx="1743">
                  <c:v>3.6379999999999999</c:v>
                </c:pt>
                <c:pt idx="1744">
                  <c:v>3.5329999999999999</c:v>
                </c:pt>
                <c:pt idx="1745">
                  <c:v>3.5459999999999998</c:v>
                </c:pt>
                <c:pt idx="1746">
                  <c:v>3.2850000000000001</c:v>
                </c:pt>
                <c:pt idx="1747">
                  <c:v>3.3319999999999999</c:v>
                </c:pt>
                <c:pt idx="1748">
                  <c:v>3.2970000000000002</c:v>
                </c:pt>
                <c:pt idx="1749">
                  <c:v>3.1720000000000002</c:v>
                </c:pt>
                <c:pt idx="1750">
                  <c:v>3.1579999999999999</c:v>
                </c:pt>
                <c:pt idx="1751">
                  <c:v>3.157</c:v>
                </c:pt>
                <c:pt idx="1752">
                  <c:v>3.36</c:v>
                </c:pt>
                <c:pt idx="1753">
                  <c:v>3.4089999999999998</c:v>
                </c:pt>
                <c:pt idx="1754">
                  <c:v>3.63</c:v>
                </c:pt>
                <c:pt idx="1755">
                  <c:v>3.669</c:v>
                </c:pt>
                <c:pt idx="1756">
                  <c:v>3.891</c:v>
                </c:pt>
                <c:pt idx="1757">
                  <c:v>3.7490000000000001</c:v>
                </c:pt>
                <c:pt idx="1758">
                  <c:v>3.6880000000000002</c:v>
                </c:pt>
                <c:pt idx="1759">
                  <c:v>3.5009999999999999</c:v>
                </c:pt>
                <c:pt idx="1760">
                  <c:v>3.452</c:v>
                </c:pt>
                <c:pt idx="1761">
                  <c:v>3.2269999999999999</c:v>
                </c:pt>
                <c:pt idx="1762">
                  <c:v>3.4169999999999998</c:v>
                </c:pt>
                <c:pt idx="1763">
                  <c:v>3.4940000000000002</c:v>
                </c:pt>
                <c:pt idx="1764">
                  <c:v>3.73</c:v>
                </c:pt>
                <c:pt idx="1765">
                  <c:v>3.617</c:v>
                </c:pt>
                <c:pt idx="1766">
                  <c:v>3.601</c:v>
                </c:pt>
                <c:pt idx="1767">
                  <c:v>2.58</c:v>
                </c:pt>
                <c:pt idx="1768">
                  <c:v>2.5720000000000001</c:v>
                </c:pt>
                <c:pt idx="1769">
                  <c:v>2.62</c:v>
                </c:pt>
                <c:pt idx="1770">
                  <c:v>2.6840000000000002</c:v>
                </c:pt>
                <c:pt idx="1771">
                  <c:v>2.7250000000000001</c:v>
                </c:pt>
                <c:pt idx="1772">
                  <c:v>2.75</c:v>
                </c:pt>
                <c:pt idx="1773">
                  <c:v>2.7709999999999999</c:v>
                </c:pt>
                <c:pt idx="1774">
                  <c:v>2.7</c:v>
                </c:pt>
                <c:pt idx="1775">
                  <c:v>2.6840000000000002</c:v>
                </c:pt>
                <c:pt idx="1776">
                  <c:v>2.7280000000000002</c:v>
                </c:pt>
                <c:pt idx="1777">
                  <c:v>2.7109999999999999</c:v>
                </c:pt>
                <c:pt idx="1778">
                  <c:v>2.69</c:v>
                </c:pt>
                <c:pt idx="1779">
                  <c:v>2.7730000000000001</c:v>
                </c:pt>
                <c:pt idx="1780">
                  <c:v>2.78</c:v>
                </c:pt>
                <c:pt idx="1781">
                  <c:v>2.7589999999999999</c:v>
                </c:pt>
                <c:pt idx="1782">
                  <c:v>2.7450000000000001</c:v>
                </c:pt>
                <c:pt idx="1783">
                  <c:v>2.7290000000000001</c:v>
                </c:pt>
                <c:pt idx="1784">
                  <c:v>2.7370000000000001</c:v>
                </c:pt>
                <c:pt idx="1785">
                  <c:v>2.7120000000000002</c:v>
                </c:pt>
                <c:pt idx="1786">
                  <c:v>2.7280000000000002</c:v>
                </c:pt>
                <c:pt idx="1787">
                  <c:v>2.8820000000000001</c:v>
                </c:pt>
                <c:pt idx="1788">
                  <c:v>3.0110000000000001</c:v>
                </c:pt>
                <c:pt idx="1789">
                  <c:v>3.0369999999999999</c:v>
                </c:pt>
                <c:pt idx="1790">
                  <c:v>3.2320000000000002</c:v>
                </c:pt>
                <c:pt idx="1791">
                  <c:v>3.3719999999999999</c:v>
                </c:pt>
                <c:pt idx="1792">
                  <c:v>3.4609999999999999</c:v>
                </c:pt>
                <c:pt idx="1793">
                  <c:v>3.532</c:v>
                </c:pt>
                <c:pt idx="1794">
                  <c:v>3.7349999999999999</c:v>
                </c:pt>
                <c:pt idx="1795">
                  <c:v>3.7629999999999999</c:v>
                </c:pt>
                <c:pt idx="1796">
                  <c:v>3.7349999999999999</c:v>
                </c:pt>
                <c:pt idx="1797">
                  <c:v>3.597</c:v>
                </c:pt>
                <c:pt idx="1798">
                  <c:v>3.54</c:v>
                </c:pt>
                <c:pt idx="1799">
                  <c:v>3.5539999999999998</c:v>
                </c:pt>
                <c:pt idx="1800">
                  <c:v>3.5419999999999998</c:v>
                </c:pt>
                <c:pt idx="1801">
                  <c:v>3.5110000000000001</c:v>
                </c:pt>
                <c:pt idx="1802">
                  <c:v>3.5659999999999998</c:v>
                </c:pt>
                <c:pt idx="1803">
                  <c:v>3.4980000000000002</c:v>
                </c:pt>
                <c:pt idx="1804">
                  <c:v>3.5270000000000001</c:v>
                </c:pt>
                <c:pt idx="1805">
                  <c:v>3.5049999999999999</c:v>
                </c:pt>
                <c:pt idx="1806">
                  <c:v>3.3780000000000001</c:v>
                </c:pt>
                <c:pt idx="1807">
                  <c:v>3.331</c:v>
                </c:pt>
                <c:pt idx="1808">
                  <c:v>3.0950000000000002</c:v>
                </c:pt>
                <c:pt idx="1809">
                  <c:v>3.0310000000000001</c:v>
                </c:pt>
                <c:pt idx="1810">
                  <c:v>3.1030000000000002</c:v>
                </c:pt>
                <c:pt idx="1811">
                  <c:v>3.1909999999999998</c:v>
                </c:pt>
                <c:pt idx="1812">
                  <c:v>3.286</c:v>
                </c:pt>
                <c:pt idx="1813">
                  <c:v>3.8540000000000001</c:v>
                </c:pt>
                <c:pt idx="1814">
                  <c:v>3.903</c:v>
                </c:pt>
                <c:pt idx="1815">
                  <c:v>3.87</c:v>
                </c:pt>
                <c:pt idx="1816">
                  <c:v>3.7639999999999998</c:v>
                </c:pt>
                <c:pt idx="1817">
                  <c:v>3.7410000000000001</c:v>
                </c:pt>
                <c:pt idx="1818">
                  <c:v>3.6459999999999999</c:v>
                </c:pt>
                <c:pt idx="1819">
                  <c:v>3.528</c:v>
                </c:pt>
                <c:pt idx="1820">
                  <c:v>3.5089999999999999</c:v>
                </c:pt>
                <c:pt idx="1821">
                  <c:v>3.5960000000000001</c:v>
                </c:pt>
                <c:pt idx="1822">
                  <c:v>3.7789999999999999</c:v>
                </c:pt>
                <c:pt idx="1823">
                  <c:v>3.76</c:v>
                </c:pt>
                <c:pt idx="1824">
                  <c:v>2.9620000000000002</c:v>
                </c:pt>
                <c:pt idx="1825">
                  <c:v>2.8279999999999998</c:v>
                </c:pt>
                <c:pt idx="1826">
                  <c:v>2.8769999999999998</c:v>
                </c:pt>
                <c:pt idx="1827">
                  <c:v>3.0339999999999998</c:v>
                </c:pt>
                <c:pt idx="1828">
                  <c:v>3.0859999999999999</c:v>
                </c:pt>
                <c:pt idx="1829">
                  <c:v>3.004</c:v>
                </c:pt>
                <c:pt idx="1830">
                  <c:v>3.1269999999999998</c:v>
                </c:pt>
                <c:pt idx="1831">
                  <c:v>2.9409999999999998</c:v>
                </c:pt>
                <c:pt idx="1832">
                  <c:v>3.0569999999999999</c:v>
                </c:pt>
                <c:pt idx="1833">
                  <c:v>2.9780000000000002</c:v>
                </c:pt>
                <c:pt idx="1834">
                  <c:v>3.1</c:v>
                </c:pt>
                <c:pt idx="1835">
                  <c:v>3.1230000000000002</c:v>
                </c:pt>
                <c:pt idx="1836">
                  <c:v>3.0870000000000002</c:v>
                </c:pt>
                <c:pt idx="1837">
                  <c:v>2.9609999999999999</c:v>
                </c:pt>
                <c:pt idx="1838">
                  <c:v>3.0009999999999999</c:v>
                </c:pt>
                <c:pt idx="1839">
                  <c:v>2.9239999999999999</c:v>
                </c:pt>
                <c:pt idx="1840">
                  <c:v>3.0089999999999999</c:v>
                </c:pt>
                <c:pt idx="1841">
                  <c:v>3.13</c:v>
                </c:pt>
                <c:pt idx="1842">
                  <c:v>3.0409999999999999</c:v>
                </c:pt>
                <c:pt idx="1843">
                  <c:v>3.0910000000000002</c:v>
                </c:pt>
                <c:pt idx="1844">
                  <c:v>3.2869999999999999</c:v>
                </c:pt>
                <c:pt idx="1845">
                  <c:v>3.3479999999999999</c:v>
                </c:pt>
                <c:pt idx="1846">
                  <c:v>3.3809999999999998</c:v>
                </c:pt>
                <c:pt idx="1847">
                  <c:v>3.6739999999999999</c:v>
                </c:pt>
                <c:pt idx="1848">
                  <c:v>3.63</c:v>
                </c:pt>
                <c:pt idx="1849">
                  <c:v>3.7719999999999998</c:v>
                </c:pt>
                <c:pt idx="1850">
                  <c:v>3.8180000000000001</c:v>
                </c:pt>
                <c:pt idx="1851">
                  <c:v>4.1929999999999996</c:v>
                </c:pt>
                <c:pt idx="1852">
                  <c:v>3.8929999999999998</c:v>
                </c:pt>
                <c:pt idx="1853">
                  <c:v>3.9809999999999999</c:v>
                </c:pt>
                <c:pt idx="1854">
                  <c:v>3.8420000000000001</c:v>
                </c:pt>
                <c:pt idx="1855">
                  <c:v>3.7930000000000001</c:v>
                </c:pt>
                <c:pt idx="1856">
                  <c:v>3.8029999999999999</c:v>
                </c:pt>
                <c:pt idx="1857">
                  <c:v>3.794</c:v>
                </c:pt>
                <c:pt idx="1858">
                  <c:v>3.798</c:v>
                </c:pt>
                <c:pt idx="1859">
                  <c:v>3.7709999999999999</c:v>
                </c:pt>
                <c:pt idx="1860">
                  <c:v>3.827</c:v>
                </c:pt>
                <c:pt idx="1861">
                  <c:v>3.8279999999999998</c:v>
                </c:pt>
                <c:pt idx="1862">
                  <c:v>3.677</c:v>
                </c:pt>
                <c:pt idx="1863">
                  <c:v>3.7010000000000001</c:v>
                </c:pt>
                <c:pt idx="1864">
                  <c:v>3.6440000000000001</c:v>
                </c:pt>
                <c:pt idx="1865">
                  <c:v>3.4430000000000001</c:v>
                </c:pt>
                <c:pt idx="1866">
                  <c:v>3.5430000000000001</c:v>
                </c:pt>
                <c:pt idx="1867">
                  <c:v>3.722</c:v>
                </c:pt>
                <c:pt idx="1868">
                  <c:v>3.8820000000000001</c:v>
                </c:pt>
                <c:pt idx="1869">
                  <c:v>3.9630000000000001</c:v>
                </c:pt>
                <c:pt idx="1870">
                  <c:v>4.282</c:v>
                </c:pt>
                <c:pt idx="1871">
                  <c:v>4.0579999999999998</c:v>
                </c:pt>
                <c:pt idx="1872">
                  <c:v>4.1859999999999999</c:v>
                </c:pt>
                <c:pt idx="1873">
                  <c:v>4.2770000000000001</c:v>
                </c:pt>
                <c:pt idx="1874">
                  <c:v>4.1029999999999998</c:v>
                </c:pt>
                <c:pt idx="1875">
                  <c:v>3.6659999999999999</c:v>
                </c:pt>
                <c:pt idx="1876">
                  <c:v>3.5950000000000002</c:v>
                </c:pt>
                <c:pt idx="1877">
                  <c:v>3.8109999999999999</c:v>
                </c:pt>
                <c:pt idx="1878">
                  <c:v>4.1239999999999997</c:v>
                </c:pt>
                <c:pt idx="1879">
                  <c:v>4.1319999999999997</c:v>
                </c:pt>
                <c:pt idx="1880">
                  <c:v>4.468</c:v>
                </c:pt>
                <c:pt idx="1881">
                  <c:v>2.5979999999999999</c:v>
                </c:pt>
                <c:pt idx="1882">
                  <c:v>2.573</c:v>
                </c:pt>
                <c:pt idx="1883">
                  <c:v>2.6539999999999999</c:v>
                </c:pt>
                <c:pt idx="1884">
                  <c:v>2.7040000000000002</c:v>
                </c:pt>
                <c:pt idx="1885">
                  <c:v>2.74</c:v>
                </c:pt>
                <c:pt idx="1886">
                  <c:v>2.7730000000000001</c:v>
                </c:pt>
                <c:pt idx="1887">
                  <c:v>2.8359999999999999</c:v>
                </c:pt>
                <c:pt idx="1888">
                  <c:v>2.7010000000000001</c:v>
                </c:pt>
                <c:pt idx="1889">
                  <c:v>2.6680000000000001</c:v>
                </c:pt>
                <c:pt idx="1890">
                  <c:v>2.6680000000000001</c:v>
                </c:pt>
                <c:pt idx="1891">
                  <c:v>2.637</c:v>
                </c:pt>
                <c:pt idx="1892">
                  <c:v>2.64</c:v>
                </c:pt>
                <c:pt idx="1893">
                  <c:v>2.5840000000000001</c:v>
                </c:pt>
                <c:pt idx="1894">
                  <c:v>2.5739999999999998</c:v>
                </c:pt>
                <c:pt idx="1895">
                  <c:v>2.6190000000000002</c:v>
                </c:pt>
                <c:pt idx="1896">
                  <c:v>2.645</c:v>
                </c:pt>
                <c:pt idx="1897">
                  <c:v>2.6989999999999998</c:v>
                </c:pt>
                <c:pt idx="1898">
                  <c:v>2.7410000000000001</c:v>
                </c:pt>
                <c:pt idx="1899">
                  <c:v>2.7269999999999999</c:v>
                </c:pt>
                <c:pt idx="1900">
                  <c:v>2.86</c:v>
                </c:pt>
                <c:pt idx="1901">
                  <c:v>2.98</c:v>
                </c:pt>
                <c:pt idx="1902">
                  <c:v>2.996</c:v>
                </c:pt>
                <c:pt idx="1903">
                  <c:v>3.0329999999999999</c:v>
                </c:pt>
                <c:pt idx="1904">
                  <c:v>3.3050000000000002</c:v>
                </c:pt>
                <c:pt idx="1905">
                  <c:v>3.4609999999999999</c:v>
                </c:pt>
                <c:pt idx="1906">
                  <c:v>3.5209999999999999</c:v>
                </c:pt>
                <c:pt idx="1907">
                  <c:v>3.605</c:v>
                </c:pt>
                <c:pt idx="1908">
                  <c:v>3.8660000000000001</c:v>
                </c:pt>
                <c:pt idx="1909">
                  <c:v>3.6829999999999998</c:v>
                </c:pt>
                <c:pt idx="1910">
                  <c:v>3.64</c:v>
                </c:pt>
                <c:pt idx="1911">
                  <c:v>3.504</c:v>
                </c:pt>
                <c:pt idx="1912">
                  <c:v>3.4689999999999999</c:v>
                </c:pt>
                <c:pt idx="1913">
                  <c:v>3.6619999999999999</c:v>
                </c:pt>
                <c:pt idx="1914">
                  <c:v>3.617</c:v>
                </c:pt>
                <c:pt idx="1915">
                  <c:v>3.5329999999999999</c:v>
                </c:pt>
                <c:pt idx="1916">
                  <c:v>3.5539999999999998</c:v>
                </c:pt>
                <c:pt idx="1917">
                  <c:v>3.2989999999999999</c:v>
                </c:pt>
                <c:pt idx="1918">
                  <c:v>3.3220000000000001</c:v>
                </c:pt>
                <c:pt idx="1919">
                  <c:v>3.286</c:v>
                </c:pt>
                <c:pt idx="1920">
                  <c:v>3.1760000000000002</c:v>
                </c:pt>
                <c:pt idx="1921">
                  <c:v>3.153</c:v>
                </c:pt>
                <c:pt idx="1922">
                  <c:v>3.1579999999999999</c:v>
                </c:pt>
                <c:pt idx="1923">
                  <c:v>3.3540000000000001</c:v>
                </c:pt>
                <c:pt idx="1924">
                  <c:v>3.411</c:v>
                </c:pt>
                <c:pt idx="1925">
                  <c:v>3.6190000000000002</c:v>
                </c:pt>
                <c:pt idx="1926">
                  <c:v>3.6669999999999998</c:v>
                </c:pt>
                <c:pt idx="1927">
                  <c:v>3.8639999999999999</c:v>
                </c:pt>
                <c:pt idx="1928">
                  <c:v>3.7469999999999999</c:v>
                </c:pt>
                <c:pt idx="1929">
                  <c:v>3.6850000000000001</c:v>
                </c:pt>
                <c:pt idx="1930">
                  <c:v>3.4830000000000001</c:v>
                </c:pt>
                <c:pt idx="1931">
                  <c:v>3.4329999999999998</c:v>
                </c:pt>
                <c:pt idx="1932">
                  <c:v>3.1869999999999998</c:v>
                </c:pt>
                <c:pt idx="1933">
                  <c:v>3.3740000000000001</c:v>
                </c:pt>
                <c:pt idx="1934">
                  <c:v>3.476</c:v>
                </c:pt>
                <c:pt idx="1935">
                  <c:v>3.7090000000000001</c:v>
                </c:pt>
                <c:pt idx="1936">
                  <c:v>3.62</c:v>
                </c:pt>
                <c:pt idx="1937">
                  <c:v>3.6030000000000002</c:v>
                </c:pt>
                <c:pt idx="1938">
                  <c:v>2.7839999999999998</c:v>
                </c:pt>
                <c:pt idx="1939">
                  <c:v>2.7730000000000001</c:v>
                </c:pt>
                <c:pt idx="1940">
                  <c:v>2.7770000000000001</c:v>
                </c:pt>
                <c:pt idx="1941">
                  <c:v>2.8180000000000001</c:v>
                </c:pt>
                <c:pt idx="1942">
                  <c:v>2.85</c:v>
                </c:pt>
                <c:pt idx="1943">
                  <c:v>2.8690000000000002</c:v>
                </c:pt>
                <c:pt idx="1944">
                  <c:v>2.9660000000000002</c:v>
                </c:pt>
                <c:pt idx="1945">
                  <c:v>2.847</c:v>
                </c:pt>
                <c:pt idx="1946">
                  <c:v>2.8090000000000002</c:v>
                </c:pt>
                <c:pt idx="1947">
                  <c:v>2.8149999999999999</c:v>
                </c:pt>
                <c:pt idx="1948">
                  <c:v>2.7930000000000001</c:v>
                </c:pt>
                <c:pt idx="1949">
                  <c:v>2.7839999999999998</c:v>
                </c:pt>
                <c:pt idx="1950">
                  <c:v>2.7149999999999999</c:v>
                </c:pt>
                <c:pt idx="1951">
                  <c:v>2.6989999999999998</c:v>
                </c:pt>
                <c:pt idx="1952">
                  <c:v>2.7069999999999999</c:v>
                </c:pt>
                <c:pt idx="1953">
                  <c:v>2.7639999999999998</c:v>
                </c:pt>
                <c:pt idx="1954">
                  <c:v>2.9169999999999998</c:v>
                </c:pt>
                <c:pt idx="1955">
                  <c:v>2.931</c:v>
                </c:pt>
                <c:pt idx="1956">
                  <c:v>3.0459999999999998</c:v>
                </c:pt>
                <c:pt idx="1957">
                  <c:v>3.109</c:v>
                </c:pt>
                <c:pt idx="1958">
                  <c:v>3.1930000000000001</c:v>
                </c:pt>
                <c:pt idx="1959">
                  <c:v>3.2309999999999999</c:v>
                </c:pt>
                <c:pt idx="1960">
                  <c:v>3.2389999999999999</c:v>
                </c:pt>
                <c:pt idx="1961">
                  <c:v>3.4329999999999998</c:v>
                </c:pt>
                <c:pt idx="1962">
                  <c:v>3.5819999999999999</c:v>
                </c:pt>
                <c:pt idx="1963">
                  <c:v>3.6379999999999999</c:v>
                </c:pt>
                <c:pt idx="1964">
                  <c:v>3.72</c:v>
                </c:pt>
                <c:pt idx="1965">
                  <c:v>4.0460000000000003</c:v>
                </c:pt>
                <c:pt idx="1966">
                  <c:v>3.9220000000000002</c:v>
                </c:pt>
                <c:pt idx="1967">
                  <c:v>3.8809999999999998</c:v>
                </c:pt>
                <c:pt idx="1968">
                  <c:v>3.7480000000000002</c:v>
                </c:pt>
                <c:pt idx="1969">
                  <c:v>3.7109999999999999</c:v>
                </c:pt>
                <c:pt idx="1970">
                  <c:v>3.8420000000000001</c:v>
                </c:pt>
                <c:pt idx="1971">
                  <c:v>3.8119999999999998</c:v>
                </c:pt>
                <c:pt idx="1972">
                  <c:v>3.7029999999999998</c:v>
                </c:pt>
                <c:pt idx="1973">
                  <c:v>3.738</c:v>
                </c:pt>
                <c:pt idx="1974">
                  <c:v>3.5830000000000002</c:v>
                </c:pt>
                <c:pt idx="1975">
                  <c:v>3.5510000000000002</c:v>
                </c:pt>
                <c:pt idx="1976">
                  <c:v>3.53</c:v>
                </c:pt>
                <c:pt idx="1977">
                  <c:v>3.452</c:v>
                </c:pt>
                <c:pt idx="1978">
                  <c:v>3.415</c:v>
                </c:pt>
                <c:pt idx="1979">
                  <c:v>3.4220000000000002</c:v>
                </c:pt>
                <c:pt idx="1980">
                  <c:v>3.617</c:v>
                </c:pt>
                <c:pt idx="1981">
                  <c:v>3.64</c:v>
                </c:pt>
                <c:pt idx="1982">
                  <c:v>3.8159999999999998</c:v>
                </c:pt>
                <c:pt idx="1983">
                  <c:v>3.8479999999999999</c:v>
                </c:pt>
                <c:pt idx="1984">
                  <c:v>3.996</c:v>
                </c:pt>
                <c:pt idx="1985">
                  <c:v>3.9510000000000001</c:v>
                </c:pt>
                <c:pt idx="1986">
                  <c:v>3.8889999999999998</c:v>
                </c:pt>
                <c:pt idx="1987">
                  <c:v>3.742</c:v>
                </c:pt>
                <c:pt idx="1988">
                  <c:v>3.6890000000000001</c:v>
                </c:pt>
                <c:pt idx="1989">
                  <c:v>3.4750000000000001</c:v>
                </c:pt>
                <c:pt idx="1990">
                  <c:v>3.6539999999999999</c:v>
                </c:pt>
                <c:pt idx="1991">
                  <c:v>3.722</c:v>
                </c:pt>
                <c:pt idx="1992">
                  <c:v>3.911</c:v>
                </c:pt>
                <c:pt idx="1993">
                  <c:v>3.9849999999999999</c:v>
                </c:pt>
                <c:pt idx="1994">
                  <c:v>4</c:v>
                </c:pt>
                <c:pt idx="1995">
                  <c:v>2.5449999999999999</c:v>
                </c:pt>
                <c:pt idx="1996">
                  <c:v>2.5390000000000001</c:v>
                </c:pt>
                <c:pt idx="1997">
                  <c:v>2.5739999999999998</c:v>
                </c:pt>
                <c:pt idx="1998">
                  <c:v>2.6190000000000002</c:v>
                </c:pt>
                <c:pt idx="1999">
                  <c:v>2.7080000000000002</c:v>
                </c:pt>
                <c:pt idx="2000">
                  <c:v>2.7429999999999999</c:v>
                </c:pt>
                <c:pt idx="2001">
                  <c:v>2.786</c:v>
                </c:pt>
                <c:pt idx="2002">
                  <c:v>2.6640000000000001</c:v>
                </c:pt>
                <c:pt idx="2003">
                  <c:v>2.6150000000000002</c:v>
                </c:pt>
                <c:pt idx="2004">
                  <c:v>2.6059999999999999</c:v>
                </c:pt>
                <c:pt idx="2005">
                  <c:v>2.5960000000000001</c:v>
                </c:pt>
                <c:pt idx="2006">
                  <c:v>2.573</c:v>
                </c:pt>
                <c:pt idx="2007">
                  <c:v>2.5329999999999999</c:v>
                </c:pt>
                <c:pt idx="2008">
                  <c:v>2.5129999999999999</c:v>
                </c:pt>
                <c:pt idx="2009">
                  <c:v>2.5670000000000002</c:v>
                </c:pt>
                <c:pt idx="2010">
                  <c:v>2.5950000000000002</c:v>
                </c:pt>
                <c:pt idx="2011">
                  <c:v>2.6549999999999998</c:v>
                </c:pt>
                <c:pt idx="2012">
                  <c:v>2.7050000000000001</c:v>
                </c:pt>
                <c:pt idx="2013">
                  <c:v>2.694</c:v>
                </c:pt>
                <c:pt idx="2014">
                  <c:v>2.8130000000000002</c:v>
                </c:pt>
                <c:pt idx="2015">
                  <c:v>2.9420000000000002</c:v>
                </c:pt>
                <c:pt idx="2016">
                  <c:v>2.98</c:v>
                </c:pt>
                <c:pt idx="2017">
                  <c:v>3.0089999999999999</c:v>
                </c:pt>
                <c:pt idx="2018">
                  <c:v>3.282</c:v>
                </c:pt>
                <c:pt idx="2019">
                  <c:v>3.448</c:v>
                </c:pt>
                <c:pt idx="2020">
                  <c:v>3.5289999999999999</c:v>
                </c:pt>
                <c:pt idx="2021">
                  <c:v>3.645</c:v>
                </c:pt>
                <c:pt idx="2022">
                  <c:v>3.9169999999999998</c:v>
                </c:pt>
                <c:pt idx="2023">
                  <c:v>3.69</c:v>
                </c:pt>
                <c:pt idx="2024">
                  <c:v>3.633</c:v>
                </c:pt>
                <c:pt idx="2025">
                  <c:v>3.5019999999999998</c:v>
                </c:pt>
                <c:pt idx="2026">
                  <c:v>3.44</c:v>
                </c:pt>
                <c:pt idx="2027">
                  <c:v>3.6520000000000001</c:v>
                </c:pt>
                <c:pt idx="2028">
                  <c:v>3.6080000000000001</c:v>
                </c:pt>
                <c:pt idx="2029">
                  <c:v>3.4809999999999999</c:v>
                </c:pt>
                <c:pt idx="2030">
                  <c:v>3.4990000000000001</c:v>
                </c:pt>
                <c:pt idx="2031">
                  <c:v>3.262</c:v>
                </c:pt>
                <c:pt idx="2032">
                  <c:v>3.2869999999999999</c:v>
                </c:pt>
                <c:pt idx="2033">
                  <c:v>3.254</c:v>
                </c:pt>
                <c:pt idx="2034">
                  <c:v>3.1640000000000001</c:v>
                </c:pt>
                <c:pt idx="2035">
                  <c:v>3.1469999999999998</c:v>
                </c:pt>
                <c:pt idx="2036">
                  <c:v>3.129</c:v>
                </c:pt>
                <c:pt idx="2037">
                  <c:v>3.4209999999999998</c:v>
                </c:pt>
                <c:pt idx="2038">
                  <c:v>3.4620000000000002</c:v>
                </c:pt>
                <c:pt idx="2039">
                  <c:v>3.6190000000000002</c:v>
                </c:pt>
                <c:pt idx="2040">
                  <c:v>3.6469999999999998</c:v>
                </c:pt>
                <c:pt idx="2041">
                  <c:v>3.9340000000000002</c:v>
                </c:pt>
                <c:pt idx="2042">
                  <c:v>3.835</c:v>
                </c:pt>
                <c:pt idx="2043">
                  <c:v>3.7639999999999998</c:v>
                </c:pt>
                <c:pt idx="2044">
                  <c:v>3.5670000000000002</c:v>
                </c:pt>
                <c:pt idx="2045">
                  <c:v>3.5129999999999999</c:v>
                </c:pt>
                <c:pt idx="2046">
                  <c:v>3.2320000000000002</c:v>
                </c:pt>
                <c:pt idx="2047">
                  <c:v>3.4039999999999999</c:v>
                </c:pt>
                <c:pt idx="2048">
                  <c:v>3.49</c:v>
                </c:pt>
                <c:pt idx="2049">
                  <c:v>3.6970000000000001</c:v>
                </c:pt>
                <c:pt idx="2050">
                  <c:v>3.6110000000000002</c:v>
                </c:pt>
                <c:pt idx="2051">
                  <c:v>3.5760000000000001</c:v>
                </c:pt>
                <c:pt idx="2052">
                  <c:v>2.5720000000000001</c:v>
                </c:pt>
                <c:pt idx="2053">
                  <c:v>2.548</c:v>
                </c:pt>
                <c:pt idx="2054">
                  <c:v>2.625</c:v>
                </c:pt>
                <c:pt idx="2055">
                  <c:v>2.6669999999999998</c:v>
                </c:pt>
                <c:pt idx="2056">
                  <c:v>2.7189999999999999</c:v>
                </c:pt>
                <c:pt idx="2057">
                  <c:v>2.77</c:v>
                </c:pt>
                <c:pt idx="2058">
                  <c:v>2.835</c:v>
                </c:pt>
                <c:pt idx="2059">
                  <c:v>2.7050000000000001</c:v>
                </c:pt>
                <c:pt idx="2060">
                  <c:v>2.6680000000000001</c:v>
                </c:pt>
                <c:pt idx="2061">
                  <c:v>2.669</c:v>
                </c:pt>
                <c:pt idx="2062">
                  <c:v>2.6419999999999999</c:v>
                </c:pt>
                <c:pt idx="2063">
                  <c:v>2.6269999999999998</c:v>
                </c:pt>
                <c:pt idx="2064">
                  <c:v>2.577</c:v>
                </c:pt>
                <c:pt idx="2065">
                  <c:v>2.5649999999999999</c:v>
                </c:pt>
                <c:pt idx="2066">
                  <c:v>2.6030000000000002</c:v>
                </c:pt>
                <c:pt idx="2067">
                  <c:v>2.633</c:v>
                </c:pt>
                <c:pt idx="2068">
                  <c:v>2.6890000000000001</c:v>
                </c:pt>
                <c:pt idx="2069">
                  <c:v>2.7280000000000002</c:v>
                </c:pt>
                <c:pt idx="2070">
                  <c:v>2.7080000000000002</c:v>
                </c:pt>
                <c:pt idx="2071">
                  <c:v>2.843</c:v>
                </c:pt>
                <c:pt idx="2072">
                  <c:v>2.976</c:v>
                </c:pt>
                <c:pt idx="2073">
                  <c:v>2.9889999999999999</c:v>
                </c:pt>
                <c:pt idx="2074">
                  <c:v>3.0219999999999998</c:v>
                </c:pt>
                <c:pt idx="2075">
                  <c:v>3.2879999999999998</c:v>
                </c:pt>
                <c:pt idx="2076">
                  <c:v>3.4590000000000001</c:v>
                </c:pt>
                <c:pt idx="2077">
                  <c:v>3.524</c:v>
                </c:pt>
                <c:pt idx="2078">
                  <c:v>3.6219999999999999</c:v>
                </c:pt>
                <c:pt idx="2079">
                  <c:v>3.9060000000000001</c:v>
                </c:pt>
                <c:pt idx="2080">
                  <c:v>3.6989999999999998</c:v>
                </c:pt>
                <c:pt idx="2081">
                  <c:v>3.6480000000000001</c:v>
                </c:pt>
                <c:pt idx="2082">
                  <c:v>3.524</c:v>
                </c:pt>
                <c:pt idx="2083">
                  <c:v>3.48</c:v>
                </c:pt>
                <c:pt idx="2084">
                  <c:v>3.6840000000000002</c:v>
                </c:pt>
                <c:pt idx="2085">
                  <c:v>3.6379999999999999</c:v>
                </c:pt>
                <c:pt idx="2086">
                  <c:v>3.5329999999999999</c:v>
                </c:pt>
                <c:pt idx="2087">
                  <c:v>3.5459999999999998</c:v>
                </c:pt>
                <c:pt idx="2088">
                  <c:v>3.2850000000000001</c:v>
                </c:pt>
                <c:pt idx="2089">
                  <c:v>3.3319999999999999</c:v>
                </c:pt>
                <c:pt idx="2090">
                  <c:v>3.2970000000000002</c:v>
                </c:pt>
                <c:pt idx="2091">
                  <c:v>3.1720000000000002</c:v>
                </c:pt>
                <c:pt idx="2092">
                  <c:v>3.1579999999999999</c:v>
                </c:pt>
                <c:pt idx="2093">
                  <c:v>3.157</c:v>
                </c:pt>
                <c:pt idx="2094">
                  <c:v>3.36</c:v>
                </c:pt>
                <c:pt idx="2095">
                  <c:v>3.4089999999999998</c:v>
                </c:pt>
                <c:pt idx="2096">
                  <c:v>3.63</c:v>
                </c:pt>
                <c:pt idx="2097">
                  <c:v>3.669</c:v>
                </c:pt>
                <c:pt idx="2098">
                  <c:v>3.891</c:v>
                </c:pt>
                <c:pt idx="2099">
                  <c:v>3.7490000000000001</c:v>
                </c:pt>
                <c:pt idx="2100">
                  <c:v>3.6880000000000002</c:v>
                </c:pt>
                <c:pt idx="2101">
                  <c:v>3.5009999999999999</c:v>
                </c:pt>
                <c:pt idx="2102">
                  <c:v>3.452</c:v>
                </c:pt>
                <c:pt idx="2103">
                  <c:v>3.2269999999999999</c:v>
                </c:pt>
                <c:pt idx="2104">
                  <c:v>3.4169999999999998</c:v>
                </c:pt>
                <c:pt idx="2105">
                  <c:v>3.4940000000000002</c:v>
                </c:pt>
                <c:pt idx="2106">
                  <c:v>3.73</c:v>
                </c:pt>
                <c:pt idx="2107">
                  <c:v>3.617</c:v>
                </c:pt>
                <c:pt idx="2108">
                  <c:v>3.601</c:v>
                </c:pt>
                <c:pt idx="2109">
                  <c:v>2.9620000000000002</c:v>
                </c:pt>
                <c:pt idx="2110">
                  <c:v>2.9460000000000002</c:v>
                </c:pt>
                <c:pt idx="2111">
                  <c:v>2.9870000000000001</c:v>
                </c:pt>
                <c:pt idx="2112">
                  <c:v>2.9249999999999998</c:v>
                </c:pt>
                <c:pt idx="2113">
                  <c:v>3.0859999999999999</c:v>
                </c:pt>
                <c:pt idx="2114">
                  <c:v>3.09</c:v>
                </c:pt>
                <c:pt idx="2115">
                  <c:v>3.1269999999999998</c:v>
                </c:pt>
                <c:pt idx="2116">
                  <c:v>2.9409999999999998</c:v>
                </c:pt>
                <c:pt idx="2117">
                  <c:v>2.9489999999999998</c:v>
                </c:pt>
                <c:pt idx="2118">
                  <c:v>3.105</c:v>
                </c:pt>
                <c:pt idx="2119">
                  <c:v>3.1</c:v>
                </c:pt>
                <c:pt idx="2120">
                  <c:v>3.1230000000000002</c:v>
                </c:pt>
                <c:pt idx="2121">
                  <c:v>3.0870000000000002</c:v>
                </c:pt>
                <c:pt idx="2122">
                  <c:v>3.044</c:v>
                </c:pt>
                <c:pt idx="2123">
                  <c:v>3.0009999999999999</c:v>
                </c:pt>
                <c:pt idx="2124">
                  <c:v>3.0129999999999999</c:v>
                </c:pt>
                <c:pt idx="2125">
                  <c:v>3.129</c:v>
                </c:pt>
                <c:pt idx="2126">
                  <c:v>3.13</c:v>
                </c:pt>
                <c:pt idx="2127">
                  <c:v>3.0409999999999999</c:v>
                </c:pt>
                <c:pt idx="2128">
                  <c:v>3.2029999999999998</c:v>
                </c:pt>
                <c:pt idx="2129">
                  <c:v>3.2869999999999999</c:v>
                </c:pt>
                <c:pt idx="2130">
                  <c:v>3.3479999999999999</c:v>
                </c:pt>
                <c:pt idx="2131">
                  <c:v>3.3809999999999998</c:v>
                </c:pt>
                <c:pt idx="2132">
                  <c:v>3.6739999999999999</c:v>
                </c:pt>
                <c:pt idx="2133">
                  <c:v>3.8180000000000001</c:v>
                </c:pt>
                <c:pt idx="2134">
                  <c:v>3.7719999999999998</c:v>
                </c:pt>
                <c:pt idx="2135">
                  <c:v>4.0030000000000001</c:v>
                </c:pt>
                <c:pt idx="2136">
                  <c:v>4.1929999999999996</c:v>
                </c:pt>
                <c:pt idx="2137">
                  <c:v>4.0309999999999997</c:v>
                </c:pt>
                <c:pt idx="2138">
                  <c:v>3.9809999999999999</c:v>
                </c:pt>
                <c:pt idx="2139">
                  <c:v>3.8420000000000001</c:v>
                </c:pt>
                <c:pt idx="2140">
                  <c:v>3.7050000000000001</c:v>
                </c:pt>
                <c:pt idx="2141">
                  <c:v>3.8029999999999999</c:v>
                </c:pt>
                <c:pt idx="2142">
                  <c:v>3.7010000000000001</c:v>
                </c:pt>
                <c:pt idx="2143">
                  <c:v>3.798</c:v>
                </c:pt>
                <c:pt idx="2144">
                  <c:v>3.9129999999999998</c:v>
                </c:pt>
                <c:pt idx="2145">
                  <c:v>3.827</c:v>
                </c:pt>
                <c:pt idx="2146">
                  <c:v>3.8279999999999998</c:v>
                </c:pt>
                <c:pt idx="2147">
                  <c:v>3.8239999999999998</c:v>
                </c:pt>
                <c:pt idx="2148">
                  <c:v>3.7010000000000001</c:v>
                </c:pt>
                <c:pt idx="2149">
                  <c:v>3.6440000000000001</c:v>
                </c:pt>
                <c:pt idx="2150">
                  <c:v>3.5990000000000002</c:v>
                </c:pt>
                <c:pt idx="2151">
                  <c:v>3.702</c:v>
                </c:pt>
                <c:pt idx="2152">
                  <c:v>3.722</c:v>
                </c:pt>
                <c:pt idx="2153">
                  <c:v>4.1779999999999999</c:v>
                </c:pt>
                <c:pt idx="2154">
                  <c:v>4.25</c:v>
                </c:pt>
                <c:pt idx="2155">
                  <c:v>4.1210000000000004</c:v>
                </c:pt>
                <c:pt idx="2156">
                  <c:v>4.1710000000000003</c:v>
                </c:pt>
                <c:pt idx="2157">
                  <c:v>4.1859999999999999</c:v>
                </c:pt>
                <c:pt idx="2158">
                  <c:v>4.2770000000000001</c:v>
                </c:pt>
                <c:pt idx="2159">
                  <c:v>4.1029999999999998</c:v>
                </c:pt>
                <c:pt idx="2160">
                  <c:v>3.7650000000000001</c:v>
                </c:pt>
                <c:pt idx="2161">
                  <c:v>3.76</c:v>
                </c:pt>
                <c:pt idx="2162">
                  <c:v>3.8109999999999999</c:v>
                </c:pt>
                <c:pt idx="2163">
                  <c:v>4.1239999999999997</c:v>
                </c:pt>
                <c:pt idx="2164">
                  <c:v>3.9660000000000002</c:v>
                </c:pt>
                <c:pt idx="2165">
                  <c:v>4.468</c:v>
                </c:pt>
                <c:pt idx="2166">
                  <c:v>2.5720000000000001</c:v>
                </c:pt>
                <c:pt idx="2167">
                  <c:v>2.548</c:v>
                </c:pt>
                <c:pt idx="2168">
                  <c:v>2.625</c:v>
                </c:pt>
                <c:pt idx="2169">
                  <c:v>2.6669999999999998</c:v>
                </c:pt>
                <c:pt idx="2170">
                  <c:v>2.7189999999999999</c:v>
                </c:pt>
                <c:pt idx="2171">
                  <c:v>2.77</c:v>
                </c:pt>
                <c:pt idx="2172">
                  <c:v>2.835</c:v>
                </c:pt>
                <c:pt idx="2173">
                  <c:v>2.7050000000000001</c:v>
                </c:pt>
                <c:pt idx="2174">
                  <c:v>2.6680000000000001</c:v>
                </c:pt>
                <c:pt idx="2175">
                  <c:v>2.669</c:v>
                </c:pt>
                <c:pt idx="2176">
                  <c:v>2.6419999999999999</c:v>
                </c:pt>
                <c:pt idx="2177">
                  <c:v>2.6269999999999998</c:v>
                </c:pt>
                <c:pt idx="2178">
                  <c:v>2.577</c:v>
                </c:pt>
                <c:pt idx="2179">
                  <c:v>2.5649999999999999</c:v>
                </c:pt>
                <c:pt idx="2180">
                  <c:v>2.6030000000000002</c:v>
                </c:pt>
                <c:pt idx="2181">
                  <c:v>2.633</c:v>
                </c:pt>
                <c:pt idx="2182">
                  <c:v>2.6890000000000001</c:v>
                </c:pt>
                <c:pt idx="2183">
                  <c:v>2.7280000000000002</c:v>
                </c:pt>
                <c:pt idx="2184">
                  <c:v>2.7080000000000002</c:v>
                </c:pt>
                <c:pt idx="2185">
                  <c:v>2.843</c:v>
                </c:pt>
                <c:pt idx="2186">
                  <c:v>2.976</c:v>
                </c:pt>
                <c:pt idx="2187">
                  <c:v>2.9889999999999999</c:v>
                </c:pt>
                <c:pt idx="2188">
                  <c:v>3.0219999999999998</c:v>
                </c:pt>
                <c:pt idx="2189">
                  <c:v>3.2879999999999998</c:v>
                </c:pt>
                <c:pt idx="2190">
                  <c:v>3.4590000000000001</c:v>
                </c:pt>
                <c:pt idx="2191">
                  <c:v>3.524</c:v>
                </c:pt>
                <c:pt idx="2192">
                  <c:v>3.6219999999999999</c:v>
                </c:pt>
                <c:pt idx="2193">
                  <c:v>3.9060000000000001</c:v>
                </c:pt>
                <c:pt idx="2194">
                  <c:v>3.6989999999999998</c:v>
                </c:pt>
                <c:pt idx="2195">
                  <c:v>3.6480000000000001</c:v>
                </c:pt>
                <c:pt idx="2196">
                  <c:v>3.524</c:v>
                </c:pt>
                <c:pt idx="2197">
                  <c:v>3.48</c:v>
                </c:pt>
                <c:pt idx="2198">
                  <c:v>3.6840000000000002</c:v>
                </c:pt>
                <c:pt idx="2199">
                  <c:v>3.6379999999999999</c:v>
                </c:pt>
                <c:pt idx="2200">
                  <c:v>3.5329999999999999</c:v>
                </c:pt>
                <c:pt idx="2201">
                  <c:v>3.5459999999999998</c:v>
                </c:pt>
                <c:pt idx="2202">
                  <c:v>3.2850000000000001</c:v>
                </c:pt>
                <c:pt idx="2203">
                  <c:v>3.3319999999999999</c:v>
                </c:pt>
                <c:pt idx="2204">
                  <c:v>3.2970000000000002</c:v>
                </c:pt>
                <c:pt idx="2205">
                  <c:v>3.1720000000000002</c:v>
                </c:pt>
                <c:pt idx="2206">
                  <c:v>3.1579999999999999</c:v>
                </c:pt>
                <c:pt idx="2207">
                  <c:v>3.157</c:v>
                </c:pt>
                <c:pt idx="2208">
                  <c:v>3.36</c:v>
                </c:pt>
                <c:pt idx="2209">
                  <c:v>3.4089999999999998</c:v>
                </c:pt>
                <c:pt idx="2210">
                  <c:v>3.63</c:v>
                </c:pt>
                <c:pt idx="2211">
                  <c:v>3.669</c:v>
                </c:pt>
                <c:pt idx="2212">
                  <c:v>3.891</c:v>
                </c:pt>
                <c:pt idx="2213">
                  <c:v>3.7490000000000001</c:v>
                </c:pt>
                <c:pt idx="2214">
                  <c:v>3.6880000000000002</c:v>
                </c:pt>
                <c:pt idx="2215">
                  <c:v>3.5009999999999999</c:v>
                </c:pt>
                <c:pt idx="2216">
                  <c:v>3.452</c:v>
                </c:pt>
                <c:pt idx="2217">
                  <c:v>3.2269999999999999</c:v>
                </c:pt>
                <c:pt idx="2218">
                  <c:v>3.4169999999999998</c:v>
                </c:pt>
                <c:pt idx="2219">
                  <c:v>3.4940000000000002</c:v>
                </c:pt>
                <c:pt idx="2220">
                  <c:v>3.73</c:v>
                </c:pt>
                <c:pt idx="2221">
                  <c:v>3.617</c:v>
                </c:pt>
                <c:pt idx="2222">
                  <c:v>3.601</c:v>
                </c:pt>
                <c:pt idx="2223">
                  <c:v>2.7879999999999998</c:v>
                </c:pt>
                <c:pt idx="2224">
                  <c:v>2.7709999999999999</c:v>
                </c:pt>
                <c:pt idx="2225">
                  <c:v>2.766</c:v>
                </c:pt>
                <c:pt idx="2226">
                  <c:v>2.8050000000000002</c:v>
                </c:pt>
                <c:pt idx="2227">
                  <c:v>2.8260000000000001</c:v>
                </c:pt>
                <c:pt idx="2228">
                  <c:v>2.8490000000000002</c:v>
                </c:pt>
                <c:pt idx="2229">
                  <c:v>2.9809999999999999</c:v>
                </c:pt>
                <c:pt idx="2230">
                  <c:v>2.8570000000000002</c:v>
                </c:pt>
                <c:pt idx="2231">
                  <c:v>2.83</c:v>
                </c:pt>
                <c:pt idx="2232">
                  <c:v>2.8149999999999999</c:v>
                </c:pt>
                <c:pt idx="2233">
                  <c:v>2.806</c:v>
                </c:pt>
                <c:pt idx="2234">
                  <c:v>2.7919999999999998</c:v>
                </c:pt>
                <c:pt idx="2235">
                  <c:v>2.7349999999999999</c:v>
                </c:pt>
                <c:pt idx="2236">
                  <c:v>2.7170000000000001</c:v>
                </c:pt>
                <c:pt idx="2237">
                  <c:v>2.7170000000000001</c:v>
                </c:pt>
                <c:pt idx="2238">
                  <c:v>2.7759999999999998</c:v>
                </c:pt>
                <c:pt idx="2239">
                  <c:v>2.9380000000000002</c:v>
                </c:pt>
                <c:pt idx="2240">
                  <c:v>2.9609999999999999</c:v>
                </c:pt>
                <c:pt idx="2241">
                  <c:v>3.0649999999999999</c:v>
                </c:pt>
                <c:pt idx="2242">
                  <c:v>3.1320000000000001</c:v>
                </c:pt>
                <c:pt idx="2243">
                  <c:v>3.1930000000000001</c:v>
                </c:pt>
                <c:pt idx="2244">
                  <c:v>3.24</c:v>
                </c:pt>
                <c:pt idx="2245">
                  <c:v>3.2549999999999999</c:v>
                </c:pt>
                <c:pt idx="2246">
                  <c:v>3.4369999999999998</c:v>
                </c:pt>
                <c:pt idx="2247">
                  <c:v>3.6</c:v>
                </c:pt>
                <c:pt idx="2248">
                  <c:v>3.6379999999999999</c:v>
                </c:pt>
                <c:pt idx="2249">
                  <c:v>3.72</c:v>
                </c:pt>
                <c:pt idx="2250">
                  <c:v>4.0780000000000003</c:v>
                </c:pt>
                <c:pt idx="2251">
                  <c:v>3.9729999999999999</c:v>
                </c:pt>
                <c:pt idx="2252">
                  <c:v>3.9239999999999999</c:v>
                </c:pt>
                <c:pt idx="2253">
                  <c:v>3.8149999999999999</c:v>
                </c:pt>
                <c:pt idx="2254">
                  <c:v>3.7839999999999998</c:v>
                </c:pt>
                <c:pt idx="2255">
                  <c:v>3.903</c:v>
                </c:pt>
                <c:pt idx="2256">
                  <c:v>3.88</c:v>
                </c:pt>
                <c:pt idx="2257">
                  <c:v>3.7839999999999998</c:v>
                </c:pt>
                <c:pt idx="2258">
                  <c:v>3.8090000000000002</c:v>
                </c:pt>
                <c:pt idx="2259">
                  <c:v>3.633</c:v>
                </c:pt>
                <c:pt idx="2260">
                  <c:v>3.5859999999999999</c:v>
                </c:pt>
                <c:pt idx="2261">
                  <c:v>3.57</c:v>
                </c:pt>
                <c:pt idx="2262">
                  <c:v>3.5009999999999999</c:v>
                </c:pt>
                <c:pt idx="2263">
                  <c:v>3.47</c:v>
                </c:pt>
                <c:pt idx="2264">
                  <c:v>3.4390000000000001</c:v>
                </c:pt>
                <c:pt idx="2265">
                  <c:v>3.633</c:v>
                </c:pt>
                <c:pt idx="2266">
                  <c:v>3.6549999999999998</c:v>
                </c:pt>
                <c:pt idx="2267">
                  <c:v>3.827</c:v>
                </c:pt>
                <c:pt idx="2268">
                  <c:v>3.8759999999999999</c:v>
                </c:pt>
                <c:pt idx="2269">
                  <c:v>3.9569999999999999</c:v>
                </c:pt>
                <c:pt idx="2270">
                  <c:v>3.9910000000000001</c:v>
                </c:pt>
                <c:pt idx="2271">
                  <c:v>3.9470000000000001</c:v>
                </c:pt>
                <c:pt idx="2272">
                  <c:v>3.798</c:v>
                </c:pt>
                <c:pt idx="2273">
                  <c:v>3.746</c:v>
                </c:pt>
                <c:pt idx="2274">
                  <c:v>3.5379999999999998</c:v>
                </c:pt>
                <c:pt idx="2275">
                  <c:v>3.698</c:v>
                </c:pt>
                <c:pt idx="2276">
                  <c:v>3.7719999999999998</c:v>
                </c:pt>
                <c:pt idx="2277">
                  <c:v>3.9209999999999998</c:v>
                </c:pt>
                <c:pt idx="2278">
                  <c:v>4.0270000000000001</c:v>
                </c:pt>
                <c:pt idx="2279">
                  <c:v>4.0289999999999999</c:v>
                </c:pt>
                <c:pt idx="2280">
                  <c:v>2.58</c:v>
                </c:pt>
                <c:pt idx="2281">
                  <c:v>2.5720000000000001</c:v>
                </c:pt>
                <c:pt idx="2282">
                  <c:v>2.62</c:v>
                </c:pt>
                <c:pt idx="2283">
                  <c:v>2.6840000000000002</c:v>
                </c:pt>
                <c:pt idx="2284">
                  <c:v>2.7250000000000001</c:v>
                </c:pt>
                <c:pt idx="2285">
                  <c:v>2.75</c:v>
                </c:pt>
                <c:pt idx="2286">
                  <c:v>2.7709999999999999</c:v>
                </c:pt>
                <c:pt idx="2287">
                  <c:v>2.7</c:v>
                </c:pt>
                <c:pt idx="2288">
                  <c:v>2.6840000000000002</c:v>
                </c:pt>
                <c:pt idx="2289">
                  <c:v>2.7280000000000002</c:v>
                </c:pt>
                <c:pt idx="2290">
                  <c:v>2.7109999999999999</c:v>
                </c:pt>
                <c:pt idx="2291">
                  <c:v>2.69</c:v>
                </c:pt>
                <c:pt idx="2292">
                  <c:v>2.7730000000000001</c:v>
                </c:pt>
                <c:pt idx="2293">
                  <c:v>2.78</c:v>
                </c:pt>
                <c:pt idx="2294">
                  <c:v>2.7589999999999999</c:v>
                </c:pt>
                <c:pt idx="2295">
                  <c:v>2.7450000000000001</c:v>
                </c:pt>
                <c:pt idx="2296">
                  <c:v>2.7290000000000001</c:v>
                </c:pt>
                <c:pt idx="2297">
                  <c:v>2.7370000000000001</c:v>
                </c:pt>
                <c:pt idx="2298">
                  <c:v>2.7120000000000002</c:v>
                </c:pt>
                <c:pt idx="2299">
                  <c:v>2.7280000000000002</c:v>
                </c:pt>
                <c:pt idx="2300">
                  <c:v>2.8820000000000001</c:v>
                </c:pt>
                <c:pt idx="2301">
                  <c:v>3.0110000000000001</c:v>
                </c:pt>
                <c:pt idx="2302">
                  <c:v>3.0369999999999999</c:v>
                </c:pt>
                <c:pt idx="2303">
                  <c:v>3.2320000000000002</c:v>
                </c:pt>
                <c:pt idx="2304">
                  <c:v>3.3719999999999999</c:v>
                </c:pt>
                <c:pt idx="2305">
                  <c:v>3.4609999999999999</c:v>
                </c:pt>
                <c:pt idx="2306">
                  <c:v>3.532</c:v>
                </c:pt>
                <c:pt idx="2307">
                  <c:v>3.7349999999999999</c:v>
                </c:pt>
                <c:pt idx="2308">
                  <c:v>3.7629999999999999</c:v>
                </c:pt>
                <c:pt idx="2309">
                  <c:v>3.7349999999999999</c:v>
                </c:pt>
                <c:pt idx="2310">
                  <c:v>3.597</c:v>
                </c:pt>
                <c:pt idx="2311">
                  <c:v>3.54</c:v>
                </c:pt>
                <c:pt idx="2312">
                  <c:v>3.5539999999999998</c:v>
                </c:pt>
                <c:pt idx="2313">
                  <c:v>3.5419999999999998</c:v>
                </c:pt>
                <c:pt idx="2314">
                  <c:v>3.5110000000000001</c:v>
                </c:pt>
                <c:pt idx="2315">
                  <c:v>3.5659999999999998</c:v>
                </c:pt>
                <c:pt idx="2316">
                  <c:v>3.4980000000000002</c:v>
                </c:pt>
                <c:pt idx="2317">
                  <c:v>3.5270000000000001</c:v>
                </c:pt>
                <c:pt idx="2318">
                  <c:v>3.5049999999999999</c:v>
                </c:pt>
                <c:pt idx="2319">
                  <c:v>3.3780000000000001</c:v>
                </c:pt>
                <c:pt idx="2320">
                  <c:v>3.331</c:v>
                </c:pt>
                <c:pt idx="2321">
                  <c:v>3.0950000000000002</c:v>
                </c:pt>
                <c:pt idx="2322">
                  <c:v>3.0310000000000001</c:v>
                </c:pt>
                <c:pt idx="2323">
                  <c:v>3.1030000000000002</c:v>
                </c:pt>
                <c:pt idx="2324">
                  <c:v>3.1909999999999998</c:v>
                </c:pt>
                <c:pt idx="2325">
                  <c:v>3.286</c:v>
                </c:pt>
                <c:pt idx="2326">
                  <c:v>3.8540000000000001</c:v>
                </c:pt>
                <c:pt idx="2327">
                  <c:v>3.903</c:v>
                </c:pt>
                <c:pt idx="2328">
                  <c:v>3.87</c:v>
                </c:pt>
                <c:pt idx="2329">
                  <c:v>3.7639999999999998</c:v>
                </c:pt>
                <c:pt idx="2330">
                  <c:v>3.7410000000000001</c:v>
                </c:pt>
                <c:pt idx="2331">
                  <c:v>3.6459999999999999</c:v>
                </c:pt>
                <c:pt idx="2332">
                  <c:v>3.528</c:v>
                </c:pt>
                <c:pt idx="2333">
                  <c:v>3.5089999999999999</c:v>
                </c:pt>
                <c:pt idx="2334">
                  <c:v>3.5960000000000001</c:v>
                </c:pt>
                <c:pt idx="2335">
                  <c:v>3.7789999999999999</c:v>
                </c:pt>
                <c:pt idx="2336">
                  <c:v>3.76</c:v>
                </c:pt>
                <c:pt idx="2337">
                  <c:v>2.9620000000000002</c:v>
                </c:pt>
                <c:pt idx="2338">
                  <c:v>2.8279999999999998</c:v>
                </c:pt>
                <c:pt idx="2339">
                  <c:v>2.8769999999999998</c:v>
                </c:pt>
                <c:pt idx="2340">
                  <c:v>3.0339999999999998</c:v>
                </c:pt>
                <c:pt idx="2341">
                  <c:v>3.0859999999999999</c:v>
                </c:pt>
                <c:pt idx="2342">
                  <c:v>3.004</c:v>
                </c:pt>
                <c:pt idx="2343">
                  <c:v>3.1269999999999998</c:v>
                </c:pt>
                <c:pt idx="2344">
                  <c:v>2.9409999999999998</c:v>
                </c:pt>
                <c:pt idx="2345">
                  <c:v>3.0569999999999999</c:v>
                </c:pt>
                <c:pt idx="2346">
                  <c:v>2.9780000000000002</c:v>
                </c:pt>
                <c:pt idx="2347">
                  <c:v>3.1</c:v>
                </c:pt>
                <c:pt idx="2348">
                  <c:v>3.1230000000000002</c:v>
                </c:pt>
                <c:pt idx="2349">
                  <c:v>3.0870000000000002</c:v>
                </c:pt>
                <c:pt idx="2350">
                  <c:v>2.9609999999999999</c:v>
                </c:pt>
                <c:pt idx="2351">
                  <c:v>3.0009999999999999</c:v>
                </c:pt>
                <c:pt idx="2352">
                  <c:v>2.9239999999999999</c:v>
                </c:pt>
                <c:pt idx="2353">
                  <c:v>3.0089999999999999</c:v>
                </c:pt>
                <c:pt idx="2354">
                  <c:v>3.13</c:v>
                </c:pt>
                <c:pt idx="2355">
                  <c:v>3.0409999999999999</c:v>
                </c:pt>
                <c:pt idx="2356">
                  <c:v>3.0910000000000002</c:v>
                </c:pt>
                <c:pt idx="2357">
                  <c:v>3.2869999999999999</c:v>
                </c:pt>
                <c:pt idx="2358">
                  <c:v>3.3479999999999999</c:v>
                </c:pt>
                <c:pt idx="2359">
                  <c:v>3.3809999999999998</c:v>
                </c:pt>
                <c:pt idx="2360">
                  <c:v>3.6739999999999999</c:v>
                </c:pt>
                <c:pt idx="2361">
                  <c:v>3.63</c:v>
                </c:pt>
                <c:pt idx="2362">
                  <c:v>3.7719999999999998</c:v>
                </c:pt>
                <c:pt idx="2363">
                  <c:v>3.8180000000000001</c:v>
                </c:pt>
                <c:pt idx="2364">
                  <c:v>4.1929999999999996</c:v>
                </c:pt>
                <c:pt idx="2365">
                  <c:v>3.8929999999999998</c:v>
                </c:pt>
                <c:pt idx="2366">
                  <c:v>3.9809999999999999</c:v>
                </c:pt>
                <c:pt idx="2367">
                  <c:v>3.8420000000000001</c:v>
                </c:pt>
                <c:pt idx="2368">
                  <c:v>3.7930000000000001</c:v>
                </c:pt>
                <c:pt idx="2369">
                  <c:v>3.8029999999999999</c:v>
                </c:pt>
                <c:pt idx="2370">
                  <c:v>3.794</c:v>
                </c:pt>
                <c:pt idx="2371">
                  <c:v>3.798</c:v>
                </c:pt>
                <c:pt idx="2372">
                  <c:v>3.7709999999999999</c:v>
                </c:pt>
                <c:pt idx="2373">
                  <c:v>3.827</c:v>
                </c:pt>
                <c:pt idx="2374">
                  <c:v>3.8279999999999998</c:v>
                </c:pt>
                <c:pt idx="2375">
                  <c:v>3.677</c:v>
                </c:pt>
                <c:pt idx="2376">
                  <c:v>3.7010000000000001</c:v>
                </c:pt>
                <c:pt idx="2377">
                  <c:v>3.6440000000000001</c:v>
                </c:pt>
                <c:pt idx="2378">
                  <c:v>3.4430000000000001</c:v>
                </c:pt>
                <c:pt idx="2379">
                  <c:v>3.5430000000000001</c:v>
                </c:pt>
                <c:pt idx="2380">
                  <c:v>3.722</c:v>
                </c:pt>
                <c:pt idx="2381">
                  <c:v>3.8820000000000001</c:v>
                </c:pt>
                <c:pt idx="2382">
                  <c:v>3.9630000000000001</c:v>
                </c:pt>
                <c:pt idx="2383">
                  <c:v>4.282</c:v>
                </c:pt>
                <c:pt idx="2384">
                  <c:v>4.0579999999999998</c:v>
                </c:pt>
                <c:pt idx="2385">
                  <c:v>4.1859999999999999</c:v>
                </c:pt>
                <c:pt idx="2386">
                  <c:v>4.2770000000000001</c:v>
                </c:pt>
                <c:pt idx="2387">
                  <c:v>4.1029999999999998</c:v>
                </c:pt>
                <c:pt idx="2388">
                  <c:v>3.6659999999999999</c:v>
                </c:pt>
                <c:pt idx="2389">
                  <c:v>3.5950000000000002</c:v>
                </c:pt>
                <c:pt idx="2390">
                  <c:v>3.8109999999999999</c:v>
                </c:pt>
                <c:pt idx="2391">
                  <c:v>4.1239999999999997</c:v>
                </c:pt>
                <c:pt idx="2392">
                  <c:v>4.1319999999999997</c:v>
                </c:pt>
                <c:pt idx="2393">
                  <c:v>4.468</c:v>
                </c:pt>
                <c:pt idx="2394">
                  <c:v>2.5720000000000001</c:v>
                </c:pt>
                <c:pt idx="2395">
                  <c:v>2.548</c:v>
                </c:pt>
                <c:pt idx="2396">
                  <c:v>2.625</c:v>
                </c:pt>
                <c:pt idx="2397">
                  <c:v>2.6669999999999998</c:v>
                </c:pt>
                <c:pt idx="2398">
                  <c:v>2.7189999999999999</c:v>
                </c:pt>
                <c:pt idx="2399">
                  <c:v>2.77</c:v>
                </c:pt>
                <c:pt idx="2400">
                  <c:v>2.835</c:v>
                </c:pt>
                <c:pt idx="2401">
                  <c:v>2.7050000000000001</c:v>
                </c:pt>
                <c:pt idx="2402">
                  <c:v>2.6680000000000001</c:v>
                </c:pt>
                <c:pt idx="2403">
                  <c:v>2.669</c:v>
                </c:pt>
                <c:pt idx="2404">
                  <c:v>2.6419999999999999</c:v>
                </c:pt>
                <c:pt idx="2405">
                  <c:v>2.6269999999999998</c:v>
                </c:pt>
                <c:pt idx="2406">
                  <c:v>2.577</c:v>
                </c:pt>
                <c:pt idx="2407">
                  <c:v>2.5649999999999999</c:v>
                </c:pt>
                <c:pt idx="2408">
                  <c:v>2.6030000000000002</c:v>
                </c:pt>
                <c:pt idx="2409">
                  <c:v>2.633</c:v>
                </c:pt>
                <c:pt idx="2410">
                  <c:v>2.6890000000000001</c:v>
                </c:pt>
                <c:pt idx="2411">
                  <c:v>2.7280000000000002</c:v>
                </c:pt>
                <c:pt idx="2412">
                  <c:v>2.7080000000000002</c:v>
                </c:pt>
                <c:pt idx="2413">
                  <c:v>2.843</c:v>
                </c:pt>
                <c:pt idx="2414">
                  <c:v>2.976</c:v>
                </c:pt>
                <c:pt idx="2415">
                  <c:v>2.9889999999999999</c:v>
                </c:pt>
                <c:pt idx="2416">
                  <c:v>3.0219999999999998</c:v>
                </c:pt>
                <c:pt idx="2417">
                  <c:v>3.2879999999999998</c:v>
                </c:pt>
                <c:pt idx="2418">
                  <c:v>3.4590000000000001</c:v>
                </c:pt>
                <c:pt idx="2419">
                  <c:v>3.524</c:v>
                </c:pt>
                <c:pt idx="2420">
                  <c:v>3.6219999999999999</c:v>
                </c:pt>
                <c:pt idx="2421">
                  <c:v>3.9060000000000001</c:v>
                </c:pt>
                <c:pt idx="2422">
                  <c:v>3.6989999999999998</c:v>
                </c:pt>
                <c:pt idx="2423">
                  <c:v>3.6480000000000001</c:v>
                </c:pt>
                <c:pt idx="2424">
                  <c:v>3.524</c:v>
                </c:pt>
                <c:pt idx="2425">
                  <c:v>3.48</c:v>
                </c:pt>
                <c:pt idx="2426">
                  <c:v>3.6840000000000002</c:v>
                </c:pt>
                <c:pt idx="2427">
                  <c:v>3.6379999999999999</c:v>
                </c:pt>
                <c:pt idx="2428">
                  <c:v>3.5329999999999999</c:v>
                </c:pt>
                <c:pt idx="2429">
                  <c:v>3.5459999999999998</c:v>
                </c:pt>
                <c:pt idx="2430">
                  <c:v>3.2850000000000001</c:v>
                </c:pt>
                <c:pt idx="2431">
                  <c:v>3.3319999999999999</c:v>
                </c:pt>
                <c:pt idx="2432">
                  <c:v>3.2970000000000002</c:v>
                </c:pt>
                <c:pt idx="2433">
                  <c:v>3.1720000000000002</c:v>
                </c:pt>
                <c:pt idx="2434">
                  <c:v>3.1579999999999999</c:v>
                </c:pt>
                <c:pt idx="2435">
                  <c:v>3.157</c:v>
                </c:pt>
                <c:pt idx="2436">
                  <c:v>3.36</c:v>
                </c:pt>
                <c:pt idx="2437">
                  <c:v>3.4089999999999998</c:v>
                </c:pt>
                <c:pt idx="2438">
                  <c:v>3.63</c:v>
                </c:pt>
                <c:pt idx="2439">
                  <c:v>3.669</c:v>
                </c:pt>
                <c:pt idx="2440">
                  <c:v>3.891</c:v>
                </c:pt>
                <c:pt idx="2441">
                  <c:v>3.7490000000000001</c:v>
                </c:pt>
                <c:pt idx="2442">
                  <c:v>3.6880000000000002</c:v>
                </c:pt>
                <c:pt idx="2443">
                  <c:v>3.5009999999999999</c:v>
                </c:pt>
                <c:pt idx="2444">
                  <c:v>3.452</c:v>
                </c:pt>
                <c:pt idx="2445">
                  <c:v>3.2269999999999999</c:v>
                </c:pt>
                <c:pt idx="2446">
                  <c:v>3.4169999999999998</c:v>
                </c:pt>
                <c:pt idx="2447">
                  <c:v>3.4940000000000002</c:v>
                </c:pt>
                <c:pt idx="2448">
                  <c:v>3.73</c:v>
                </c:pt>
                <c:pt idx="2449">
                  <c:v>3.617</c:v>
                </c:pt>
                <c:pt idx="2450">
                  <c:v>3.601</c:v>
                </c:pt>
                <c:pt idx="2451">
                  <c:v>2.6659999999999999</c:v>
                </c:pt>
                <c:pt idx="2452">
                  <c:v>2.6709999999999998</c:v>
                </c:pt>
                <c:pt idx="2453">
                  <c:v>2.681</c:v>
                </c:pt>
                <c:pt idx="2454">
                  <c:v>2.7330000000000001</c:v>
                </c:pt>
                <c:pt idx="2455">
                  <c:v>2.8420000000000001</c:v>
                </c:pt>
                <c:pt idx="2456">
                  <c:v>2.8769999999999998</c:v>
                </c:pt>
                <c:pt idx="2457">
                  <c:v>2.948</c:v>
                </c:pt>
                <c:pt idx="2458">
                  <c:v>2.871</c:v>
                </c:pt>
                <c:pt idx="2459">
                  <c:v>2.8410000000000002</c:v>
                </c:pt>
                <c:pt idx="2460">
                  <c:v>2.8140000000000001</c:v>
                </c:pt>
                <c:pt idx="2461">
                  <c:v>2.802</c:v>
                </c:pt>
                <c:pt idx="2462">
                  <c:v>2.802</c:v>
                </c:pt>
                <c:pt idx="2463">
                  <c:v>2.8679999999999999</c:v>
                </c:pt>
                <c:pt idx="2464">
                  <c:v>2.87</c:v>
                </c:pt>
                <c:pt idx="2465">
                  <c:v>2.8530000000000002</c:v>
                </c:pt>
                <c:pt idx="2466">
                  <c:v>2.8410000000000002</c:v>
                </c:pt>
                <c:pt idx="2467">
                  <c:v>2.831</c:v>
                </c:pt>
                <c:pt idx="2468">
                  <c:v>2.831</c:v>
                </c:pt>
                <c:pt idx="2469">
                  <c:v>2.8119999999999998</c:v>
                </c:pt>
                <c:pt idx="2470">
                  <c:v>2.8170000000000002</c:v>
                </c:pt>
                <c:pt idx="2471">
                  <c:v>2.891</c:v>
                </c:pt>
                <c:pt idx="2472">
                  <c:v>2.9740000000000002</c:v>
                </c:pt>
                <c:pt idx="2473">
                  <c:v>3.0339999999999998</c:v>
                </c:pt>
                <c:pt idx="2474">
                  <c:v>3.23</c:v>
                </c:pt>
                <c:pt idx="2475">
                  <c:v>3.3460000000000001</c:v>
                </c:pt>
                <c:pt idx="2476">
                  <c:v>3.4870000000000001</c:v>
                </c:pt>
                <c:pt idx="2477">
                  <c:v>3.5470000000000002</c:v>
                </c:pt>
                <c:pt idx="2478">
                  <c:v>3.7440000000000002</c:v>
                </c:pt>
                <c:pt idx="2479">
                  <c:v>3.7519999999999998</c:v>
                </c:pt>
                <c:pt idx="2480">
                  <c:v>3.7320000000000002</c:v>
                </c:pt>
                <c:pt idx="2481">
                  <c:v>3.613</c:v>
                </c:pt>
                <c:pt idx="2482">
                  <c:v>3.5630000000000002</c:v>
                </c:pt>
                <c:pt idx="2483">
                  <c:v>3.5950000000000002</c:v>
                </c:pt>
                <c:pt idx="2484">
                  <c:v>3.6059999999999999</c:v>
                </c:pt>
                <c:pt idx="2485">
                  <c:v>3.58</c:v>
                </c:pt>
                <c:pt idx="2486">
                  <c:v>3.6190000000000002</c:v>
                </c:pt>
                <c:pt idx="2487">
                  <c:v>3.5920000000000001</c:v>
                </c:pt>
                <c:pt idx="2488">
                  <c:v>3.5379999999999998</c:v>
                </c:pt>
                <c:pt idx="2489">
                  <c:v>3.5129999999999999</c:v>
                </c:pt>
                <c:pt idx="2490">
                  <c:v>3.3889999999999998</c:v>
                </c:pt>
                <c:pt idx="2491">
                  <c:v>3.3410000000000002</c:v>
                </c:pt>
                <c:pt idx="2492">
                  <c:v>3.08</c:v>
                </c:pt>
                <c:pt idx="2493">
                  <c:v>3.077</c:v>
                </c:pt>
                <c:pt idx="2494">
                  <c:v>3.1160000000000001</c:v>
                </c:pt>
                <c:pt idx="2495">
                  <c:v>3.242</c:v>
                </c:pt>
                <c:pt idx="2496">
                  <c:v>3.38</c:v>
                </c:pt>
                <c:pt idx="2497">
                  <c:v>3.7930000000000001</c:v>
                </c:pt>
                <c:pt idx="2498">
                  <c:v>3.831</c:v>
                </c:pt>
                <c:pt idx="2499">
                  <c:v>3.8090000000000002</c:v>
                </c:pt>
                <c:pt idx="2500">
                  <c:v>3.7879999999999998</c:v>
                </c:pt>
                <c:pt idx="2501">
                  <c:v>3.7759999999999998</c:v>
                </c:pt>
                <c:pt idx="2502">
                  <c:v>3.63</c:v>
                </c:pt>
                <c:pt idx="2503">
                  <c:v>3.512</c:v>
                </c:pt>
                <c:pt idx="2504">
                  <c:v>3.5089999999999999</c:v>
                </c:pt>
                <c:pt idx="2505">
                  <c:v>3.6890000000000001</c:v>
                </c:pt>
                <c:pt idx="2506">
                  <c:v>3.8149999999999999</c:v>
                </c:pt>
                <c:pt idx="2507">
                  <c:v>3.7970000000000002</c:v>
                </c:pt>
                <c:pt idx="2508">
                  <c:v>2.7839999999999998</c:v>
                </c:pt>
                <c:pt idx="2509">
                  <c:v>2.7730000000000001</c:v>
                </c:pt>
                <c:pt idx="2510">
                  <c:v>2.7770000000000001</c:v>
                </c:pt>
                <c:pt idx="2511">
                  <c:v>2.8180000000000001</c:v>
                </c:pt>
                <c:pt idx="2512">
                  <c:v>2.85</c:v>
                </c:pt>
                <c:pt idx="2513">
                  <c:v>2.8690000000000002</c:v>
                </c:pt>
                <c:pt idx="2514">
                  <c:v>2.9660000000000002</c:v>
                </c:pt>
                <c:pt idx="2515">
                  <c:v>2.847</c:v>
                </c:pt>
                <c:pt idx="2516">
                  <c:v>2.8090000000000002</c:v>
                </c:pt>
                <c:pt idx="2517">
                  <c:v>2.8149999999999999</c:v>
                </c:pt>
                <c:pt idx="2518">
                  <c:v>2.7930000000000001</c:v>
                </c:pt>
                <c:pt idx="2519">
                  <c:v>2.7839999999999998</c:v>
                </c:pt>
                <c:pt idx="2520">
                  <c:v>2.7149999999999999</c:v>
                </c:pt>
                <c:pt idx="2521">
                  <c:v>2.6989999999999998</c:v>
                </c:pt>
                <c:pt idx="2522">
                  <c:v>2.7069999999999999</c:v>
                </c:pt>
                <c:pt idx="2523">
                  <c:v>2.7639999999999998</c:v>
                </c:pt>
                <c:pt idx="2524">
                  <c:v>2.9169999999999998</c:v>
                </c:pt>
                <c:pt idx="2525">
                  <c:v>2.931</c:v>
                </c:pt>
                <c:pt idx="2526">
                  <c:v>3.0459999999999998</c:v>
                </c:pt>
                <c:pt idx="2527">
                  <c:v>3.109</c:v>
                </c:pt>
                <c:pt idx="2528">
                  <c:v>3.1930000000000001</c:v>
                </c:pt>
                <c:pt idx="2529">
                  <c:v>3.2309999999999999</c:v>
                </c:pt>
                <c:pt idx="2530">
                  <c:v>3.2389999999999999</c:v>
                </c:pt>
                <c:pt idx="2531">
                  <c:v>3.4329999999999998</c:v>
                </c:pt>
                <c:pt idx="2532">
                  <c:v>3.5819999999999999</c:v>
                </c:pt>
                <c:pt idx="2533">
                  <c:v>3.6379999999999999</c:v>
                </c:pt>
                <c:pt idx="2534">
                  <c:v>3.72</c:v>
                </c:pt>
                <c:pt idx="2535">
                  <c:v>4.0460000000000003</c:v>
                </c:pt>
                <c:pt idx="2536">
                  <c:v>3.9220000000000002</c:v>
                </c:pt>
                <c:pt idx="2537">
                  <c:v>3.8809999999999998</c:v>
                </c:pt>
                <c:pt idx="2538">
                  <c:v>3.7480000000000002</c:v>
                </c:pt>
                <c:pt idx="2539">
                  <c:v>3.7109999999999999</c:v>
                </c:pt>
                <c:pt idx="2540">
                  <c:v>3.8420000000000001</c:v>
                </c:pt>
                <c:pt idx="2541">
                  <c:v>3.8119999999999998</c:v>
                </c:pt>
                <c:pt idx="2542">
                  <c:v>3.7029999999999998</c:v>
                </c:pt>
                <c:pt idx="2543">
                  <c:v>3.738</c:v>
                </c:pt>
                <c:pt idx="2544">
                  <c:v>3.5830000000000002</c:v>
                </c:pt>
                <c:pt idx="2545">
                  <c:v>3.5510000000000002</c:v>
                </c:pt>
                <c:pt idx="2546">
                  <c:v>3.53</c:v>
                </c:pt>
                <c:pt idx="2547">
                  <c:v>3.452</c:v>
                </c:pt>
                <c:pt idx="2548">
                  <c:v>3.415</c:v>
                </c:pt>
                <c:pt idx="2549">
                  <c:v>3.4220000000000002</c:v>
                </c:pt>
                <c:pt idx="2550">
                  <c:v>3.617</c:v>
                </c:pt>
                <c:pt idx="2551">
                  <c:v>3.64</c:v>
                </c:pt>
                <c:pt idx="2552">
                  <c:v>3.8159999999999998</c:v>
                </c:pt>
                <c:pt idx="2553">
                  <c:v>3.8479999999999999</c:v>
                </c:pt>
                <c:pt idx="2554">
                  <c:v>3.996</c:v>
                </c:pt>
                <c:pt idx="2555">
                  <c:v>3.9510000000000001</c:v>
                </c:pt>
                <c:pt idx="2556">
                  <c:v>3.8889999999999998</c:v>
                </c:pt>
                <c:pt idx="2557">
                  <c:v>3.742</c:v>
                </c:pt>
                <c:pt idx="2558">
                  <c:v>3.6890000000000001</c:v>
                </c:pt>
                <c:pt idx="2559">
                  <c:v>3.4750000000000001</c:v>
                </c:pt>
                <c:pt idx="2560">
                  <c:v>3.6539999999999999</c:v>
                </c:pt>
                <c:pt idx="2561">
                  <c:v>3.722</c:v>
                </c:pt>
                <c:pt idx="2562">
                  <c:v>3.911</c:v>
                </c:pt>
                <c:pt idx="2563">
                  <c:v>3.9849999999999999</c:v>
                </c:pt>
                <c:pt idx="2564">
                  <c:v>4</c:v>
                </c:pt>
              </c:numCache>
            </c:numRef>
          </c:xVal>
          <c:y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B-42D4-B420-81C05F4961EE}"/>
            </c:ext>
          </c:extLst>
        </c:ser>
        <c:ser>
          <c:idx val="1"/>
          <c:order val="1"/>
          <c:tx>
            <c:v>Weekly_Sales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3CB-42D4-B420-81C05F496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786352"/>
        <c:axId val="242777712"/>
      </c:scatterChart>
      <c:valAx>
        <c:axId val="242786352"/>
        <c:scaling>
          <c:orientation val="minMax"/>
          <c:max val="4.5"/>
          <c:min val="2.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2777712"/>
        <c:crosses val="autoZero"/>
        <c:crossBetween val="midCat"/>
      </c:valAx>
      <c:valAx>
        <c:axId val="2427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2786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587267087481834"/>
          <c:y val="0.86493317407096337"/>
          <c:w val="0.75886562113620093"/>
          <c:h val="0.11829496927403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cap="none" baseline="0">
                <a:solidFill>
                  <a:schemeClr val="bg1"/>
                </a:solidFill>
              </a:rPr>
              <a:t>CPI (Inflação) vs Vendas Semanais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8963959120443"/>
          <c:y val="0.10641909814323608"/>
          <c:w val="0.81236736542329746"/>
          <c:h val="0.7552315907461169"/>
        </c:manualLayout>
      </c:layout>
      <c:scatterChart>
        <c:scatterStyle val="lineMarker"/>
        <c:varyColors val="0"/>
        <c:ser>
          <c:idx val="0"/>
          <c:order val="0"/>
          <c:tx>
            <c:v>CPI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854405017794352"/>
                  <c:y val="-0.44948112255198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Walmart_Sales!$I$2:$I$2566</c:f>
              <c:numCache>
                <c:formatCode>General</c:formatCode>
                <c:ptCount val="2565"/>
                <c:pt idx="0">
                  <c:v>211.0963582</c:v>
                </c:pt>
                <c:pt idx="1">
                  <c:v>211.2421698</c:v>
                </c:pt>
                <c:pt idx="2">
                  <c:v>211.35014290000001</c:v>
                </c:pt>
                <c:pt idx="3">
                  <c:v>211.3806429</c:v>
                </c:pt>
                <c:pt idx="4">
                  <c:v>210.8204499</c:v>
                </c:pt>
                <c:pt idx="5">
                  <c:v>210.62285739999999</c:v>
                </c:pt>
                <c:pt idx="6">
                  <c:v>210.3399684</c:v>
                </c:pt>
                <c:pt idx="7">
                  <c:v>211.1764278</c:v>
                </c:pt>
                <c:pt idx="8">
                  <c:v>211.4560951</c:v>
                </c:pt>
                <c:pt idx="9">
                  <c:v>211.22353330000001</c:v>
                </c:pt>
                <c:pt idx="10">
                  <c:v>211.10841400000001</c:v>
                </c:pt>
                <c:pt idx="11">
                  <c:v>211.50466209999999</c:v>
                </c:pt>
                <c:pt idx="12">
                  <c:v>211.53124790000001</c:v>
                </c:pt>
                <c:pt idx="13">
                  <c:v>211.4951902</c:v>
                </c:pt>
                <c:pt idx="14">
                  <c:v>211.6719895</c:v>
                </c:pt>
                <c:pt idx="15">
                  <c:v>211.74675439999999</c:v>
                </c:pt>
                <c:pt idx="16">
                  <c:v>211.95639389999999</c:v>
                </c:pt>
                <c:pt idx="17">
                  <c:v>212.00394399999999</c:v>
                </c:pt>
                <c:pt idx="18">
                  <c:v>211.607193</c:v>
                </c:pt>
                <c:pt idx="19">
                  <c:v>211.46595260000001</c:v>
                </c:pt>
                <c:pt idx="20">
                  <c:v>211.4047419</c:v>
                </c:pt>
                <c:pt idx="21">
                  <c:v>212.56688120000001</c:v>
                </c:pt>
                <c:pt idx="22">
                  <c:v>212.93670460000001</c:v>
                </c:pt>
                <c:pt idx="23">
                  <c:v>213.82333270000001</c:v>
                </c:pt>
                <c:pt idx="24">
                  <c:v>214.1110564</c:v>
                </c:pt>
                <c:pt idx="25">
                  <c:v>214.8371664</c:v>
                </c:pt>
                <c:pt idx="26">
                  <c:v>215.07439389999999</c:v>
                </c:pt>
                <c:pt idx="27">
                  <c:v>215.79600350000001</c:v>
                </c:pt>
                <c:pt idx="28">
                  <c:v>215.2736553</c:v>
                </c:pt>
                <c:pt idx="29">
                  <c:v>215.0435229</c:v>
                </c:pt>
                <c:pt idx="30">
                  <c:v>215.1841368</c:v>
                </c:pt>
                <c:pt idx="31">
                  <c:v>215.2771754</c:v>
                </c:pt>
                <c:pt idx="32">
                  <c:v>215.54461800000001</c:v>
                </c:pt>
                <c:pt idx="33">
                  <c:v>215.6057878</c:v>
                </c:pt>
                <c:pt idx="34">
                  <c:v>215.79714089999999</c:v>
                </c:pt>
                <c:pt idx="35">
                  <c:v>215.86105599999999</c:v>
                </c:pt>
                <c:pt idx="36">
                  <c:v>217.0453684</c:v>
                </c:pt>
                <c:pt idx="37">
                  <c:v>217.83738199999999</c:v>
                </c:pt>
                <c:pt idx="38">
                  <c:v>217.99808490000001</c:v>
                </c:pt>
                <c:pt idx="39">
                  <c:v>218.71473330000001</c:v>
                </c:pt>
                <c:pt idx="40">
                  <c:v>218.9618456</c:v>
                </c:pt>
                <c:pt idx="41">
                  <c:v>219.7142581</c:v>
                </c:pt>
                <c:pt idx="42">
                  <c:v>220.1720153</c:v>
                </c:pt>
                <c:pt idx="43">
                  <c:v>220.2651783</c:v>
                </c:pt>
                <c:pt idx="44">
                  <c:v>220.84804539999999</c:v>
                </c:pt>
                <c:pt idx="45">
                  <c:v>221.05918869999999</c:v>
                </c:pt>
                <c:pt idx="46">
                  <c:v>221.43561120000001</c:v>
                </c:pt>
                <c:pt idx="47">
                  <c:v>221.67179999999999</c:v>
                </c:pt>
                <c:pt idx="48">
                  <c:v>221.72566320000001</c:v>
                </c:pt>
                <c:pt idx="49">
                  <c:v>221.74721389999999</c:v>
                </c:pt>
                <c:pt idx="50">
                  <c:v>221.7494839</c:v>
                </c:pt>
                <c:pt idx="51">
                  <c:v>221.88377890000001</c:v>
                </c:pt>
                <c:pt idx="52">
                  <c:v>221.94986420000001</c:v>
                </c:pt>
                <c:pt idx="53">
                  <c:v>221.95843289999999</c:v>
                </c:pt>
                <c:pt idx="54">
                  <c:v>222.43901529999999</c:v>
                </c:pt>
                <c:pt idx="55">
                  <c:v>223.18147719999999</c:v>
                </c:pt>
                <c:pt idx="56">
                  <c:v>223.38129649999999</c:v>
                </c:pt>
                <c:pt idx="57">
                  <c:v>210.7526053</c:v>
                </c:pt>
                <c:pt idx="58">
                  <c:v>210.89799350000001</c:v>
                </c:pt>
                <c:pt idx="59">
                  <c:v>211.00675419999999</c:v>
                </c:pt>
                <c:pt idx="60">
                  <c:v>211.03755100000001</c:v>
                </c:pt>
                <c:pt idx="61">
                  <c:v>210.4798874</c:v>
                </c:pt>
                <c:pt idx="62">
                  <c:v>210.28316530000001</c:v>
                </c:pt>
                <c:pt idx="63">
                  <c:v>210.00110179999999</c:v>
                </c:pt>
                <c:pt idx="64">
                  <c:v>210.83361600000001</c:v>
                </c:pt>
                <c:pt idx="65">
                  <c:v>211.1120018</c:v>
                </c:pt>
                <c:pt idx="66">
                  <c:v>210.88037259999999</c:v>
                </c:pt>
                <c:pt idx="67">
                  <c:v>210.7657317</c:v>
                </c:pt>
                <c:pt idx="68">
                  <c:v>211.16080489999999</c:v>
                </c:pt>
                <c:pt idx="69">
                  <c:v>211.18869309999999</c:v>
                </c:pt>
                <c:pt idx="70">
                  <c:v>211.15321040000001</c:v>
                </c:pt>
                <c:pt idx="71">
                  <c:v>211.32987420000001</c:v>
                </c:pt>
                <c:pt idx="72">
                  <c:v>211.4044906</c:v>
                </c:pt>
                <c:pt idx="73">
                  <c:v>211.61350530000001</c:v>
                </c:pt>
                <c:pt idx="74">
                  <c:v>211.6608975</c:v>
                </c:pt>
                <c:pt idx="75">
                  <c:v>211.26554300000001</c:v>
                </c:pt>
                <c:pt idx="76">
                  <c:v>211.12479930000001</c:v>
                </c:pt>
                <c:pt idx="77">
                  <c:v>211.06488809999999</c:v>
                </c:pt>
                <c:pt idx="78">
                  <c:v>212.22406459999999</c:v>
                </c:pt>
                <c:pt idx="79">
                  <c:v>212.5928624</c:v>
                </c:pt>
                <c:pt idx="80">
                  <c:v>213.4775305</c:v>
                </c:pt>
                <c:pt idx="81">
                  <c:v>213.76464010000001</c:v>
                </c:pt>
                <c:pt idx="82">
                  <c:v>214.4886908</c:v>
                </c:pt>
                <c:pt idx="83">
                  <c:v>214.72522420000001</c:v>
                </c:pt>
                <c:pt idx="84">
                  <c:v>215.44487090000001</c:v>
                </c:pt>
                <c:pt idx="85">
                  <c:v>214.92548650000001</c:v>
                </c:pt>
                <c:pt idx="86">
                  <c:v>214.69649079999999</c:v>
                </c:pt>
                <c:pt idx="87">
                  <c:v>214.83686779999999</c:v>
                </c:pt>
                <c:pt idx="88">
                  <c:v>214.92962489999999</c:v>
                </c:pt>
                <c:pt idx="89">
                  <c:v>215.19785150000001</c:v>
                </c:pt>
                <c:pt idx="90">
                  <c:v>215.25932109999999</c:v>
                </c:pt>
                <c:pt idx="91">
                  <c:v>215.45086319999999</c:v>
                </c:pt>
                <c:pt idx="92">
                  <c:v>215.51482949999999</c:v>
                </c:pt>
                <c:pt idx="93">
                  <c:v>216.69583109999999</c:v>
                </c:pt>
                <c:pt idx="94">
                  <c:v>217.48536050000001</c:v>
                </c:pt>
                <c:pt idx="95">
                  <c:v>217.6455387</c:v>
                </c:pt>
                <c:pt idx="96">
                  <c:v>218.35903189999999</c:v>
                </c:pt>
                <c:pt idx="97">
                  <c:v>218.60503700000001</c:v>
                </c:pt>
                <c:pt idx="98">
                  <c:v>219.355063</c:v>
                </c:pt>
                <c:pt idx="99">
                  <c:v>219.81188539999999</c:v>
                </c:pt>
                <c:pt idx="100">
                  <c:v>219.90490729999999</c:v>
                </c:pt>
                <c:pt idx="101">
                  <c:v>220.48668860000001</c:v>
                </c:pt>
                <c:pt idx="102">
                  <c:v>220.69743320000001</c:v>
                </c:pt>
                <c:pt idx="103">
                  <c:v>221.07376379999999</c:v>
                </c:pt>
                <c:pt idx="104">
                  <c:v>221.30951659999999</c:v>
                </c:pt>
                <c:pt idx="105">
                  <c:v>221.3632212</c:v>
                </c:pt>
                <c:pt idx="106">
                  <c:v>221.38527479999999</c:v>
                </c:pt>
                <c:pt idx="107">
                  <c:v>221.38774670000001</c:v>
                </c:pt>
                <c:pt idx="108">
                  <c:v>221.52150639999999</c:v>
                </c:pt>
                <c:pt idx="109">
                  <c:v>221.58697989999999</c:v>
                </c:pt>
                <c:pt idx="110">
                  <c:v>221.59541379999999</c:v>
                </c:pt>
                <c:pt idx="111">
                  <c:v>222.07476349999999</c:v>
                </c:pt>
                <c:pt idx="112">
                  <c:v>222.8159296</c:v>
                </c:pt>
                <c:pt idx="113">
                  <c:v>223.0154263</c:v>
                </c:pt>
                <c:pt idx="114">
                  <c:v>214.42488119999999</c:v>
                </c:pt>
                <c:pt idx="115">
                  <c:v>214.5747916</c:v>
                </c:pt>
                <c:pt idx="116">
                  <c:v>214.6751386</c:v>
                </c:pt>
                <c:pt idx="117">
                  <c:v>214.70276459999999</c:v>
                </c:pt>
                <c:pt idx="118">
                  <c:v>214.1180803</c:v>
                </c:pt>
                <c:pt idx="119">
                  <c:v>213.9120595</c:v>
                </c:pt>
                <c:pt idx="120">
                  <c:v>213.6211778</c:v>
                </c:pt>
                <c:pt idx="121">
                  <c:v>214.49583820000001</c:v>
                </c:pt>
                <c:pt idx="122">
                  <c:v>214.787913</c:v>
                </c:pt>
                <c:pt idx="123">
                  <c:v>214.54632219999999</c:v>
                </c:pt>
                <c:pt idx="124">
                  <c:v>214.4265704</c:v>
                </c:pt>
                <c:pt idx="125">
                  <c:v>214.83419520000001</c:v>
                </c:pt>
                <c:pt idx="126">
                  <c:v>214.84816850000001</c:v>
                </c:pt>
                <c:pt idx="127">
                  <c:v>214.8065431</c:v>
                </c:pt>
                <c:pt idx="128">
                  <c:v>214.98465479999999</c:v>
                </c:pt>
                <c:pt idx="129">
                  <c:v>215.060858</c:v>
                </c:pt>
                <c:pt idx="130">
                  <c:v>215.27654720000001</c:v>
                </c:pt>
                <c:pt idx="131">
                  <c:v>215.32562580000001</c:v>
                </c:pt>
                <c:pt idx="132">
                  <c:v>214.9153531</c:v>
                </c:pt>
                <c:pt idx="133">
                  <c:v>214.76930369999999</c:v>
                </c:pt>
                <c:pt idx="134">
                  <c:v>214.69551039999999</c:v>
                </c:pt>
                <c:pt idx="135">
                  <c:v>215.88633669999999</c:v>
                </c:pt>
                <c:pt idx="136">
                  <c:v>216.2660913</c:v>
                </c:pt>
                <c:pt idx="137">
                  <c:v>217.1716979</c:v>
                </c:pt>
                <c:pt idx="138">
                  <c:v>217.46536829999999</c:v>
                </c:pt>
                <c:pt idx="139">
                  <c:v>218.21141840000001</c:v>
                </c:pt>
                <c:pt idx="140">
                  <c:v>218.45536630000001</c:v>
                </c:pt>
                <c:pt idx="141">
                  <c:v>219.1959827</c:v>
                </c:pt>
                <c:pt idx="142">
                  <c:v>218.6449369</c:v>
                </c:pt>
                <c:pt idx="143">
                  <c:v>218.4037974</c:v>
                </c:pt>
                <c:pt idx="144">
                  <c:v>218.54670519999999</c:v>
                </c:pt>
                <c:pt idx="145">
                  <c:v>218.64247040000001</c:v>
                </c:pt>
                <c:pt idx="146">
                  <c:v>218.90232090000001</c:v>
                </c:pt>
                <c:pt idx="147">
                  <c:v>218.96058729999999</c:v>
                </c:pt>
                <c:pt idx="148">
                  <c:v>219.1501106</c:v>
                </c:pt>
                <c:pt idx="149">
                  <c:v>219.21353049999999</c:v>
                </c:pt>
                <c:pt idx="150">
                  <c:v>220.42990069999999</c:v>
                </c:pt>
                <c:pt idx="151">
                  <c:v>221.245968</c:v>
                </c:pt>
                <c:pt idx="152">
                  <c:v>221.4117517</c:v>
                </c:pt>
                <c:pt idx="153">
                  <c:v>222.15895190000001</c:v>
                </c:pt>
                <c:pt idx="154">
                  <c:v>222.41678519999999</c:v>
                </c:pt>
                <c:pt idx="155">
                  <c:v>223.19230490000001</c:v>
                </c:pt>
                <c:pt idx="156">
                  <c:v>223.65911370000001</c:v>
                </c:pt>
                <c:pt idx="157">
                  <c:v>223.75364300000001</c:v>
                </c:pt>
                <c:pt idx="158">
                  <c:v>224.3470245</c:v>
                </c:pt>
                <c:pt idx="159">
                  <c:v>224.56202909999999</c:v>
                </c:pt>
                <c:pt idx="160">
                  <c:v>224.93934049999999</c:v>
                </c:pt>
                <c:pt idx="161">
                  <c:v>225.1797511</c:v>
                </c:pt>
                <c:pt idx="162">
                  <c:v>225.2351496</c:v>
                </c:pt>
                <c:pt idx="163">
                  <c:v>225.25183129999999</c:v>
                </c:pt>
                <c:pt idx="164">
                  <c:v>225.25214579999999</c:v>
                </c:pt>
                <c:pt idx="165">
                  <c:v>225.39162540000001</c:v>
                </c:pt>
                <c:pt idx="166">
                  <c:v>225.4636332</c:v>
                </c:pt>
                <c:pt idx="167">
                  <c:v>225.47350850000001</c:v>
                </c:pt>
                <c:pt idx="168">
                  <c:v>225.96602630000001</c:v>
                </c:pt>
                <c:pt idx="169">
                  <c:v>226.72103559999999</c:v>
                </c:pt>
                <c:pt idx="170">
                  <c:v>226.9239785</c:v>
                </c:pt>
                <c:pt idx="171">
                  <c:v>126.4420645</c:v>
                </c:pt>
                <c:pt idx="172">
                  <c:v>126.49625810000001</c:v>
                </c:pt>
                <c:pt idx="173">
                  <c:v>126.5782857</c:v>
                </c:pt>
                <c:pt idx="174">
                  <c:v>126.60428570000001</c:v>
                </c:pt>
                <c:pt idx="175">
                  <c:v>126.6034839</c:v>
                </c:pt>
                <c:pt idx="176">
                  <c:v>126.6019032</c:v>
                </c:pt>
                <c:pt idx="177">
                  <c:v>126.2898</c:v>
                </c:pt>
                <c:pt idx="178">
                  <c:v>126.1360645</c:v>
                </c:pt>
                <c:pt idx="179">
                  <c:v>126.1119032</c:v>
                </c:pt>
                <c:pt idx="180">
                  <c:v>126.1392</c:v>
                </c:pt>
                <c:pt idx="181">
                  <c:v>126.15179999999999</c:v>
                </c:pt>
                <c:pt idx="182">
                  <c:v>126.0854516</c:v>
                </c:pt>
                <c:pt idx="183">
                  <c:v>126.1019355</c:v>
                </c:pt>
                <c:pt idx="184">
                  <c:v>126.1145806</c:v>
                </c:pt>
                <c:pt idx="185">
                  <c:v>126.2346</c:v>
                </c:pt>
                <c:pt idx="186">
                  <c:v>126.2791667</c:v>
                </c:pt>
                <c:pt idx="187">
                  <c:v>126.4912903</c:v>
                </c:pt>
                <c:pt idx="188">
                  <c:v>126.54616129999999</c:v>
                </c:pt>
                <c:pt idx="189">
                  <c:v>126.7313333</c:v>
                </c:pt>
                <c:pt idx="190">
                  <c:v>126.79340000000001</c:v>
                </c:pt>
                <c:pt idx="191">
                  <c:v>127.1917742</c:v>
                </c:pt>
                <c:pt idx="192">
                  <c:v>127.7195806</c:v>
                </c:pt>
                <c:pt idx="193">
                  <c:v>127.859129</c:v>
                </c:pt>
                <c:pt idx="194">
                  <c:v>128.26474999999999</c:v>
                </c:pt>
                <c:pt idx="195">
                  <c:v>128.39949999999999</c:v>
                </c:pt>
                <c:pt idx="196">
                  <c:v>128.71993549999999</c:v>
                </c:pt>
                <c:pt idx="197">
                  <c:v>128.82380649999999</c:v>
                </c:pt>
                <c:pt idx="198">
                  <c:v>129.04443330000001</c:v>
                </c:pt>
                <c:pt idx="199">
                  <c:v>129.04903229999999</c:v>
                </c:pt>
                <c:pt idx="200">
                  <c:v>129.03570970000001</c:v>
                </c:pt>
                <c:pt idx="201">
                  <c:v>129.08940000000001</c:v>
                </c:pt>
                <c:pt idx="202">
                  <c:v>129.11250000000001</c:v>
                </c:pt>
                <c:pt idx="203">
                  <c:v>129.18464520000001</c:v>
                </c:pt>
                <c:pt idx="204">
                  <c:v>129.2015806</c:v>
                </c:pt>
                <c:pt idx="205">
                  <c:v>129.32593550000001</c:v>
                </c:pt>
                <c:pt idx="206">
                  <c:v>129.36861289999999</c:v>
                </c:pt>
                <c:pt idx="207">
                  <c:v>129.69380000000001</c:v>
                </c:pt>
                <c:pt idx="208">
                  <c:v>129.8051935</c:v>
                </c:pt>
                <c:pt idx="209">
                  <c:v>129.81670969999999</c:v>
                </c:pt>
                <c:pt idx="210">
                  <c:v>129.84596669999999</c:v>
                </c:pt>
                <c:pt idx="211">
                  <c:v>129.85553329999999</c:v>
                </c:pt>
                <c:pt idx="212">
                  <c:v>130.15751610000001</c:v>
                </c:pt>
                <c:pt idx="213">
                  <c:v>130.34967739999999</c:v>
                </c:pt>
                <c:pt idx="214">
                  <c:v>130.3849032</c:v>
                </c:pt>
                <c:pt idx="215">
                  <c:v>130.64579309999999</c:v>
                </c:pt>
                <c:pt idx="216">
                  <c:v>130.74137930000001</c:v>
                </c:pt>
                <c:pt idx="217">
                  <c:v>131.03754839999999</c:v>
                </c:pt>
                <c:pt idx="218">
                  <c:v>131.136</c:v>
                </c:pt>
                <c:pt idx="219">
                  <c:v>131.1453333</c:v>
                </c:pt>
                <c:pt idx="220">
                  <c:v>130.95922580000001</c:v>
                </c:pt>
                <c:pt idx="221">
                  <c:v>130.88967740000001</c:v>
                </c:pt>
                <c:pt idx="222">
                  <c:v>130.7196333</c:v>
                </c:pt>
                <c:pt idx="223">
                  <c:v>130.73787100000001</c:v>
                </c:pt>
                <c:pt idx="224">
                  <c:v>130.7561613</c:v>
                </c:pt>
                <c:pt idx="225">
                  <c:v>130.9325484</c:v>
                </c:pt>
                <c:pt idx="226">
                  <c:v>131.0756667</c:v>
                </c:pt>
                <c:pt idx="227">
                  <c:v>131.1083333</c:v>
                </c:pt>
                <c:pt idx="228">
                  <c:v>211.65397160000001</c:v>
                </c:pt>
                <c:pt idx="229">
                  <c:v>211.8004698</c:v>
                </c:pt>
                <c:pt idx="230">
                  <c:v>211.9071653</c:v>
                </c:pt>
                <c:pt idx="231">
                  <c:v>211.93718390000001</c:v>
                </c:pt>
                <c:pt idx="232">
                  <c:v>211.37288799999999</c:v>
                </c:pt>
                <c:pt idx="233">
                  <c:v>211.17388349999999</c:v>
                </c:pt>
                <c:pt idx="234">
                  <c:v>210.8896556</c:v>
                </c:pt>
                <c:pt idx="235">
                  <c:v>211.7325146</c:v>
                </c:pt>
                <c:pt idx="236">
                  <c:v>212.01426050000001</c:v>
                </c:pt>
                <c:pt idx="237">
                  <c:v>211.78018610000001</c:v>
                </c:pt>
                <c:pt idx="238">
                  <c:v>211.66429070000001</c:v>
                </c:pt>
                <c:pt idx="239">
                  <c:v>212.06244469999999</c:v>
                </c:pt>
                <c:pt idx="240">
                  <c:v>212.08691759999999</c:v>
                </c:pt>
                <c:pt idx="241">
                  <c:v>212.04992709999999</c:v>
                </c:pt>
                <c:pt idx="242">
                  <c:v>212.22694630000001</c:v>
                </c:pt>
                <c:pt idx="243">
                  <c:v>212.30195219999999</c:v>
                </c:pt>
                <c:pt idx="244">
                  <c:v>212.5126051</c:v>
                </c:pt>
                <c:pt idx="245">
                  <c:v>212.5604113</c:v>
                </c:pt>
                <c:pt idx="246">
                  <c:v>212.16139509999999</c:v>
                </c:pt>
                <c:pt idx="247">
                  <c:v>212.0193491</c:v>
                </c:pt>
                <c:pt idx="248">
                  <c:v>211.9560305</c:v>
                </c:pt>
                <c:pt idx="249">
                  <c:v>213.1229755</c:v>
                </c:pt>
                <c:pt idx="250">
                  <c:v>213.49446270000001</c:v>
                </c:pt>
                <c:pt idx="251">
                  <c:v>214.3842702</c:v>
                </c:pt>
                <c:pt idx="252">
                  <c:v>214.67299009999999</c:v>
                </c:pt>
                <c:pt idx="253">
                  <c:v>215.40244060000001</c:v>
                </c:pt>
                <c:pt idx="254">
                  <c:v>215.64079390000001</c:v>
                </c:pt>
                <c:pt idx="255">
                  <c:v>216.36558769999999</c:v>
                </c:pt>
                <c:pt idx="256">
                  <c:v>215.83843189999999</c:v>
                </c:pt>
                <c:pt idx="257">
                  <c:v>215.60645550000001</c:v>
                </c:pt>
                <c:pt idx="258">
                  <c:v>215.74745369999999</c:v>
                </c:pt>
                <c:pt idx="259">
                  <c:v>215.84094909999999</c:v>
                </c:pt>
                <c:pt idx="260">
                  <c:v>216.10711979999999</c:v>
                </c:pt>
                <c:pt idx="261">
                  <c:v>216.16780320000001</c:v>
                </c:pt>
                <c:pt idx="262">
                  <c:v>216.3588498</c:v>
                </c:pt>
                <c:pt idx="263">
                  <c:v>216.42268189999999</c:v>
                </c:pt>
                <c:pt idx="264">
                  <c:v>217.61236479999999</c:v>
                </c:pt>
                <c:pt idx="265">
                  <c:v>218.40840800000001</c:v>
                </c:pt>
                <c:pt idx="266">
                  <c:v>218.5699621</c:v>
                </c:pt>
                <c:pt idx="267">
                  <c:v>219.29172869999999</c:v>
                </c:pt>
                <c:pt idx="268">
                  <c:v>219.540637</c:v>
                </c:pt>
                <c:pt idx="269">
                  <c:v>220.2969205</c:v>
                </c:pt>
                <c:pt idx="270">
                  <c:v>220.75619409999999</c:v>
                </c:pt>
                <c:pt idx="271">
                  <c:v>220.84958599999999</c:v>
                </c:pt>
                <c:pt idx="272">
                  <c:v>221.43421459999999</c:v>
                </c:pt>
                <c:pt idx="273">
                  <c:v>221.64600479999999</c:v>
                </c:pt>
                <c:pt idx="274">
                  <c:v>222.0225762</c:v>
                </c:pt>
                <c:pt idx="275">
                  <c:v>222.2594722</c:v>
                </c:pt>
                <c:pt idx="276">
                  <c:v>222.31359259999999</c:v>
                </c:pt>
                <c:pt idx="277">
                  <c:v>222.33432769999999</c:v>
                </c:pt>
                <c:pt idx="278">
                  <c:v>222.33627000000001</c:v>
                </c:pt>
                <c:pt idx="279">
                  <c:v>222.47143360000001</c:v>
                </c:pt>
                <c:pt idx="280">
                  <c:v>222.53851109999999</c:v>
                </c:pt>
                <c:pt idx="281">
                  <c:v>222.5472987</c:v>
                </c:pt>
                <c:pt idx="282">
                  <c:v>223.02988049999999</c:v>
                </c:pt>
                <c:pt idx="283">
                  <c:v>223.77444439999999</c:v>
                </c:pt>
                <c:pt idx="284">
                  <c:v>223.97478699999999</c:v>
                </c:pt>
                <c:pt idx="285">
                  <c:v>212.62235179999999</c:v>
                </c:pt>
                <c:pt idx="286">
                  <c:v>212.77004249999999</c:v>
                </c:pt>
                <c:pt idx="287">
                  <c:v>212.8745193</c:v>
                </c:pt>
                <c:pt idx="288">
                  <c:v>212.9037017</c:v>
                </c:pt>
                <c:pt idx="289">
                  <c:v>212.3322805</c:v>
                </c:pt>
                <c:pt idx="290">
                  <c:v>212.1308239</c:v>
                </c:pt>
                <c:pt idx="291">
                  <c:v>211.84427059999999</c:v>
                </c:pt>
                <c:pt idx="292">
                  <c:v>212.69824360000001</c:v>
                </c:pt>
                <c:pt idx="293">
                  <c:v>212.98359919999999</c:v>
                </c:pt>
                <c:pt idx="294">
                  <c:v>212.74689799999999</c:v>
                </c:pt>
                <c:pt idx="295">
                  <c:v>212.62965489999999</c:v>
                </c:pt>
                <c:pt idx="296">
                  <c:v>213.0311188</c:v>
                </c:pt>
                <c:pt idx="297">
                  <c:v>213.05192220000001</c:v>
                </c:pt>
                <c:pt idx="298">
                  <c:v>213.01331200000001</c:v>
                </c:pt>
                <c:pt idx="299">
                  <c:v>213.19071289999999</c:v>
                </c:pt>
                <c:pt idx="300">
                  <c:v>213.2661373</c:v>
                </c:pt>
                <c:pt idx="301">
                  <c:v>213.47855029999999</c:v>
                </c:pt>
                <c:pt idx="302">
                  <c:v>213.5268011</c:v>
                </c:pt>
                <c:pt idx="303">
                  <c:v>213.123851</c:v>
                </c:pt>
                <c:pt idx="304">
                  <c:v>212.98040589999999</c:v>
                </c:pt>
                <c:pt idx="305">
                  <c:v>212.91342660000001</c:v>
                </c:pt>
                <c:pt idx="306">
                  <c:v>214.0887176</c:v>
                </c:pt>
                <c:pt idx="307">
                  <c:v>214.46309410000001</c:v>
                </c:pt>
                <c:pt idx="308">
                  <c:v>215.35842310000001</c:v>
                </c:pt>
                <c:pt idx="309">
                  <c:v>215.6488731</c:v>
                </c:pt>
                <c:pt idx="310">
                  <c:v>216.38412489999999</c:v>
                </c:pt>
                <c:pt idx="311">
                  <c:v>216.62443339999999</c:v>
                </c:pt>
                <c:pt idx="312">
                  <c:v>217.35475690000001</c:v>
                </c:pt>
                <c:pt idx="313">
                  <c:v>216.81925200000001</c:v>
                </c:pt>
                <c:pt idx="314">
                  <c:v>216.58407320000001</c:v>
                </c:pt>
                <c:pt idx="315">
                  <c:v>216.72573879999999</c:v>
                </c:pt>
                <c:pt idx="316">
                  <c:v>216.82002750000001</c:v>
                </c:pt>
                <c:pt idx="317">
                  <c:v>217.08398940000001</c:v>
                </c:pt>
                <c:pt idx="318">
                  <c:v>217.14382810000001</c:v>
                </c:pt>
                <c:pt idx="319">
                  <c:v>217.3343423</c:v>
                </c:pt>
                <c:pt idx="320">
                  <c:v>217.39803040000001</c:v>
                </c:pt>
                <c:pt idx="321">
                  <c:v>218.59703999999999</c:v>
                </c:pt>
                <c:pt idx="322">
                  <c:v>219.40008119999999</c:v>
                </c:pt>
                <c:pt idx="323">
                  <c:v>219.56311349999999</c:v>
                </c:pt>
                <c:pt idx="324">
                  <c:v>220.29376859999999</c:v>
                </c:pt>
                <c:pt idx="325">
                  <c:v>220.54579609999999</c:v>
                </c:pt>
                <c:pt idx="326">
                  <c:v>221.3088023</c:v>
                </c:pt>
                <c:pt idx="327">
                  <c:v>221.77070929999999</c:v>
                </c:pt>
                <c:pt idx="328">
                  <c:v>221.86449870000001</c:v>
                </c:pt>
                <c:pt idx="329">
                  <c:v>222.4521862</c:v>
                </c:pt>
                <c:pt idx="330">
                  <c:v>222.66509980000001</c:v>
                </c:pt>
                <c:pt idx="331">
                  <c:v>223.04192979999999</c:v>
                </c:pt>
                <c:pt idx="332">
                  <c:v>223.2800541</c:v>
                </c:pt>
                <c:pt idx="333">
                  <c:v>223.33462119999999</c:v>
                </c:pt>
                <c:pt idx="334">
                  <c:v>223.35393970000001</c:v>
                </c:pt>
                <c:pt idx="335">
                  <c:v>223.35531309999999</c:v>
                </c:pt>
                <c:pt idx="336">
                  <c:v>223.49198509999999</c:v>
                </c:pt>
                <c:pt idx="337">
                  <c:v>223.5607856</c:v>
                </c:pt>
                <c:pt idx="338">
                  <c:v>223.56995330000001</c:v>
                </c:pt>
                <c:pt idx="339">
                  <c:v>224.05600759999999</c:v>
                </c:pt>
                <c:pt idx="340">
                  <c:v>224.80422200000001</c:v>
                </c:pt>
                <c:pt idx="341">
                  <c:v>225.00547330000001</c:v>
                </c:pt>
                <c:pt idx="342">
                  <c:v>189.38169740000001</c:v>
                </c:pt>
                <c:pt idx="343">
                  <c:v>189.46427249999999</c:v>
                </c:pt>
                <c:pt idx="344">
                  <c:v>189.66950489999999</c:v>
                </c:pt>
                <c:pt idx="345">
                  <c:v>189.73720750000001</c:v>
                </c:pt>
                <c:pt idx="346">
                  <c:v>189.70482150000001</c:v>
                </c:pt>
                <c:pt idx="347">
                  <c:v>189.69010119999999</c:v>
                </c:pt>
                <c:pt idx="348">
                  <c:v>189.53124829999999</c:v>
                </c:pt>
                <c:pt idx="349">
                  <c:v>189.42265800000001</c:v>
                </c:pt>
                <c:pt idx="350">
                  <c:v>189.4000734</c:v>
                </c:pt>
                <c:pt idx="351">
                  <c:v>189.48826030000001</c:v>
                </c:pt>
                <c:pt idx="352">
                  <c:v>189.52312760000001</c:v>
                </c:pt>
                <c:pt idx="353">
                  <c:v>190.09900279999999</c:v>
                </c:pt>
                <c:pt idx="354">
                  <c:v>190.3621607</c:v>
                </c:pt>
                <c:pt idx="355">
                  <c:v>190.3958293</c:v>
                </c:pt>
                <c:pt idx="356">
                  <c:v>190.67382409999999</c:v>
                </c:pt>
                <c:pt idx="357">
                  <c:v>190.77632180000001</c:v>
                </c:pt>
                <c:pt idx="358">
                  <c:v>190.9964377</c:v>
                </c:pt>
                <c:pt idx="359">
                  <c:v>191.0411474</c:v>
                </c:pt>
                <c:pt idx="360">
                  <c:v>190.99314369999999</c:v>
                </c:pt>
                <c:pt idx="361">
                  <c:v>190.97410690000001</c:v>
                </c:pt>
                <c:pt idx="362">
                  <c:v>191.3683815</c:v>
                </c:pt>
                <c:pt idx="363">
                  <c:v>191.76258949999999</c:v>
                </c:pt>
                <c:pt idx="364">
                  <c:v>191.85728810000001</c:v>
                </c:pt>
                <c:pt idx="365">
                  <c:v>192.01160039999999</c:v>
                </c:pt>
                <c:pt idx="366">
                  <c:v>192.05848399999999</c:v>
                </c:pt>
                <c:pt idx="367">
                  <c:v>192.26917069999999</c:v>
                </c:pt>
                <c:pt idx="368">
                  <c:v>192.3418571</c:v>
                </c:pt>
                <c:pt idx="369">
                  <c:v>192.72520059999999</c:v>
                </c:pt>
                <c:pt idx="370">
                  <c:v>192.8418131</c:v>
                </c:pt>
                <c:pt idx="371">
                  <c:v>192.84706120000001</c:v>
                </c:pt>
                <c:pt idx="372">
                  <c:v>193.09305520000001</c:v>
                </c:pt>
                <c:pt idx="373">
                  <c:v>193.18784479999999</c:v>
                </c:pt>
                <c:pt idx="374">
                  <c:v>193.91101330000001</c:v>
                </c:pt>
                <c:pt idx="375">
                  <c:v>194.11050169999999</c:v>
                </c:pt>
                <c:pt idx="376">
                  <c:v>194.5092113</c:v>
                </c:pt>
                <c:pt idx="377">
                  <c:v>194.6387853</c:v>
                </c:pt>
                <c:pt idx="378">
                  <c:v>194.94597239999999</c:v>
                </c:pt>
                <c:pt idx="379">
                  <c:v>195.48479589999999</c:v>
                </c:pt>
                <c:pt idx="380">
                  <c:v>195.6376941</c:v>
                </c:pt>
                <c:pt idx="381">
                  <c:v>195.82232870000001</c:v>
                </c:pt>
                <c:pt idx="382">
                  <c:v>195.8742575</c:v>
                </c:pt>
                <c:pt idx="383">
                  <c:v>196.5458309</c:v>
                </c:pt>
                <c:pt idx="384">
                  <c:v>196.8728921</c:v>
                </c:pt>
                <c:pt idx="385">
                  <c:v>196.91950560000001</c:v>
                </c:pt>
                <c:pt idx="386">
                  <c:v>196.9565303</c:v>
                </c:pt>
                <c:pt idx="387">
                  <c:v>196.96315989999999</c:v>
                </c:pt>
                <c:pt idx="388">
                  <c:v>197.5971285</c:v>
                </c:pt>
                <c:pt idx="389">
                  <c:v>197.60635339999999</c:v>
                </c:pt>
                <c:pt idx="390">
                  <c:v>197.5481609</c:v>
                </c:pt>
                <c:pt idx="391">
                  <c:v>197.6218954</c:v>
                </c:pt>
                <c:pt idx="392">
                  <c:v>197.6551863</c:v>
                </c:pt>
                <c:pt idx="393">
                  <c:v>197.83221950000001</c:v>
                </c:pt>
                <c:pt idx="394">
                  <c:v>198.02938929999999</c:v>
                </c:pt>
                <c:pt idx="395">
                  <c:v>198.0795651</c:v>
                </c:pt>
                <c:pt idx="396">
                  <c:v>198.0950484</c:v>
                </c:pt>
                <c:pt idx="397">
                  <c:v>198.8221322</c:v>
                </c:pt>
                <c:pt idx="398">
                  <c:v>199.0539368</c:v>
                </c:pt>
                <c:pt idx="399">
                  <c:v>214.47145119999999</c:v>
                </c:pt>
                <c:pt idx="400">
                  <c:v>214.62141890000001</c:v>
                </c:pt>
                <c:pt idx="401">
                  <c:v>214.7216592</c:v>
                </c:pt>
                <c:pt idx="402">
                  <c:v>214.74924490000001</c:v>
                </c:pt>
                <c:pt idx="403">
                  <c:v>214.16421800000001</c:v>
                </c:pt>
                <c:pt idx="404">
                  <c:v>213.95807930000001</c:v>
                </c:pt>
                <c:pt idx="405">
                  <c:v>213.6670857</c:v>
                </c:pt>
                <c:pt idx="406">
                  <c:v>214.5422806</c:v>
                </c:pt>
                <c:pt idx="407">
                  <c:v>214.834529</c:v>
                </c:pt>
                <c:pt idx="408">
                  <c:v>214.59281189999999</c:v>
                </c:pt>
                <c:pt idx="409">
                  <c:v>214.47299520000001</c:v>
                </c:pt>
                <c:pt idx="410">
                  <c:v>214.8807793</c:v>
                </c:pt>
                <c:pt idx="411">
                  <c:v>214.894576</c:v>
                </c:pt>
                <c:pt idx="412">
                  <c:v>214.8528728</c:v>
                </c:pt>
                <c:pt idx="413">
                  <c:v>215.0310029</c:v>
                </c:pt>
                <c:pt idx="414">
                  <c:v>215.10722620000001</c:v>
                </c:pt>
                <c:pt idx="415">
                  <c:v>215.32300000000001</c:v>
                </c:pt>
                <c:pt idx="416">
                  <c:v>215.37209999999999</c:v>
                </c:pt>
                <c:pt idx="417">
                  <c:v>214.96163809999999</c:v>
                </c:pt>
                <c:pt idx="418">
                  <c:v>214.81552139999999</c:v>
                </c:pt>
                <c:pt idx="419">
                  <c:v>214.74155210000001</c:v>
                </c:pt>
                <c:pt idx="420">
                  <c:v>215.9327797</c:v>
                </c:pt>
                <c:pt idx="421">
                  <c:v>216.3126733</c:v>
                </c:pt>
                <c:pt idx="422">
                  <c:v>217.21854540000001</c:v>
                </c:pt>
                <c:pt idx="423">
                  <c:v>217.51229900000001</c:v>
                </c:pt>
                <c:pt idx="424">
                  <c:v>218.25862810000001</c:v>
                </c:pt>
                <c:pt idx="425">
                  <c:v>218.50266999999999</c:v>
                </c:pt>
                <c:pt idx="426">
                  <c:v>219.2435524</c:v>
                </c:pt>
                <c:pt idx="427">
                  <c:v>218.69210509999999</c:v>
                </c:pt>
                <c:pt idx="428">
                  <c:v>218.45081149999999</c:v>
                </c:pt>
                <c:pt idx="429">
                  <c:v>218.5937514</c:v>
                </c:pt>
                <c:pt idx="430">
                  <c:v>218.6895548</c:v>
                </c:pt>
                <c:pt idx="431">
                  <c:v>218.94929909999999</c:v>
                </c:pt>
                <c:pt idx="432">
                  <c:v>219.00752489999999</c:v>
                </c:pt>
                <c:pt idx="433">
                  <c:v>219.1970226</c:v>
                </c:pt>
                <c:pt idx="434">
                  <c:v>219.2604355</c:v>
                </c:pt>
                <c:pt idx="435">
                  <c:v>220.4772543</c:v>
                </c:pt>
                <c:pt idx="436">
                  <c:v>221.29365809999999</c:v>
                </c:pt>
                <c:pt idx="437">
                  <c:v>221.45951289999999</c:v>
                </c:pt>
                <c:pt idx="438">
                  <c:v>222.20714050000001</c:v>
                </c:pt>
                <c:pt idx="439">
                  <c:v>222.46512379999999</c:v>
                </c:pt>
                <c:pt idx="440">
                  <c:v>223.2409668</c:v>
                </c:pt>
                <c:pt idx="441">
                  <c:v>223.7079023</c:v>
                </c:pt>
                <c:pt idx="442">
                  <c:v>223.80245070000001</c:v>
                </c:pt>
                <c:pt idx="443">
                  <c:v>224.39597929999999</c:v>
                </c:pt>
                <c:pt idx="444">
                  <c:v>224.61103790000001</c:v>
                </c:pt>
                <c:pt idx="445">
                  <c:v>224.98836180000001</c:v>
                </c:pt>
                <c:pt idx="446">
                  <c:v>225.22883139999999</c:v>
                </c:pt>
                <c:pt idx="447">
                  <c:v>225.28425139999999</c:v>
                </c:pt>
                <c:pt idx="448">
                  <c:v>225.30086499999999</c:v>
                </c:pt>
                <c:pt idx="449">
                  <c:v>225.3011521</c:v>
                </c:pt>
                <c:pt idx="450">
                  <c:v>225.44070429999999</c:v>
                </c:pt>
                <c:pt idx="451">
                  <c:v>225.51279489999999</c:v>
                </c:pt>
                <c:pt idx="452">
                  <c:v>225.52268849999999</c:v>
                </c:pt>
                <c:pt idx="453">
                  <c:v>226.01537329999999</c:v>
                </c:pt>
                <c:pt idx="454">
                  <c:v>226.77055809999999</c:v>
                </c:pt>
                <c:pt idx="455">
                  <c:v>226.97354480000001</c:v>
                </c:pt>
                <c:pt idx="456">
                  <c:v>214.6554591</c:v>
                </c:pt>
                <c:pt idx="457">
                  <c:v>214.80565340000001</c:v>
                </c:pt>
                <c:pt idx="458">
                  <c:v>214.9054721</c:v>
                </c:pt>
                <c:pt idx="459">
                  <c:v>214.93289899999999</c:v>
                </c:pt>
                <c:pt idx="460">
                  <c:v>214.3465181</c:v>
                </c:pt>
                <c:pt idx="461">
                  <c:v>214.13991350000001</c:v>
                </c:pt>
                <c:pt idx="462">
                  <c:v>213.848478</c:v>
                </c:pt>
                <c:pt idx="463">
                  <c:v>214.72578480000001</c:v>
                </c:pt>
                <c:pt idx="464">
                  <c:v>215.0187191</c:v>
                </c:pt>
                <c:pt idx="465">
                  <c:v>214.7765028</c:v>
                </c:pt>
                <c:pt idx="466">
                  <c:v>214.65643009999999</c:v>
                </c:pt>
                <c:pt idx="467">
                  <c:v>215.064843</c:v>
                </c:pt>
                <c:pt idx="468">
                  <c:v>215.0779426</c:v>
                </c:pt>
                <c:pt idx="469">
                  <c:v>215.0359315</c:v>
                </c:pt>
                <c:pt idx="470">
                  <c:v>215.2141341</c:v>
                </c:pt>
                <c:pt idx="471">
                  <c:v>215.290437</c:v>
                </c:pt>
                <c:pt idx="472">
                  <c:v>215.50654520000001</c:v>
                </c:pt>
                <c:pt idx="473">
                  <c:v>215.5557297</c:v>
                </c:pt>
                <c:pt idx="474">
                  <c:v>215.14452030000001</c:v>
                </c:pt>
                <c:pt idx="475">
                  <c:v>214.99813779999999</c:v>
                </c:pt>
                <c:pt idx="476">
                  <c:v>214.92347290000001</c:v>
                </c:pt>
                <c:pt idx="477">
                  <c:v>216.11628640000001</c:v>
                </c:pt>
                <c:pt idx="478">
                  <c:v>216.49672899999999</c:v>
                </c:pt>
                <c:pt idx="479">
                  <c:v>217.40365030000001</c:v>
                </c:pt>
                <c:pt idx="480">
                  <c:v>217.69773259999999</c:v>
                </c:pt>
                <c:pt idx="481">
                  <c:v>218.44516400000001</c:v>
                </c:pt>
                <c:pt idx="482">
                  <c:v>218.68957750000001</c:v>
                </c:pt>
                <c:pt idx="483">
                  <c:v>219.4315106</c:v>
                </c:pt>
                <c:pt idx="484">
                  <c:v>218.87847679999999</c:v>
                </c:pt>
                <c:pt idx="485">
                  <c:v>218.63657470000001</c:v>
                </c:pt>
                <c:pt idx="486">
                  <c:v>218.7796415</c:v>
                </c:pt>
                <c:pt idx="487">
                  <c:v>218.8755955</c:v>
                </c:pt>
                <c:pt idx="488">
                  <c:v>219.13492009999999</c:v>
                </c:pt>
                <c:pt idx="489">
                  <c:v>219.1929854</c:v>
                </c:pt>
                <c:pt idx="490">
                  <c:v>219.38238200000001</c:v>
                </c:pt>
                <c:pt idx="491">
                  <c:v>219.44576749999999</c:v>
                </c:pt>
                <c:pt idx="492">
                  <c:v>220.66435849999999</c:v>
                </c:pt>
                <c:pt idx="493">
                  <c:v>221.48209209999999</c:v>
                </c:pt>
                <c:pt idx="494">
                  <c:v>221.6482278</c:v>
                </c:pt>
                <c:pt idx="495">
                  <c:v>222.39754429999999</c:v>
                </c:pt>
                <c:pt idx="496">
                  <c:v>222.6561203</c:v>
                </c:pt>
                <c:pt idx="497">
                  <c:v>223.43324079999999</c:v>
                </c:pt>
                <c:pt idx="498">
                  <c:v>223.9006766</c:v>
                </c:pt>
                <c:pt idx="499">
                  <c:v>223.99530060000001</c:v>
                </c:pt>
                <c:pt idx="500">
                  <c:v>224.58941039999999</c:v>
                </c:pt>
                <c:pt idx="501">
                  <c:v>224.80468250000001</c:v>
                </c:pt>
                <c:pt idx="502">
                  <c:v>225.18205549999999</c:v>
                </c:pt>
                <c:pt idx="503">
                  <c:v>225.42275849999999</c:v>
                </c:pt>
                <c:pt idx="504">
                  <c:v>225.4782634</c:v>
                </c:pt>
                <c:pt idx="505">
                  <c:v>225.49460780000001</c:v>
                </c:pt>
                <c:pt idx="506">
                  <c:v>225.49478680000001</c:v>
                </c:pt>
                <c:pt idx="507">
                  <c:v>225.63462559999999</c:v>
                </c:pt>
                <c:pt idx="508">
                  <c:v>225.70704370000001</c:v>
                </c:pt>
                <c:pt idx="509">
                  <c:v>225.71700939999999</c:v>
                </c:pt>
                <c:pt idx="510">
                  <c:v>226.21035409999999</c:v>
                </c:pt>
                <c:pt idx="511">
                  <c:v>226.96623249999999</c:v>
                </c:pt>
                <c:pt idx="512">
                  <c:v>227.16939189999999</c:v>
                </c:pt>
                <c:pt idx="513">
                  <c:v>126.4420645</c:v>
                </c:pt>
                <c:pt idx="514">
                  <c:v>126.49625810000001</c:v>
                </c:pt>
                <c:pt idx="515">
                  <c:v>126.5782857</c:v>
                </c:pt>
                <c:pt idx="516">
                  <c:v>126.60428570000001</c:v>
                </c:pt>
                <c:pt idx="517">
                  <c:v>126.6034839</c:v>
                </c:pt>
                <c:pt idx="518">
                  <c:v>126.6019032</c:v>
                </c:pt>
                <c:pt idx="519">
                  <c:v>126.2898</c:v>
                </c:pt>
                <c:pt idx="520">
                  <c:v>126.1360645</c:v>
                </c:pt>
                <c:pt idx="521">
                  <c:v>126.1119032</c:v>
                </c:pt>
                <c:pt idx="522">
                  <c:v>126.1392</c:v>
                </c:pt>
                <c:pt idx="523">
                  <c:v>126.15179999999999</c:v>
                </c:pt>
                <c:pt idx="524">
                  <c:v>126.0854516</c:v>
                </c:pt>
                <c:pt idx="525">
                  <c:v>126.1019355</c:v>
                </c:pt>
                <c:pt idx="526">
                  <c:v>126.1145806</c:v>
                </c:pt>
                <c:pt idx="527">
                  <c:v>126.2346</c:v>
                </c:pt>
                <c:pt idx="528">
                  <c:v>126.2791667</c:v>
                </c:pt>
                <c:pt idx="529">
                  <c:v>126.4912903</c:v>
                </c:pt>
                <c:pt idx="530">
                  <c:v>126.54616129999999</c:v>
                </c:pt>
                <c:pt idx="531">
                  <c:v>126.7313333</c:v>
                </c:pt>
                <c:pt idx="532">
                  <c:v>126.79340000000001</c:v>
                </c:pt>
                <c:pt idx="533">
                  <c:v>127.1917742</c:v>
                </c:pt>
                <c:pt idx="534">
                  <c:v>127.7195806</c:v>
                </c:pt>
                <c:pt idx="535">
                  <c:v>127.859129</c:v>
                </c:pt>
                <c:pt idx="536">
                  <c:v>128.26474999999999</c:v>
                </c:pt>
                <c:pt idx="537">
                  <c:v>128.39949999999999</c:v>
                </c:pt>
                <c:pt idx="538">
                  <c:v>128.71993549999999</c:v>
                </c:pt>
                <c:pt idx="539">
                  <c:v>128.82380649999999</c:v>
                </c:pt>
                <c:pt idx="540">
                  <c:v>129.04443330000001</c:v>
                </c:pt>
                <c:pt idx="541">
                  <c:v>129.04903229999999</c:v>
                </c:pt>
                <c:pt idx="542">
                  <c:v>129.03570970000001</c:v>
                </c:pt>
                <c:pt idx="543">
                  <c:v>129.08940000000001</c:v>
                </c:pt>
                <c:pt idx="544">
                  <c:v>129.11250000000001</c:v>
                </c:pt>
                <c:pt idx="545">
                  <c:v>129.18464520000001</c:v>
                </c:pt>
                <c:pt idx="546">
                  <c:v>129.2015806</c:v>
                </c:pt>
                <c:pt idx="547">
                  <c:v>129.32593550000001</c:v>
                </c:pt>
                <c:pt idx="548">
                  <c:v>129.36861289999999</c:v>
                </c:pt>
                <c:pt idx="549">
                  <c:v>129.69380000000001</c:v>
                </c:pt>
                <c:pt idx="550">
                  <c:v>129.8051935</c:v>
                </c:pt>
                <c:pt idx="551">
                  <c:v>129.81670969999999</c:v>
                </c:pt>
                <c:pt idx="552">
                  <c:v>129.84596669999999</c:v>
                </c:pt>
                <c:pt idx="553">
                  <c:v>129.85553329999999</c:v>
                </c:pt>
                <c:pt idx="554">
                  <c:v>130.15751610000001</c:v>
                </c:pt>
                <c:pt idx="555">
                  <c:v>130.34967739999999</c:v>
                </c:pt>
                <c:pt idx="556">
                  <c:v>130.3849032</c:v>
                </c:pt>
                <c:pt idx="557">
                  <c:v>130.64579309999999</c:v>
                </c:pt>
                <c:pt idx="558">
                  <c:v>130.74137930000001</c:v>
                </c:pt>
                <c:pt idx="559">
                  <c:v>131.03754839999999</c:v>
                </c:pt>
                <c:pt idx="560">
                  <c:v>131.136</c:v>
                </c:pt>
                <c:pt idx="561">
                  <c:v>131.1453333</c:v>
                </c:pt>
                <c:pt idx="562">
                  <c:v>130.95922580000001</c:v>
                </c:pt>
                <c:pt idx="563">
                  <c:v>130.88967740000001</c:v>
                </c:pt>
                <c:pt idx="564">
                  <c:v>130.7196333</c:v>
                </c:pt>
                <c:pt idx="565">
                  <c:v>130.73787100000001</c:v>
                </c:pt>
                <c:pt idx="566">
                  <c:v>130.7561613</c:v>
                </c:pt>
                <c:pt idx="567">
                  <c:v>130.9325484</c:v>
                </c:pt>
                <c:pt idx="568">
                  <c:v>131.0756667</c:v>
                </c:pt>
                <c:pt idx="569">
                  <c:v>131.1083333</c:v>
                </c:pt>
                <c:pt idx="570">
                  <c:v>214.42488119999999</c:v>
                </c:pt>
                <c:pt idx="571">
                  <c:v>214.5747916</c:v>
                </c:pt>
                <c:pt idx="572">
                  <c:v>214.6751386</c:v>
                </c:pt>
                <c:pt idx="573">
                  <c:v>214.70276459999999</c:v>
                </c:pt>
                <c:pt idx="574">
                  <c:v>214.1180803</c:v>
                </c:pt>
                <c:pt idx="575">
                  <c:v>213.9120595</c:v>
                </c:pt>
                <c:pt idx="576">
                  <c:v>213.6211778</c:v>
                </c:pt>
                <c:pt idx="577">
                  <c:v>214.49583820000001</c:v>
                </c:pt>
                <c:pt idx="578">
                  <c:v>214.787913</c:v>
                </c:pt>
                <c:pt idx="579">
                  <c:v>214.54632219999999</c:v>
                </c:pt>
                <c:pt idx="580">
                  <c:v>214.4265704</c:v>
                </c:pt>
                <c:pt idx="581">
                  <c:v>214.83419520000001</c:v>
                </c:pt>
                <c:pt idx="582">
                  <c:v>214.84816850000001</c:v>
                </c:pt>
                <c:pt idx="583">
                  <c:v>214.8065431</c:v>
                </c:pt>
                <c:pt idx="584">
                  <c:v>214.98465479999999</c:v>
                </c:pt>
                <c:pt idx="585">
                  <c:v>215.060858</c:v>
                </c:pt>
                <c:pt idx="586">
                  <c:v>215.27654720000001</c:v>
                </c:pt>
                <c:pt idx="587">
                  <c:v>215.32562580000001</c:v>
                </c:pt>
                <c:pt idx="588">
                  <c:v>214.9153531</c:v>
                </c:pt>
                <c:pt idx="589">
                  <c:v>214.76930369999999</c:v>
                </c:pt>
                <c:pt idx="590">
                  <c:v>214.69551039999999</c:v>
                </c:pt>
                <c:pt idx="591">
                  <c:v>215.88633669999999</c:v>
                </c:pt>
                <c:pt idx="592">
                  <c:v>216.2660913</c:v>
                </c:pt>
                <c:pt idx="593">
                  <c:v>217.1716979</c:v>
                </c:pt>
                <c:pt idx="594">
                  <c:v>217.46536829999999</c:v>
                </c:pt>
                <c:pt idx="595">
                  <c:v>218.21141840000001</c:v>
                </c:pt>
                <c:pt idx="596">
                  <c:v>218.45536630000001</c:v>
                </c:pt>
                <c:pt idx="597">
                  <c:v>219.1959827</c:v>
                </c:pt>
                <c:pt idx="598">
                  <c:v>218.6449369</c:v>
                </c:pt>
                <c:pt idx="599">
                  <c:v>218.4037974</c:v>
                </c:pt>
                <c:pt idx="600">
                  <c:v>218.54670519999999</c:v>
                </c:pt>
                <c:pt idx="601">
                  <c:v>218.64247040000001</c:v>
                </c:pt>
                <c:pt idx="602">
                  <c:v>218.90232090000001</c:v>
                </c:pt>
                <c:pt idx="603">
                  <c:v>218.96058729999999</c:v>
                </c:pt>
                <c:pt idx="604">
                  <c:v>219.1501106</c:v>
                </c:pt>
                <c:pt idx="605">
                  <c:v>219.21353049999999</c:v>
                </c:pt>
                <c:pt idx="606">
                  <c:v>220.42990069999999</c:v>
                </c:pt>
                <c:pt idx="607">
                  <c:v>221.245968</c:v>
                </c:pt>
                <c:pt idx="608">
                  <c:v>221.4117517</c:v>
                </c:pt>
                <c:pt idx="609">
                  <c:v>222.15895190000001</c:v>
                </c:pt>
                <c:pt idx="610">
                  <c:v>222.41678519999999</c:v>
                </c:pt>
                <c:pt idx="611">
                  <c:v>223.19230490000001</c:v>
                </c:pt>
                <c:pt idx="612">
                  <c:v>223.65911370000001</c:v>
                </c:pt>
                <c:pt idx="613">
                  <c:v>223.75364300000001</c:v>
                </c:pt>
                <c:pt idx="614">
                  <c:v>224.3470245</c:v>
                </c:pt>
                <c:pt idx="615">
                  <c:v>224.56202909999999</c:v>
                </c:pt>
                <c:pt idx="616">
                  <c:v>224.93934049999999</c:v>
                </c:pt>
                <c:pt idx="617">
                  <c:v>225.1797511</c:v>
                </c:pt>
                <c:pt idx="618">
                  <c:v>225.2351496</c:v>
                </c:pt>
                <c:pt idx="619">
                  <c:v>225.25183129999999</c:v>
                </c:pt>
                <c:pt idx="620">
                  <c:v>225.25214579999999</c:v>
                </c:pt>
                <c:pt idx="621">
                  <c:v>225.39162540000001</c:v>
                </c:pt>
                <c:pt idx="622">
                  <c:v>225.4636332</c:v>
                </c:pt>
                <c:pt idx="623">
                  <c:v>225.47350850000001</c:v>
                </c:pt>
                <c:pt idx="624">
                  <c:v>225.96602630000001</c:v>
                </c:pt>
                <c:pt idx="625">
                  <c:v>226.72103559999999</c:v>
                </c:pt>
                <c:pt idx="626">
                  <c:v>226.9239785</c:v>
                </c:pt>
                <c:pt idx="627">
                  <c:v>126.4420645</c:v>
                </c:pt>
                <c:pt idx="628">
                  <c:v>126.49625810000001</c:v>
                </c:pt>
                <c:pt idx="629">
                  <c:v>126.5782857</c:v>
                </c:pt>
                <c:pt idx="630">
                  <c:v>126.60428570000001</c:v>
                </c:pt>
                <c:pt idx="631">
                  <c:v>126.6034839</c:v>
                </c:pt>
                <c:pt idx="632">
                  <c:v>126.6019032</c:v>
                </c:pt>
                <c:pt idx="633">
                  <c:v>126.2898</c:v>
                </c:pt>
                <c:pt idx="634">
                  <c:v>126.1360645</c:v>
                </c:pt>
                <c:pt idx="635">
                  <c:v>126.1119032</c:v>
                </c:pt>
                <c:pt idx="636">
                  <c:v>126.1392</c:v>
                </c:pt>
                <c:pt idx="637">
                  <c:v>126.15179999999999</c:v>
                </c:pt>
                <c:pt idx="638">
                  <c:v>126.0854516</c:v>
                </c:pt>
                <c:pt idx="639">
                  <c:v>126.1019355</c:v>
                </c:pt>
                <c:pt idx="640">
                  <c:v>126.1145806</c:v>
                </c:pt>
                <c:pt idx="641">
                  <c:v>126.2346</c:v>
                </c:pt>
                <c:pt idx="642">
                  <c:v>126.2791667</c:v>
                </c:pt>
                <c:pt idx="643">
                  <c:v>126.4912903</c:v>
                </c:pt>
                <c:pt idx="644">
                  <c:v>126.54616129999999</c:v>
                </c:pt>
                <c:pt idx="645">
                  <c:v>126.7313333</c:v>
                </c:pt>
                <c:pt idx="646">
                  <c:v>126.79340000000001</c:v>
                </c:pt>
                <c:pt idx="647">
                  <c:v>127.1917742</c:v>
                </c:pt>
                <c:pt idx="648">
                  <c:v>127.7195806</c:v>
                </c:pt>
                <c:pt idx="649">
                  <c:v>127.859129</c:v>
                </c:pt>
                <c:pt idx="650">
                  <c:v>128.26474999999999</c:v>
                </c:pt>
                <c:pt idx="651">
                  <c:v>128.39949999999999</c:v>
                </c:pt>
                <c:pt idx="652">
                  <c:v>128.71993549999999</c:v>
                </c:pt>
                <c:pt idx="653">
                  <c:v>128.82380649999999</c:v>
                </c:pt>
                <c:pt idx="654">
                  <c:v>129.04443330000001</c:v>
                </c:pt>
                <c:pt idx="655">
                  <c:v>129.04903229999999</c:v>
                </c:pt>
                <c:pt idx="656">
                  <c:v>129.03570970000001</c:v>
                </c:pt>
                <c:pt idx="657">
                  <c:v>129.08940000000001</c:v>
                </c:pt>
                <c:pt idx="658">
                  <c:v>129.11250000000001</c:v>
                </c:pt>
                <c:pt idx="659">
                  <c:v>129.18464520000001</c:v>
                </c:pt>
                <c:pt idx="660">
                  <c:v>129.2015806</c:v>
                </c:pt>
                <c:pt idx="661">
                  <c:v>129.32593550000001</c:v>
                </c:pt>
                <c:pt idx="662">
                  <c:v>129.36861289999999</c:v>
                </c:pt>
                <c:pt idx="663">
                  <c:v>129.69380000000001</c:v>
                </c:pt>
                <c:pt idx="664">
                  <c:v>129.8051935</c:v>
                </c:pt>
                <c:pt idx="665">
                  <c:v>129.81670969999999</c:v>
                </c:pt>
                <c:pt idx="666">
                  <c:v>129.84596669999999</c:v>
                </c:pt>
                <c:pt idx="667">
                  <c:v>129.85553329999999</c:v>
                </c:pt>
                <c:pt idx="668">
                  <c:v>130.15751610000001</c:v>
                </c:pt>
                <c:pt idx="669">
                  <c:v>130.34967739999999</c:v>
                </c:pt>
                <c:pt idx="670">
                  <c:v>130.3849032</c:v>
                </c:pt>
                <c:pt idx="671">
                  <c:v>130.64579309999999</c:v>
                </c:pt>
                <c:pt idx="672">
                  <c:v>130.74137930000001</c:v>
                </c:pt>
                <c:pt idx="673">
                  <c:v>131.03754839999999</c:v>
                </c:pt>
                <c:pt idx="674">
                  <c:v>131.136</c:v>
                </c:pt>
                <c:pt idx="675">
                  <c:v>131.1453333</c:v>
                </c:pt>
                <c:pt idx="676">
                  <c:v>130.95922580000001</c:v>
                </c:pt>
                <c:pt idx="677">
                  <c:v>130.88967740000001</c:v>
                </c:pt>
                <c:pt idx="678">
                  <c:v>130.7196333</c:v>
                </c:pt>
                <c:pt idx="679">
                  <c:v>130.73787100000001</c:v>
                </c:pt>
                <c:pt idx="680">
                  <c:v>130.7561613</c:v>
                </c:pt>
                <c:pt idx="681">
                  <c:v>130.9325484</c:v>
                </c:pt>
                <c:pt idx="682">
                  <c:v>131.0756667</c:v>
                </c:pt>
                <c:pt idx="683">
                  <c:v>131.1083333</c:v>
                </c:pt>
                <c:pt idx="684">
                  <c:v>126.4420645</c:v>
                </c:pt>
                <c:pt idx="685">
                  <c:v>126.49625810000001</c:v>
                </c:pt>
                <c:pt idx="686">
                  <c:v>126.5782857</c:v>
                </c:pt>
                <c:pt idx="687">
                  <c:v>126.60428570000001</c:v>
                </c:pt>
                <c:pt idx="688">
                  <c:v>126.6034839</c:v>
                </c:pt>
                <c:pt idx="689">
                  <c:v>126.6019032</c:v>
                </c:pt>
                <c:pt idx="690">
                  <c:v>126.2898</c:v>
                </c:pt>
                <c:pt idx="691">
                  <c:v>126.1360645</c:v>
                </c:pt>
                <c:pt idx="692">
                  <c:v>126.1119032</c:v>
                </c:pt>
                <c:pt idx="693">
                  <c:v>126.1392</c:v>
                </c:pt>
                <c:pt idx="694">
                  <c:v>126.15179999999999</c:v>
                </c:pt>
                <c:pt idx="695">
                  <c:v>126.0854516</c:v>
                </c:pt>
                <c:pt idx="696">
                  <c:v>126.1019355</c:v>
                </c:pt>
                <c:pt idx="697">
                  <c:v>126.1145806</c:v>
                </c:pt>
                <c:pt idx="698">
                  <c:v>126.2346</c:v>
                </c:pt>
                <c:pt idx="699">
                  <c:v>126.2791667</c:v>
                </c:pt>
                <c:pt idx="700">
                  <c:v>126.4912903</c:v>
                </c:pt>
                <c:pt idx="701">
                  <c:v>126.54616129999999</c:v>
                </c:pt>
                <c:pt idx="702">
                  <c:v>126.7313333</c:v>
                </c:pt>
                <c:pt idx="703">
                  <c:v>126.79340000000001</c:v>
                </c:pt>
                <c:pt idx="704">
                  <c:v>127.1917742</c:v>
                </c:pt>
                <c:pt idx="705">
                  <c:v>127.7195806</c:v>
                </c:pt>
                <c:pt idx="706">
                  <c:v>127.859129</c:v>
                </c:pt>
                <c:pt idx="707">
                  <c:v>128.26474999999999</c:v>
                </c:pt>
                <c:pt idx="708">
                  <c:v>128.39949999999999</c:v>
                </c:pt>
                <c:pt idx="709">
                  <c:v>128.71993549999999</c:v>
                </c:pt>
                <c:pt idx="710">
                  <c:v>128.82380649999999</c:v>
                </c:pt>
                <c:pt idx="711">
                  <c:v>129.04443330000001</c:v>
                </c:pt>
                <c:pt idx="712">
                  <c:v>129.04903229999999</c:v>
                </c:pt>
                <c:pt idx="713">
                  <c:v>129.03570970000001</c:v>
                </c:pt>
                <c:pt idx="714">
                  <c:v>129.08940000000001</c:v>
                </c:pt>
                <c:pt idx="715">
                  <c:v>129.11250000000001</c:v>
                </c:pt>
                <c:pt idx="716">
                  <c:v>129.18464520000001</c:v>
                </c:pt>
                <c:pt idx="717">
                  <c:v>129.2015806</c:v>
                </c:pt>
                <c:pt idx="718">
                  <c:v>129.32593550000001</c:v>
                </c:pt>
                <c:pt idx="719">
                  <c:v>129.36861289999999</c:v>
                </c:pt>
                <c:pt idx="720">
                  <c:v>129.69380000000001</c:v>
                </c:pt>
                <c:pt idx="721">
                  <c:v>129.8051935</c:v>
                </c:pt>
                <c:pt idx="722">
                  <c:v>129.81670969999999</c:v>
                </c:pt>
                <c:pt idx="723">
                  <c:v>129.84596669999999</c:v>
                </c:pt>
                <c:pt idx="724">
                  <c:v>129.85553329999999</c:v>
                </c:pt>
                <c:pt idx="725">
                  <c:v>130.15751610000001</c:v>
                </c:pt>
                <c:pt idx="726">
                  <c:v>130.34967739999999</c:v>
                </c:pt>
                <c:pt idx="727">
                  <c:v>130.3849032</c:v>
                </c:pt>
                <c:pt idx="728">
                  <c:v>130.64579309999999</c:v>
                </c:pt>
                <c:pt idx="729">
                  <c:v>130.74137930000001</c:v>
                </c:pt>
                <c:pt idx="730">
                  <c:v>131.03754839999999</c:v>
                </c:pt>
                <c:pt idx="731">
                  <c:v>131.136</c:v>
                </c:pt>
                <c:pt idx="732">
                  <c:v>131.1453333</c:v>
                </c:pt>
                <c:pt idx="733">
                  <c:v>130.95922580000001</c:v>
                </c:pt>
                <c:pt idx="734">
                  <c:v>130.88967740000001</c:v>
                </c:pt>
                <c:pt idx="735">
                  <c:v>130.7196333</c:v>
                </c:pt>
                <c:pt idx="736">
                  <c:v>130.73787100000001</c:v>
                </c:pt>
                <c:pt idx="737">
                  <c:v>130.7561613</c:v>
                </c:pt>
                <c:pt idx="738">
                  <c:v>130.9325484</c:v>
                </c:pt>
                <c:pt idx="739">
                  <c:v>131.0756667</c:v>
                </c:pt>
                <c:pt idx="740">
                  <c:v>131.1083333</c:v>
                </c:pt>
                <c:pt idx="741">
                  <c:v>181.8711898</c:v>
                </c:pt>
                <c:pt idx="742">
                  <c:v>181.98231699999999</c:v>
                </c:pt>
                <c:pt idx="743">
                  <c:v>182.1201566</c:v>
                </c:pt>
                <c:pt idx="744">
                  <c:v>182.1628441</c:v>
                </c:pt>
                <c:pt idx="745">
                  <c:v>181.8657537</c:v>
                </c:pt>
                <c:pt idx="746">
                  <c:v>181.75963770000001</c:v>
                </c:pt>
                <c:pt idx="747">
                  <c:v>181.64681540000001</c:v>
                </c:pt>
                <c:pt idx="748">
                  <c:v>182.2389876</c:v>
                </c:pt>
                <c:pt idx="749">
                  <c:v>182.43155709999999</c:v>
                </c:pt>
                <c:pt idx="750">
                  <c:v>182.3187801</c:v>
                </c:pt>
                <c:pt idx="751">
                  <c:v>182.2569603</c:v>
                </c:pt>
                <c:pt idx="752">
                  <c:v>182.53208620000001</c:v>
                </c:pt>
                <c:pt idx="753">
                  <c:v>182.6042922</c:v>
                </c:pt>
                <c:pt idx="754">
                  <c:v>182.59817799999999</c:v>
                </c:pt>
                <c:pt idx="755">
                  <c:v>182.71683849999999</c:v>
                </c:pt>
                <c:pt idx="756">
                  <c:v>182.76400319999999</c:v>
                </c:pt>
                <c:pt idx="757">
                  <c:v>182.9463648</c:v>
                </c:pt>
                <c:pt idx="758">
                  <c:v>182.99161290000001</c:v>
                </c:pt>
                <c:pt idx="759">
                  <c:v>182.66761539999999</c:v>
                </c:pt>
                <c:pt idx="760">
                  <c:v>182.55195380000001</c:v>
                </c:pt>
                <c:pt idx="761">
                  <c:v>182.59830579999999</c:v>
                </c:pt>
                <c:pt idx="762">
                  <c:v>183.44085419999999</c:v>
                </c:pt>
                <c:pt idx="763">
                  <c:v>183.70161289999999</c:v>
                </c:pt>
                <c:pt idx="764">
                  <c:v>184.38799109999999</c:v>
                </c:pt>
                <c:pt idx="765">
                  <c:v>184.61341899999999</c:v>
                </c:pt>
                <c:pt idx="766">
                  <c:v>185.17901670000001</c:v>
                </c:pt>
                <c:pt idx="767">
                  <c:v>185.36366559999999</c:v>
                </c:pt>
                <c:pt idx="768">
                  <c:v>185.9374378</c:v>
                </c:pt>
                <c:pt idx="769">
                  <c:v>185.75450000000001</c:v>
                </c:pt>
                <c:pt idx="770">
                  <c:v>185.64869229999999</c:v>
                </c:pt>
                <c:pt idx="771">
                  <c:v>185.91198850000001</c:v>
                </c:pt>
                <c:pt idx="772">
                  <c:v>186.032016</c:v>
                </c:pt>
                <c:pt idx="773">
                  <c:v>186.37340380000001</c:v>
                </c:pt>
                <c:pt idx="774">
                  <c:v>186.4512115</c:v>
                </c:pt>
                <c:pt idx="775">
                  <c:v>186.61892739999999</c:v>
                </c:pt>
                <c:pt idx="776">
                  <c:v>186.67373760000001</c:v>
                </c:pt>
                <c:pt idx="777">
                  <c:v>187.4837962</c:v>
                </c:pt>
                <c:pt idx="778">
                  <c:v>187.9703629</c:v>
                </c:pt>
                <c:pt idx="779">
                  <c:v>188.06323449999999</c:v>
                </c:pt>
                <c:pt idx="780">
                  <c:v>188.50243459999999</c:v>
                </c:pt>
                <c:pt idx="781">
                  <c:v>188.65446919999999</c:v>
                </c:pt>
                <c:pt idx="782">
                  <c:v>189.1940558</c:v>
                </c:pt>
                <c:pt idx="783">
                  <c:v>189.61222770000001</c:v>
                </c:pt>
                <c:pt idx="784">
                  <c:v>189.70760480000001</c:v>
                </c:pt>
                <c:pt idx="785">
                  <c:v>190.17149269999999</c:v>
                </c:pt>
                <c:pt idx="786">
                  <c:v>190.3359973</c:v>
                </c:pt>
                <c:pt idx="787">
                  <c:v>190.68517120000001</c:v>
                </c:pt>
                <c:pt idx="788">
                  <c:v>190.9222115</c:v>
                </c:pt>
                <c:pt idx="789">
                  <c:v>190.97641669999999</c:v>
                </c:pt>
                <c:pt idx="790">
                  <c:v>191.0091712</c:v>
                </c:pt>
                <c:pt idx="791">
                  <c:v>191.01553290000001</c:v>
                </c:pt>
                <c:pt idx="792">
                  <c:v>191.13388269999999</c:v>
                </c:pt>
                <c:pt idx="793">
                  <c:v>191.16408999999999</c:v>
                </c:pt>
                <c:pt idx="794">
                  <c:v>191.16261349999999</c:v>
                </c:pt>
                <c:pt idx="795">
                  <c:v>191.57767559999999</c:v>
                </c:pt>
                <c:pt idx="796">
                  <c:v>192.1704115</c:v>
                </c:pt>
                <c:pt idx="797">
                  <c:v>192.32726539999999</c:v>
                </c:pt>
                <c:pt idx="798">
                  <c:v>131.5279032</c:v>
                </c:pt>
                <c:pt idx="799">
                  <c:v>131.58661290000001</c:v>
                </c:pt>
                <c:pt idx="800">
                  <c:v>131.73500000000001</c:v>
                </c:pt>
                <c:pt idx="801">
                  <c:v>131.78399999999999</c:v>
                </c:pt>
                <c:pt idx="802">
                  <c:v>131.9019677</c:v>
                </c:pt>
                <c:pt idx="803">
                  <c:v>131.94080650000001</c:v>
                </c:pt>
                <c:pt idx="804">
                  <c:v>132.1062</c:v>
                </c:pt>
                <c:pt idx="805">
                  <c:v>132.36483870000001</c:v>
                </c:pt>
                <c:pt idx="806">
                  <c:v>132.43574190000001</c:v>
                </c:pt>
                <c:pt idx="807">
                  <c:v>132.5218667</c:v>
                </c:pt>
                <c:pt idx="808">
                  <c:v>132.54613330000001</c:v>
                </c:pt>
                <c:pt idx="809">
                  <c:v>132.6141935</c:v>
                </c:pt>
                <c:pt idx="810">
                  <c:v>132.72483869999999</c:v>
                </c:pt>
                <c:pt idx="811">
                  <c:v>132.75645159999999</c:v>
                </c:pt>
                <c:pt idx="812">
                  <c:v>132.7568</c:v>
                </c:pt>
                <c:pt idx="813">
                  <c:v>132.75166669999999</c:v>
                </c:pt>
                <c:pt idx="814">
                  <c:v>132.92458060000001</c:v>
                </c:pt>
                <c:pt idx="815">
                  <c:v>132.97832260000001</c:v>
                </c:pt>
                <c:pt idx="816">
                  <c:v>132.75666670000001</c:v>
                </c:pt>
                <c:pt idx="817">
                  <c:v>132.6764</c:v>
                </c:pt>
                <c:pt idx="818">
                  <c:v>132.88232260000001</c:v>
                </c:pt>
                <c:pt idx="819">
                  <c:v>133.18341939999999</c:v>
                </c:pt>
                <c:pt idx="820">
                  <c:v>133.26087100000001</c:v>
                </c:pt>
                <c:pt idx="821">
                  <c:v>133.61414289999999</c:v>
                </c:pt>
                <c:pt idx="822">
                  <c:v>133.7361429</c:v>
                </c:pt>
                <c:pt idx="823">
                  <c:v>134.06825810000001</c:v>
                </c:pt>
                <c:pt idx="824">
                  <c:v>134.17777419999999</c:v>
                </c:pt>
                <c:pt idx="825">
                  <c:v>134.51436670000001</c:v>
                </c:pt>
                <c:pt idx="826">
                  <c:v>134.85516129999999</c:v>
                </c:pt>
                <c:pt idx="827">
                  <c:v>134.94254839999999</c:v>
                </c:pt>
                <c:pt idx="828">
                  <c:v>135.4468</c:v>
                </c:pt>
                <c:pt idx="829">
                  <c:v>135.62833330000001</c:v>
                </c:pt>
                <c:pt idx="830">
                  <c:v>136.05403229999999</c:v>
                </c:pt>
                <c:pt idx="831">
                  <c:v>136.14412899999999</c:v>
                </c:pt>
                <c:pt idx="832">
                  <c:v>136.24409679999999</c:v>
                </c:pt>
                <c:pt idx="833">
                  <c:v>136.27458060000001</c:v>
                </c:pt>
                <c:pt idx="834">
                  <c:v>136.47200000000001</c:v>
                </c:pt>
                <c:pt idx="835">
                  <c:v>136.47512900000001</c:v>
                </c:pt>
                <c:pt idx="836">
                  <c:v>136.46180649999999</c:v>
                </c:pt>
                <c:pt idx="837">
                  <c:v>136.49093329999999</c:v>
                </c:pt>
                <c:pt idx="838">
                  <c:v>136.50306670000001</c:v>
                </c:pt>
                <c:pt idx="839">
                  <c:v>136.69812899999999</c:v>
                </c:pt>
                <c:pt idx="840">
                  <c:v>137.06325810000001</c:v>
                </c:pt>
                <c:pt idx="841">
                  <c:v>137.1666774</c:v>
                </c:pt>
                <c:pt idx="842">
                  <c:v>137.42389660000001</c:v>
                </c:pt>
                <c:pt idx="843">
                  <c:v>137.50668970000001</c:v>
                </c:pt>
                <c:pt idx="844">
                  <c:v>137.79709679999999</c:v>
                </c:pt>
                <c:pt idx="845">
                  <c:v>138.03319999999999</c:v>
                </c:pt>
                <c:pt idx="846">
                  <c:v>138.08826669999999</c:v>
                </c:pt>
                <c:pt idx="847">
                  <c:v>138.11380650000001</c:v>
                </c:pt>
                <c:pt idx="848">
                  <c:v>138.11741939999999</c:v>
                </c:pt>
                <c:pt idx="849">
                  <c:v>138.22963329999999</c:v>
                </c:pt>
                <c:pt idx="850">
                  <c:v>138.17358060000001</c:v>
                </c:pt>
                <c:pt idx="851">
                  <c:v>138.1437742</c:v>
                </c:pt>
                <c:pt idx="852">
                  <c:v>138.47293550000001</c:v>
                </c:pt>
                <c:pt idx="853">
                  <c:v>138.82560000000001</c:v>
                </c:pt>
                <c:pt idx="854">
                  <c:v>138.9117</c:v>
                </c:pt>
                <c:pt idx="855">
                  <c:v>189.38169740000001</c:v>
                </c:pt>
                <c:pt idx="856">
                  <c:v>189.46427249999999</c:v>
                </c:pt>
                <c:pt idx="857">
                  <c:v>189.66950489999999</c:v>
                </c:pt>
                <c:pt idx="858">
                  <c:v>189.73720750000001</c:v>
                </c:pt>
                <c:pt idx="859">
                  <c:v>189.70482150000001</c:v>
                </c:pt>
                <c:pt idx="860">
                  <c:v>189.69010119999999</c:v>
                </c:pt>
                <c:pt idx="861">
                  <c:v>189.53124829999999</c:v>
                </c:pt>
                <c:pt idx="862">
                  <c:v>189.42265800000001</c:v>
                </c:pt>
                <c:pt idx="863">
                  <c:v>189.4000734</c:v>
                </c:pt>
                <c:pt idx="864">
                  <c:v>189.48826030000001</c:v>
                </c:pt>
                <c:pt idx="865">
                  <c:v>189.52312760000001</c:v>
                </c:pt>
                <c:pt idx="866">
                  <c:v>190.09900279999999</c:v>
                </c:pt>
                <c:pt idx="867">
                  <c:v>190.3621607</c:v>
                </c:pt>
                <c:pt idx="868">
                  <c:v>190.3958293</c:v>
                </c:pt>
                <c:pt idx="869">
                  <c:v>190.67382409999999</c:v>
                </c:pt>
                <c:pt idx="870">
                  <c:v>190.77632180000001</c:v>
                </c:pt>
                <c:pt idx="871">
                  <c:v>190.9964377</c:v>
                </c:pt>
                <c:pt idx="872">
                  <c:v>191.0411474</c:v>
                </c:pt>
                <c:pt idx="873">
                  <c:v>190.99314369999999</c:v>
                </c:pt>
                <c:pt idx="874">
                  <c:v>190.97410690000001</c:v>
                </c:pt>
                <c:pt idx="875">
                  <c:v>191.3683815</c:v>
                </c:pt>
                <c:pt idx="876">
                  <c:v>191.76258949999999</c:v>
                </c:pt>
                <c:pt idx="877">
                  <c:v>191.85728810000001</c:v>
                </c:pt>
                <c:pt idx="878">
                  <c:v>192.01160039999999</c:v>
                </c:pt>
                <c:pt idx="879">
                  <c:v>192.05848399999999</c:v>
                </c:pt>
                <c:pt idx="880">
                  <c:v>192.26917069999999</c:v>
                </c:pt>
                <c:pt idx="881">
                  <c:v>192.3418571</c:v>
                </c:pt>
                <c:pt idx="882">
                  <c:v>192.72520059999999</c:v>
                </c:pt>
                <c:pt idx="883">
                  <c:v>192.8418131</c:v>
                </c:pt>
                <c:pt idx="884">
                  <c:v>192.84706120000001</c:v>
                </c:pt>
                <c:pt idx="885">
                  <c:v>193.09305520000001</c:v>
                </c:pt>
                <c:pt idx="886">
                  <c:v>193.18784479999999</c:v>
                </c:pt>
                <c:pt idx="887">
                  <c:v>193.91101330000001</c:v>
                </c:pt>
                <c:pt idx="888">
                  <c:v>194.11050169999999</c:v>
                </c:pt>
                <c:pt idx="889">
                  <c:v>194.5092113</c:v>
                </c:pt>
                <c:pt idx="890">
                  <c:v>194.6387853</c:v>
                </c:pt>
                <c:pt idx="891">
                  <c:v>194.94597239999999</c:v>
                </c:pt>
                <c:pt idx="892">
                  <c:v>195.48479589999999</c:v>
                </c:pt>
                <c:pt idx="893">
                  <c:v>195.6376941</c:v>
                </c:pt>
                <c:pt idx="894">
                  <c:v>195.82232870000001</c:v>
                </c:pt>
                <c:pt idx="895">
                  <c:v>195.8742575</c:v>
                </c:pt>
                <c:pt idx="896">
                  <c:v>196.5458309</c:v>
                </c:pt>
                <c:pt idx="897">
                  <c:v>196.8728921</c:v>
                </c:pt>
                <c:pt idx="898">
                  <c:v>196.91950560000001</c:v>
                </c:pt>
                <c:pt idx="899">
                  <c:v>196.9565303</c:v>
                </c:pt>
                <c:pt idx="900">
                  <c:v>196.96315989999999</c:v>
                </c:pt>
                <c:pt idx="901">
                  <c:v>197.5971285</c:v>
                </c:pt>
                <c:pt idx="902">
                  <c:v>197.60635339999999</c:v>
                </c:pt>
                <c:pt idx="903">
                  <c:v>197.5481609</c:v>
                </c:pt>
                <c:pt idx="904">
                  <c:v>197.6218954</c:v>
                </c:pt>
                <c:pt idx="905">
                  <c:v>197.6551863</c:v>
                </c:pt>
                <c:pt idx="906">
                  <c:v>197.83221950000001</c:v>
                </c:pt>
                <c:pt idx="907">
                  <c:v>198.02938929999999</c:v>
                </c:pt>
                <c:pt idx="908">
                  <c:v>198.0795651</c:v>
                </c:pt>
                <c:pt idx="909">
                  <c:v>198.0950484</c:v>
                </c:pt>
                <c:pt idx="910">
                  <c:v>198.8221322</c:v>
                </c:pt>
                <c:pt idx="911">
                  <c:v>199.0539368</c:v>
                </c:pt>
                <c:pt idx="912">
                  <c:v>126.4420645</c:v>
                </c:pt>
                <c:pt idx="913">
                  <c:v>126.49625810000001</c:v>
                </c:pt>
                <c:pt idx="914">
                  <c:v>126.5782857</c:v>
                </c:pt>
                <c:pt idx="915">
                  <c:v>126.60428570000001</c:v>
                </c:pt>
                <c:pt idx="916">
                  <c:v>126.6034839</c:v>
                </c:pt>
                <c:pt idx="917">
                  <c:v>126.6019032</c:v>
                </c:pt>
                <c:pt idx="918">
                  <c:v>126.2898</c:v>
                </c:pt>
                <c:pt idx="919">
                  <c:v>126.1360645</c:v>
                </c:pt>
                <c:pt idx="920">
                  <c:v>126.1119032</c:v>
                </c:pt>
                <c:pt idx="921">
                  <c:v>126.1392</c:v>
                </c:pt>
                <c:pt idx="922">
                  <c:v>126.15179999999999</c:v>
                </c:pt>
                <c:pt idx="923">
                  <c:v>126.0854516</c:v>
                </c:pt>
                <c:pt idx="924">
                  <c:v>126.1019355</c:v>
                </c:pt>
                <c:pt idx="925">
                  <c:v>126.1145806</c:v>
                </c:pt>
                <c:pt idx="926">
                  <c:v>126.2346</c:v>
                </c:pt>
                <c:pt idx="927">
                  <c:v>126.2791667</c:v>
                </c:pt>
                <c:pt idx="928">
                  <c:v>126.4912903</c:v>
                </c:pt>
                <c:pt idx="929">
                  <c:v>126.54616129999999</c:v>
                </c:pt>
                <c:pt idx="930">
                  <c:v>126.7313333</c:v>
                </c:pt>
                <c:pt idx="931">
                  <c:v>126.79340000000001</c:v>
                </c:pt>
                <c:pt idx="932">
                  <c:v>127.1917742</c:v>
                </c:pt>
                <c:pt idx="933">
                  <c:v>127.7195806</c:v>
                </c:pt>
                <c:pt idx="934">
                  <c:v>127.859129</c:v>
                </c:pt>
                <c:pt idx="935">
                  <c:v>128.26474999999999</c:v>
                </c:pt>
                <c:pt idx="936">
                  <c:v>128.39949999999999</c:v>
                </c:pt>
                <c:pt idx="937">
                  <c:v>128.71993549999999</c:v>
                </c:pt>
                <c:pt idx="938">
                  <c:v>128.82380649999999</c:v>
                </c:pt>
                <c:pt idx="939">
                  <c:v>129.04443330000001</c:v>
                </c:pt>
                <c:pt idx="940">
                  <c:v>129.04903229999999</c:v>
                </c:pt>
                <c:pt idx="941">
                  <c:v>129.03570970000001</c:v>
                </c:pt>
                <c:pt idx="942">
                  <c:v>129.08940000000001</c:v>
                </c:pt>
                <c:pt idx="943">
                  <c:v>129.11250000000001</c:v>
                </c:pt>
                <c:pt idx="944">
                  <c:v>129.18464520000001</c:v>
                </c:pt>
                <c:pt idx="945">
                  <c:v>129.2015806</c:v>
                </c:pt>
                <c:pt idx="946">
                  <c:v>129.32593550000001</c:v>
                </c:pt>
                <c:pt idx="947">
                  <c:v>129.36861289999999</c:v>
                </c:pt>
                <c:pt idx="948">
                  <c:v>129.69380000000001</c:v>
                </c:pt>
                <c:pt idx="949">
                  <c:v>129.8051935</c:v>
                </c:pt>
                <c:pt idx="950">
                  <c:v>129.81670969999999</c:v>
                </c:pt>
                <c:pt idx="951">
                  <c:v>129.84596669999999</c:v>
                </c:pt>
                <c:pt idx="952">
                  <c:v>129.85553329999999</c:v>
                </c:pt>
                <c:pt idx="953">
                  <c:v>130.15751610000001</c:v>
                </c:pt>
                <c:pt idx="954">
                  <c:v>130.34967739999999</c:v>
                </c:pt>
                <c:pt idx="955">
                  <c:v>130.3849032</c:v>
                </c:pt>
                <c:pt idx="956">
                  <c:v>130.64579309999999</c:v>
                </c:pt>
                <c:pt idx="957">
                  <c:v>130.74137930000001</c:v>
                </c:pt>
                <c:pt idx="958">
                  <c:v>131.03754839999999</c:v>
                </c:pt>
                <c:pt idx="959">
                  <c:v>131.136</c:v>
                </c:pt>
                <c:pt idx="960">
                  <c:v>131.1453333</c:v>
                </c:pt>
                <c:pt idx="961">
                  <c:v>130.95922580000001</c:v>
                </c:pt>
                <c:pt idx="962">
                  <c:v>130.88967740000001</c:v>
                </c:pt>
                <c:pt idx="963">
                  <c:v>130.7196333</c:v>
                </c:pt>
                <c:pt idx="964">
                  <c:v>130.73787100000001</c:v>
                </c:pt>
                <c:pt idx="965">
                  <c:v>130.7561613</c:v>
                </c:pt>
                <c:pt idx="966">
                  <c:v>130.9325484</c:v>
                </c:pt>
                <c:pt idx="967">
                  <c:v>131.0756667</c:v>
                </c:pt>
                <c:pt idx="968">
                  <c:v>131.1083333</c:v>
                </c:pt>
                <c:pt idx="969">
                  <c:v>131.5279032</c:v>
                </c:pt>
                <c:pt idx="970">
                  <c:v>131.58661290000001</c:v>
                </c:pt>
                <c:pt idx="971">
                  <c:v>131.73500000000001</c:v>
                </c:pt>
                <c:pt idx="972">
                  <c:v>131.78399999999999</c:v>
                </c:pt>
                <c:pt idx="973">
                  <c:v>131.9019677</c:v>
                </c:pt>
                <c:pt idx="974">
                  <c:v>131.94080650000001</c:v>
                </c:pt>
                <c:pt idx="975">
                  <c:v>132.1062</c:v>
                </c:pt>
                <c:pt idx="976">
                  <c:v>132.36483870000001</c:v>
                </c:pt>
                <c:pt idx="977">
                  <c:v>132.43574190000001</c:v>
                </c:pt>
                <c:pt idx="978">
                  <c:v>132.5218667</c:v>
                </c:pt>
                <c:pt idx="979">
                  <c:v>132.54613330000001</c:v>
                </c:pt>
                <c:pt idx="980">
                  <c:v>132.6141935</c:v>
                </c:pt>
                <c:pt idx="981">
                  <c:v>132.72483869999999</c:v>
                </c:pt>
                <c:pt idx="982">
                  <c:v>132.75645159999999</c:v>
                </c:pt>
                <c:pt idx="983">
                  <c:v>132.7568</c:v>
                </c:pt>
                <c:pt idx="984">
                  <c:v>132.75166669999999</c:v>
                </c:pt>
                <c:pt idx="985">
                  <c:v>132.92458060000001</c:v>
                </c:pt>
                <c:pt idx="986">
                  <c:v>132.97832260000001</c:v>
                </c:pt>
                <c:pt idx="987">
                  <c:v>132.75666670000001</c:v>
                </c:pt>
                <c:pt idx="988">
                  <c:v>132.6764</c:v>
                </c:pt>
                <c:pt idx="989">
                  <c:v>132.88232260000001</c:v>
                </c:pt>
                <c:pt idx="990">
                  <c:v>133.18341939999999</c:v>
                </c:pt>
                <c:pt idx="991">
                  <c:v>133.26087100000001</c:v>
                </c:pt>
                <c:pt idx="992">
                  <c:v>133.61414289999999</c:v>
                </c:pt>
                <c:pt idx="993">
                  <c:v>133.7361429</c:v>
                </c:pt>
                <c:pt idx="994">
                  <c:v>134.06825810000001</c:v>
                </c:pt>
                <c:pt idx="995">
                  <c:v>134.17777419999999</c:v>
                </c:pt>
                <c:pt idx="996">
                  <c:v>134.51436670000001</c:v>
                </c:pt>
                <c:pt idx="997">
                  <c:v>134.85516129999999</c:v>
                </c:pt>
                <c:pt idx="998">
                  <c:v>134.94254839999999</c:v>
                </c:pt>
                <c:pt idx="999">
                  <c:v>135.4468</c:v>
                </c:pt>
                <c:pt idx="1000">
                  <c:v>135.62833330000001</c:v>
                </c:pt>
                <c:pt idx="1001">
                  <c:v>136.05403229999999</c:v>
                </c:pt>
                <c:pt idx="1002">
                  <c:v>136.14412899999999</c:v>
                </c:pt>
                <c:pt idx="1003">
                  <c:v>136.24409679999999</c:v>
                </c:pt>
                <c:pt idx="1004">
                  <c:v>136.27458060000001</c:v>
                </c:pt>
                <c:pt idx="1005">
                  <c:v>136.47200000000001</c:v>
                </c:pt>
                <c:pt idx="1006">
                  <c:v>136.47512900000001</c:v>
                </c:pt>
                <c:pt idx="1007">
                  <c:v>136.46180649999999</c:v>
                </c:pt>
                <c:pt idx="1008">
                  <c:v>136.49093329999999</c:v>
                </c:pt>
                <c:pt idx="1009">
                  <c:v>136.50306670000001</c:v>
                </c:pt>
                <c:pt idx="1010">
                  <c:v>136.69812899999999</c:v>
                </c:pt>
                <c:pt idx="1011">
                  <c:v>137.06325810000001</c:v>
                </c:pt>
                <c:pt idx="1012">
                  <c:v>137.1666774</c:v>
                </c:pt>
                <c:pt idx="1013">
                  <c:v>137.42389660000001</c:v>
                </c:pt>
                <c:pt idx="1014">
                  <c:v>137.50668970000001</c:v>
                </c:pt>
                <c:pt idx="1015">
                  <c:v>137.79709679999999</c:v>
                </c:pt>
                <c:pt idx="1016">
                  <c:v>138.03319999999999</c:v>
                </c:pt>
                <c:pt idx="1017">
                  <c:v>138.08826669999999</c:v>
                </c:pt>
                <c:pt idx="1018">
                  <c:v>138.11380650000001</c:v>
                </c:pt>
                <c:pt idx="1019">
                  <c:v>138.11741939999999</c:v>
                </c:pt>
                <c:pt idx="1020">
                  <c:v>138.22963329999999</c:v>
                </c:pt>
                <c:pt idx="1021">
                  <c:v>138.17358060000001</c:v>
                </c:pt>
                <c:pt idx="1022">
                  <c:v>138.1437742</c:v>
                </c:pt>
                <c:pt idx="1023">
                  <c:v>138.47293550000001</c:v>
                </c:pt>
                <c:pt idx="1024">
                  <c:v>138.82560000000001</c:v>
                </c:pt>
                <c:pt idx="1025">
                  <c:v>138.9117</c:v>
                </c:pt>
                <c:pt idx="1026">
                  <c:v>131.5279032</c:v>
                </c:pt>
                <c:pt idx="1027">
                  <c:v>131.58661290000001</c:v>
                </c:pt>
                <c:pt idx="1028">
                  <c:v>131.73500000000001</c:v>
                </c:pt>
                <c:pt idx="1029">
                  <c:v>131.78399999999999</c:v>
                </c:pt>
                <c:pt idx="1030">
                  <c:v>131.9019677</c:v>
                </c:pt>
                <c:pt idx="1031">
                  <c:v>131.94080650000001</c:v>
                </c:pt>
                <c:pt idx="1032">
                  <c:v>132.1062</c:v>
                </c:pt>
                <c:pt idx="1033">
                  <c:v>132.36483870000001</c:v>
                </c:pt>
                <c:pt idx="1034">
                  <c:v>132.43574190000001</c:v>
                </c:pt>
                <c:pt idx="1035">
                  <c:v>132.5218667</c:v>
                </c:pt>
                <c:pt idx="1036">
                  <c:v>132.54613330000001</c:v>
                </c:pt>
                <c:pt idx="1037">
                  <c:v>132.6141935</c:v>
                </c:pt>
                <c:pt idx="1038">
                  <c:v>132.72483869999999</c:v>
                </c:pt>
                <c:pt idx="1039">
                  <c:v>132.75645159999999</c:v>
                </c:pt>
                <c:pt idx="1040">
                  <c:v>132.7568</c:v>
                </c:pt>
                <c:pt idx="1041">
                  <c:v>132.75166669999999</c:v>
                </c:pt>
                <c:pt idx="1042">
                  <c:v>132.92458060000001</c:v>
                </c:pt>
                <c:pt idx="1043">
                  <c:v>132.97832260000001</c:v>
                </c:pt>
                <c:pt idx="1044">
                  <c:v>132.75666670000001</c:v>
                </c:pt>
                <c:pt idx="1045">
                  <c:v>132.6764</c:v>
                </c:pt>
                <c:pt idx="1046">
                  <c:v>132.88232260000001</c:v>
                </c:pt>
                <c:pt idx="1047">
                  <c:v>133.18341939999999</c:v>
                </c:pt>
                <c:pt idx="1048">
                  <c:v>133.26087100000001</c:v>
                </c:pt>
                <c:pt idx="1049">
                  <c:v>133.61414289999999</c:v>
                </c:pt>
                <c:pt idx="1050">
                  <c:v>133.7361429</c:v>
                </c:pt>
                <c:pt idx="1051">
                  <c:v>134.06825810000001</c:v>
                </c:pt>
                <c:pt idx="1052">
                  <c:v>134.17777419999999</c:v>
                </c:pt>
                <c:pt idx="1053">
                  <c:v>134.51436670000001</c:v>
                </c:pt>
                <c:pt idx="1054">
                  <c:v>134.85516129999999</c:v>
                </c:pt>
                <c:pt idx="1055">
                  <c:v>134.94254839999999</c:v>
                </c:pt>
                <c:pt idx="1056">
                  <c:v>135.4468</c:v>
                </c:pt>
                <c:pt idx="1057">
                  <c:v>135.62833330000001</c:v>
                </c:pt>
                <c:pt idx="1058">
                  <c:v>136.05403229999999</c:v>
                </c:pt>
                <c:pt idx="1059">
                  <c:v>136.14412899999999</c:v>
                </c:pt>
                <c:pt idx="1060">
                  <c:v>136.24409679999999</c:v>
                </c:pt>
                <c:pt idx="1061">
                  <c:v>136.27458060000001</c:v>
                </c:pt>
                <c:pt idx="1062">
                  <c:v>136.47200000000001</c:v>
                </c:pt>
                <c:pt idx="1063">
                  <c:v>136.47512900000001</c:v>
                </c:pt>
                <c:pt idx="1064">
                  <c:v>136.46180649999999</c:v>
                </c:pt>
                <c:pt idx="1065">
                  <c:v>136.49093329999999</c:v>
                </c:pt>
                <c:pt idx="1066">
                  <c:v>136.50306670000001</c:v>
                </c:pt>
                <c:pt idx="1067">
                  <c:v>136.69812899999999</c:v>
                </c:pt>
                <c:pt idx="1068">
                  <c:v>137.06325810000001</c:v>
                </c:pt>
                <c:pt idx="1069">
                  <c:v>137.1666774</c:v>
                </c:pt>
                <c:pt idx="1070">
                  <c:v>137.42389660000001</c:v>
                </c:pt>
                <c:pt idx="1071">
                  <c:v>137.50668970000001</c:v>
                </c:pt>
                <c:pt idx="1072">
                  <c:v>137.79709679999999</c:v>
                </c:pt>
                <c:pt idx="1073">
                  <c:v>138.03319999999999</c:v>
                </c:pt>
                <c:pt idx="1074">
                  <c:v>138.08826669999999</c:v>
                </c:pt>
                <c:pt idx="1075">
                  <c:v>138.11380650000001</c:v>
                </c:pt>
                <c:pt idx="1076">
                  <c:v>138.11741939999999</c:v>
                </c:pt>
                <c:pt idx="1077">
                  <c:v>138.22963329999999</c:v>
                </c:pt>
                <c:pt idx="1078">
                  <c:v>138.17358060000001</c:v>
                </c:pt>
                <c:pt idx="1079">
                  <c:v>138.1437742</c:v>
                </c:pt>
                <c:pt idx="1080">
                  <c:v>138.47293550000001</c:v>
                </c:pt>
                <c:pt idx="1081">
                  <c:v>138.82560000000001</c:v>
                </c:pt>
                <c:pt idx="1082">
                  <c:v>138.9117</c:v>
                </c:pt>
                <c:pt idx="1083">
                  <c:v>204.24719350000001</c:v>
                </c:pt>
                <c:pt idx="1084">
                  <c:v>204.3857472</c:v>
                </c:pt>
                <c:pt idx="1085">
                  <c:v>204.49407339999999</c:v>
                </c:pt>
                <c:pt idx="1086">
                  <c:v>204.52505980000001</c:v>
                </c:pt>
                <c:pt idx="1087">
                  <c:v>204.02528419999999</c:v>
                </c:pt>
                <c:pt idx="1088">
                  <c:v>203.84881340000001</c:v>
                </c:pt>
                <c:pt idx="1089">
                  <c:v>203.6101784</c:v>
                </c:pt>
                <c:pt idx="1090">
                  <c:v>204.4042877</c:v>
                </c:pt>
                <c:pt idx="1091">
                  <c:v>204.66791979999999</c:v>
                </c:pt>
                <c:pt idx="1092">
                  <c:v>204.46505590000001</c:v>
                </c:pt>
                <c:pt idx="1093">
                  <c:v>204.3625658</c:v>
                </c:pt>
                <c:pt idx="1094">
                  <c:v>204.72932520000001</c:v>
                </c:pt>
                <c:pt idx="1095">
                  <c:v>204.75835660000001</c:v>
                </c:pt>
                <c:pt idx="1096">
                  <c:v>204.7266827</c:v>
                </c:pt>
                <c:pt idx="1097">
                  <c:v>204.88509730000001</c:v>
                </c:pt>
                <c:pt idx="1098">
                  <c:v>204.95198199999999</c:v>
                </c:pt>
                <c:pt idx="1099">
                  <c:v>205.16083699999999</c:v>
                </c:pt>
                <c:pt idx="1100">
                  <c:v>205.20986139999999</c:v>
                </c:pt>
                <c:pt idx="1101">
                  <c:v>204.8249189</c:v>
                </c:pt>
                <c:pt idx="1102">
                  <c:v>204.68773780000001</c:v>
                </c:pt>
                <c:pt idx="1103">
                  <c:v>204.6487803</c:v>
                </c:pt>
                <c:pt idx="1104">
                  <c:v>205.7329407</c:v>
                </c:pt>
                <c:pt idx="1105">
                  <c:v>206.0763862</c:v>
                </c:pt>
                <c:pt idx="1106">
                  <c:v>206.91534849999999</c:v>
                </c:pt>
                <c:pt idx="1107">
                  <c:v>207.1882876</c:v>
                </c:pt>
                <c:pt idx="1108">
                  <c:v>207.88230429999999</c:v>
                </c:pt>
                <c:pt idx="1109">
                  <c:v>208.10926420000001</c:v>
                </c:pt>
                <c:pt idx="1110">
                  <c:v>208.79925950000001</c:v>
                </c:pt>
                <c:pt idx="1111">
                  <c:v>208.35511159999999</c:v>
                </c:pt>
                <c:pt idx="1112">
                  <c:v>208.1535092</c:v>
                </c:pt>
                <c:pt idx="1113">
                  <c:v>208.33464319999999</c:v>
                </c:pt>
                <c:pt idx="1114">
                  <c:v>208.43868470000001</c:v>
                </c:pt>
                <c:pt idx="1115">
                  <c:v>208.71923799999999</c:v>
                </c:pt>
                <c:pt idx="1116">
                  <c:v>208.78200609999999</c:v>
                </c:pt>
                <c:pt idx="1117">
                  <c:v>208.96251609999999</c:v>
                </c:pt>
                <c:pt idx="1118">
                  <c:v>209.0225562</c:v>
                </c:pt>
                <c:pt idx="1119">
                  <c:v>210.11705950000001</c:v>
                </c:pt>
                <c:pt idx="1120">
                  <c:v>210.83645509999999</c:v>
                </c:pt>
                <c:pt idx="1121">
                  <c:v>210.98102009999999</c:v>
                </c:pt>
                <c:pt idx="1122">
                  <c:v>211.6394306</c:v>
                </c:pt>
                <c:pt idx="1123">
                  <c:v>211.86678559999999</c:v>
                </c:pt>
                <c:pt idx="1124">
                  <c:v>212.5711125</c:v>
                </c:pt>
                <c:pt idx="1125">
                  <c:v>213.02362249999999</c:v>
                </c:pt>
                <c:pt idx="1126">
                  <c:v>213.11861379999999</c:v>
                </c:pt>
                <c:pt idx="1127">
                  <c:v>213.6718127</c:v>
                </c:pt>
                <c:pt idx="1128">
                  <c:v>213.8711137</c:v>
                </c:pt>
                <c:pt idx="1129">
                  <c:v>214.23870529999999</c:v>
                </c:pt>
                <c:pt idx="1130">
                  <c:v>214.47710810000001</c:v>
                </c:pt>
                <c:pt idx="1131">
                  <c:v>214.53190989999999</c:v>
                </c:pt>
                <c:pt idx="1132">
                  <c:v>214.5513278</c:v>
                </c:pt>
                <c:pt idx="1133">
                  <c:v>214.5527132</c:v>
                </c:pt>
                <c:pt idx="1134">
                  <c:v>214.68735140000001</c:v>
                </c:pt>
                <c:pt idx="1135">
                  <c:v>214.74335139999999</c:v>
                </c:pt>
                <c:pt idx="1136">
                  <c:v>214.7484595</c:v>
                </c:pt>
                <c:pt idx="1137">
                  <c:v>215.2189573</c:v>
                </c:pt>
                <c:pt idx="1138">
                  <c:v>215.92588649999999</c:v>
                </c:pt>
                <c:pt idx="1139">
                  <c:v>216.11505679999999</c:v>
                </c:pt>
                <c:pt idx="1140">
                  <c:v>210.7526053</c:v>
                </c:pt>
                <c:pt idx="1141">
                  <c:v>210.89799350000001</c:v>
                </c:pt>
                <c:pt idx="1142">
                  <c:v>211.00675419999999</c:v>
                </c:pt>
                <c:pt idx="1143">
                  <c:v>211.03755100000001</c:v>
                </c:pt>
                <c:pt idx="1144">
                  <c:v>210.4798874</c:v>
                </c:pt>
                <c:pt idx="1145">
                  <c:v>210.28316530000001</c:v>
                </c:pt>
                <c:pt idx="1146">
                  <c:v>210.00110179999999</c:v>
                </c:pt>
                <c:pt idx="1147">
                  <c:v>210.83361600000001</c:v>
                </c:pt>
                <c:pt idx="1148">
                  <c:v>211.1120018</c:v>
                </c:pt>
                <c:pt idx="1149">
                  <c:v>210.88037259999999</c:v>
                </c:pt>
                <c:pt idx="1150">
                  <c:v>210.7657317</c:v>
                </c:pt>
                <c:pt idx="1151">
                  <c:v>211.16080489999999</c:v>
                </c:pt>
                <c:pt idx="1152">
                  <c:v>211.18869309999999</c:v>
                </c:pt>
                <c:pt idx="1153">
                  <c:v>211.15321040000001</c:v>
                </c:pt>
                <c:pt idx="1154">
                  <c:v>211.32987420000001</c:v>
                </c:pt>
                <c:pt idx="1155">
                  <c:v>211.4044906</c:v>
                </c:pt>
                <c:pt idx="1156">
                  <c:v>211.61350530000001</c:v>
                </c:pt>
                <c:pt idx="1157">
                  <c:v>211.6608975</c:v>
                </c:pt>
                <c:pt idx="1158">
                  <c:v>211.26554300000001</c:v>
                </c:pt>
                <c:pt idx="1159">
                  <c:v>211.12479930000001</c:v>
                </c:pt>
                <c:pt idx="1160">
                  <c:v>211.06488809999999</c:v>
                </c:pt>
                <c:pt idx="1161">
                  <c:v>212.22406459999999</c:v>
                </c:pt>
                <c:pt idx="1162">
                  <c:v>212.5928624</c:v>
                </c:pt>
                <c:pt idx="1163">
                  <c:v>213.4775305</c:v>
                </c:pt>
                <c:pt idx="1164">
                  <c:v>213.76464010000001</c:v>
                </c:pt>
                <c:pt idx="1165">
                  <c:v>214.4886908</c:v>
                </c:pt>
                <c:pt idx="1166">
                  <c:v>214.72522420000001</c:v>
                </c:pt>
                <c:pt idx="1167">
                  <c:v>215.44487090000001</c:v>
                </c:pt>
                <c:pt idx="1168">
                  <c:v>214.92548650000001</c:v>
                </c:pt>
                <c:pt idx="1169">
                  <c:v>214.69649079999999</c:v>
                </c:pt>
                <c:pt idx="1170">
                  <c:v>214.83686779999999</c:v>
                </c:pt>
                <c:pt idx="1171">
                  <c:v>214.92962489999999</c:v>
                </c:pt>
                <c:pt idx="1172">
                  <c:v>215.19785150000001</c:v>
                </c:pt>
                <c:pt idx="1173">
                  <c:v>215.25932109999999</c:v>
                </c:pt>
                <c:pt idx="1174">
                  <c:v>215.45086319999999</c:v>
                </c:pt>
                <c:pt idx="1175">
                  <c:v>215.51482949999999</c:v>
                </c:pt>
                <c:pt idx="1176">
                  <c:v>216.69583109999999</c:v>
                </c:pt>
                <c:pt idx="1177">
                  <c:v>217.48536050000001</c:v>
                </c:pt>
                <c:pt idx="1178">
                  <c:v>217.6455387</c:v>
                </c:pt>
                <c:pt idx="1179">
                  <c:v>218.35903189999999</c:v>
                </c:pt>
                <c:pt idx="1180">
                  <c:v>218.60503700000001</c:v>
                </c:pt>
                <c:pt idx="1181">
                  <c:v>219.355063</c:v>
                </c:pt>
                <c:pt idx="1182">
                  <c:v>219.81188539999999</c:v>
                </c:pt>
                <c:pt idx="1183">
                  <c:v>219.90490729999999</c:v>
                </c:pt>
                <c:pt idx="1184">
                  <c:v>220.48668860000001</c:v>
                </c:pt>
                <c:pt idx="1185">
                  <c:v>220.69743320000001</c:v>
                </c:pt>
                <c:pt idx="1186">
                  <c:v>221.07376379999999</c:v>
                </c:pt>
                <c:pt idx="1187">
                  <c:v>221.30951659999999</c:v>
                </c:pt>
                <c:pt idx="1188">
                  <c:v>221.3632212</c:v>
                </c:pt>
                <c:pt idx="1189">
                  <c:v>221.38527479999999</c:v>
                </c:pt>
                <c:pt idx="1190">
                  <c:v>221.38774670000001</c:v>
                </c:pt>
                <c:pt idx="1191">
                  <c:v>221.52150639999999</c:v>
                </c:pt>
                <c:pt idx="1192">
                  <c:v>221.58697989999999</c:v>
                </c:pt>
                <c:pt idx="1193">
                  <c:v>221.59541379999999</c:v>
                </c:pt>
                <c:pt idx="1194">
                  <c:v>222.07476349999999</c:v>
                </c:pt>
                <c:pt idx="1195">
                  <c:v>222.8159296</c:v>
                </c:pt>
                <c:pt idx="1196">
                  <c:v>223.0154263</c:v>
                </c:pt>
                <c:pt idx="1197">
                  <c:v>135.35246079999999</c:v>
                </c:pt>
                <c:pt idx="1198">
                  <c:v>135.41130759999999</c:v>
                </c:pt>
                <c:pt idx="1199">
                  <c:v>135.57326019999999</c:v>
                </c:pt>
                <c:pt idx="1200">
                  <c:v>135.62700129999999</c:v>
                </c:pt>
                <c:pt idx="1201">
                  <c:v>135.74649880000001</c:v>
                </c:pt>
                <c:pt idx="1202">
                  <c:v>135.78563589999999</c:v>
                </c:pt>
                <c:pt idx="1203">
                  <c:v>135.96199999999999</c:v>
                </c:pt>
                <c:pt idx="1204">
                  <c:v>136.21816820000001</c:v>
                </c:pt>
                <c:pt idx="1205">
                  <c:v>136.28742629999999</c:v>
                </c:pt>
                <c:pt idx="1206">
                  <c:v>136.37228930000001</c:v>
                </c:pt>
                <c:pt idx="1207">
                  <c:v>136.39626430000001</c:v>
                </c:pt>
                <c:pt idx="1208">
                  <c:v>136.4741118</c:v>
                </c:pt>
                <c:pt idx="1209">
                  <c:v>136.58911180000001</c:v>
                </c:pt>
                <c:pt idx="1210">
                  <c:v>136.62120849999999</c:v>
                </c:pt>
                <c:pt idx="1211">
                  <c:v>136.62975710000001</c:v>
                </c:pt>
                <c:pt idx="1212">
                  <c:v>136.6277321</c:v>
                </c:pt>
                <c:pt idx="1213">
                  <c:v>136.78622580000001</c:v>
                </c:pt>
                <c:pt idx="1214">
                  <c:v>136.83490320000001</c:v>
                </c:pt>
                <c:pt idx="1215">
                  <c:v>136.60757140000001</c:v>
                </c:pt>
                <c:pt idx="1216">
                  <c:v>136.52557139999999</c:v>
                </c:pt>
                <c:pt idx="1217">
                  <c:v>136.73325689999999</c:v>
                </c:pt>
                <c:pt idx="1218">
                  <c:v>137.05424310000001</c:v>
                </c:pt>
                <c:pt idx="1219">
                  <c:v>137.13783179999999</c:v>
                </c:pt>
                <c:pt idx="1220">
                  <c:v>137.5017028</c:v>
                </c:pt>
                <c:pt idx="1221">
                  <c:v>137.62696170000001</c:v>
                </c:pt>
                <c:pt idx="1222">
                  <c:v>137.95589290000001</c:v>
                </c:pt>
                <c:pt idx="1223">
                  <c:v>138.06389290000001</c:v>
                </c:pt>
                <c:pt idx="1224">
                  <c:v>138.41312020000001</c:v>
                </c:pt>
                <c:pt idx="1225">
                  <c:v>138.76946079999999</c:v>
                </c:pt>
                <c:pt idx="1226">
                  <c:v>138.86063820000001</c:v>
                </c:pt>
                <c:pt idx="1227">
                  <c:v>139.36375000000001</c:v>
                </c:pt>
                <c:pt idx="1228">
                  <c:v>139.54420830000001</c:v>
                </c:pt>
                <c:pt idx="1229">
                  <c:v>139.98964860000001</c:v>
                </c:pt>
                <c:pt idx="1230">
                  <c:v>140.0859873</c:v>
                </c:pt>
                <c:pt idx="1231">
                  <c:v>140.19698500000001</c:v>
                </c:pt>
                <c:pt idx="1232">
                  <c:v>140.23101729999999</c:v>
                </c:pt>
                <c:pt idx="1233">
                  <c:v>140.43475000000001</c:v>
                </c:pt>
                <c:pt idx="1234">
                  <c:v>140.42797580000001</c:v>
                </c:pt>
                <c:pt idx="1235">
                  <c:v>140.4111613</c:v>
                </c:pt>
                <c:pt idx="1236">
                  <c:v>140.4307857</c:v>
                </c:pt>
                <c:pt idx="1237">
                  <c:v>140.43978569999999</c:v>
                </c:pt>
                <c:pt idx="1238">
                  <c:v>140.64613589999999</c:v>
                </c:pt>
                <c:pt idx="1239">
                  <c:v>141.01619239999999</c:v>
                </c:pt>
                <c:pt idx="1240">
                  <c:v>141.11998270000001</c:v>
                </c:pt>
                <c:pt idx="1241">
                  <c:v>141.3875357</c:v>
                </c:pt>
                <c:pt idx="1242">
                  <c:v>141.4742857</c:v>
                </c:pt>
                <c:pt idx="1243">
                  <c:v>141.7712396</c:v>
                </c:pt>
                <c:pt idx="1244">
                  <c:v>142.01779289999999</c:v>
                </c:pt>
                <c:pt idx="1245">
                  <c:v>142.0759262</c:v>
                </c:pt>
                <c:pt idx="1246">
                  <c:v>142.10954380000001</c:v>
                </c:pt>
                <c:pt idx="1247">
                  <c:v>142.11580989999999</c:v>
                </c:pt>
                <c:pt idx="1248">
                  <c:v>142.22342979999999</c:v>
                </c:pt>
                <c:pt idx="1249">
                  <c:v>142.19162789999999</c:v>
                </c:pt>
                <c:pt idx="1250">
                  <c:v>142.17056339999999</c:v>
                </c:pt>
                <c:pt idx="1251">
                  <c:v>142.500303</c:v>
                </c:pt>
                <c:pt idx="1252">
                  <c:v>142.85168329999999</c:v>
                </c:pt>
                <c:pt idx="1253">
                  <c:v>142.93761670000001</c:v>
                </c:pt>
                <c:pt idx="1254">
                  <c:v>131.5279032</c:v>
                </c:pt>
                <c:pt idx="1255">
                  <c:v>131.58661290000001</c:v>
                </c:pt>
                <c:pt idx="1256">
                  <c:v>131.73500000000001</c:v>
                </c:pt>
                <c:pt idx="1257">
                  <c:v>131.78399999999999</c:v>
                </c:pt>
                <c:pt idx="1258">
                  <c:v>131.9019677</c:v>
                </c:pt>
                <c:pt idx="1259">
                  <c:v>131.94080650000001</c:v>
                </c:pt>
                <c:pt idx="1260">
                  <c:v>132.1062</c:v>
                </c:pt>
                <c:pt idx="1261">
                  <c:v>132.36483870000001</c:v>
                </c:pt>
                <c:pt idx="1262">
                  <c:v>132.43574190000001</c:v>
                </c:pt>
                <c:pt idx="1263">
                  <c:v>132.5218667</c:v>
                </c:pt>
                <c:pt idx="1264">
                  <c:v>132.54613330000001</c:v>
                </c:pt>
                <c:pt idx="1265">
                  <c:v>132.6141935</c:v>
                </c:pt>
                <c:pt idx="1266">
                  <c:v>132.72483869999999</c:v>
                </c:pt>
                <c:pt idx="1267">
                  <c:v>132.75645159999999</c:v>
                </c:pt>
                <c:pt idx="1268">
                  <c:v>132.7568</c:v>
                </c:pt>
                <c:pt idx="1269">
                  <c:v>132.75166669999999</c:v>
                </c:pt>
                <c:pt idx="1270">
                  <c:v>132.92458060000001</c:v>
                </c:pt>
                <c:pt idx="1271">
                  <c:v>132.97832260000001</c:v>
                </c:pt>
                <c:pt idx="1272">
                  <c:v>132.75666670000001</c:v>
                </c:pt>
                <c:pt idx="1273">
                  <c:v>132.6764</c:v>
                </c:pt>
                <c:pt idx="1274">
                  <c:v>132.88232260000001</c:v>
                </c:pt>
                <c:pt idx="1275">
                  <c:v>133.18341939999999</c:v>
                </c:pt>
                <c:pt idx="1276">
                  <c:v>133.26087100000001</c:v>
                </c:pt>
                <c:pt idx="1277">
                  <c:v>133.61414289999999</c:v>
                </c:pt>
                <c:pt idx="1278">
                  <c:v>133.7361429</c:v>
                </c:pt>
                <c:pt idx="1279">
                  <c:v>134.06825810000001</c:v>
                </c:pt>
                <c:pt idx="1280">
                  <c:v>134.17777419999999</c:v>
                </c:pt>
                <c:pt idx="1281">
                  <c:v>134.51436670000001</c:v>
                </c:pt>
                <c:pt idx="1282">
                  <c:v>134.85516129999999</c:v>
                </c:pt>
                <c:pt idx="1283">
                  <c:v>134.94254839999999</c:v>
                </c:pt>
                <c:pt idx="1284">
                  <c:v>135.4468</c:v>
                </c:pt>
                <c:pt idx="1285">
                  <c:v>135.62833330000001</c:v>
                </c:pt>
                <c:pt idx="1286">
                  <c:v>136.05403229999999</c:v>
                </c:pt>
                <c:pt idx="1287">
                  <c:v>136.14412899999999</c:v>
                </c:pt>
                <c:pt idx="1288">
                  <c:v>136.24409679999999</c:v>
                </c:pt>
                <c:pt idx="1289">
                  <c:v>136.27458060000001</c:v>
                </c:pt>
                <c:pt idx="1290">
                  <c:v>136.47200000000001</c:v>
                </c:pt>
                <c:pt idx="1291">
                  <c:v>136.47512900000001</c:v>
                </c:pt>
                <c:pt idx="1292">
                  <c:v>136.46180649999999</c:v>
                </c:pt>
                <c:pt idx="1293">
                  <c:v>136.49093329999999</c:v>
                </c:pt>
                <c:pt idx="1294">
                  <c:v>136.50306670000001</c:v>
                </c:pt>
                <c:pt idx="1295">
                  <c:v>136.69812899999999</c:v>
                </c:pt>
                <c:pt idx="1296">
                  <c:v>137.06325810000001</c:v>
                </c:pt>
                <c:pt idx="1297">
                  <c:v>137.1666774</c:v>
                </c:pt>
                <c:pt idx="1298">
                  <c:v>137.42389660000001</c:v>
                </c:pt>
                <c:pt idx="1299">
                  <c:v>137.50668970000001</c:v>
                </c:pt>
                <c:pt idx="1300">
                  <c:v>137.79709679999999</c:v>
                </c:pt>
                <c:pt idx="1301">
                  <c:v>138.03319999999999</c:v>
                </c:pt>
                <c:pt idx="1302">
                  <c:v>138.08826669999999</c:v>
                </c:pt>
                <c:pt idx="1303">
                  <c:v>138.11380650000001</c:v>
                </c:pt>
                <c:pt idx="1304">
                  <c:v>138.11741939999999</c:v>
                </c:pt>
                <c:pt idx="1305">
                  <c:v>138.22963329999999</c:v>
                </c:pt>
                <c:pt idx="1306">
                  <c:v>138.17358060000001</c:v>
                </c:pt>
                <c:pt idx="1307">
                  <c:v>138.1437742</c:v>
                </c:pt>
                <c:pt idx="1308">
                  <c:v>138.47293550000001</c:v>
                </c:pt>
                <c:pt idx="1309">
                  <c:v>138.82560000000001</c:v>
                </c:pt>
                <c:pt idx="1310">
                  <c:v>138.9117</c:v>
                </c:pt>
                <c:pt idx="1311">
                  <c:v>131.5279032</c:v>
                </c:pt>
                <c:pt idx="1312">
                  <c:v>131.58661290000001</c:v>
                </c:pt>
                <c:pt idx="1313">
                  <c:v>131.73500000000001</c:v>
                </c:pt>
                <c:pt idx="1314">
                  <c:v>131.78399999999999</c:v>
                </c:pt>
                <c:pt idx="1315">
                  <c:v>131.9019677</c:v>
                </c:pt>
                <c:pt idx="1316">
                  <c:v>131.94080650000001</c:v>
                </c:pt>
                <c:pt idx="1317">
                  <c:v>132.1062</c:v>
                </c:pt>
                <c:pt idx="1318">
                  <c:v>132.36483870000001</c:v>
                </c:pt>
                <c:pt idx="1319">
                  <c:v>132.43574190000001</c:v>
                </c:pt>
                <c:pt idx="1320">
                  <c:v>132.5218667</c:v>
                </c:pt>
                <c:pt idx="1321">
                  <c:v>132.54613330000001</c:v>
                </c:pt>
                <c:pt idx="1322">
                  <c:v>132.6141935</c:v>
                </c:pt>
                <c:pt idx="1323">
                  <c:v>132.72483869999999</c:v>
                </c:pt>
                <c:pt idx="1324">
                  <c:v>132.75645159999999</c:v>
                </c:pt>
                <c:pt idx="1325">
                  <c:v>132.7568</c:v>
                </c:pt>
                <c:pt idx="1326">
                  <c:v>132.75166669999999</c:v>
                </c:pt>
                <c:pt idx="1327">
                  <c:v>132.92458060000001</c:v>
                </c:pt>
                <c:pt idx="1328">
                  <c:v>132.97832260000001</c:v>
                </c:pt>
                <c:pt idx="1329">
                  <c:v>132.75666670000001</c:v>
                </c:pt>
                <c:pt idx="1330">
                  <c:v>132.6764</c:v>
                </c:pt>
                <c:pt idx="1331">
                  <c:v>132.88232260000001</c:v>
                </c:pt>
                <c:pt idx="1332">
                  <c:v>133.18341939999999</c:v>
                </c:pt>
                <c:pt idx="1333">
                  <c:v>133.26087100000001</c:v>
                </c:pt>
                <c:pt idx="1334">
                  <c:v>133.61414289999999</c:v>
                </c:pt>
                <c:pt idx="1335">
                  <c:v>133.7361429</c:v>
                </c:pt>
                <c:pt idx="1336">
                  <c:v>134.06825810000001</c:v>
                </c:pt>
                <c:pt idx="1337">
                  <c:v>134.17777419999999</c:v>
                </c:pt>
                <c:pt idx="1338">
                  <c:v>134.51436670000001</c:v>
                </c:pt>
                <c:pt idx="1339">
                  <c:v>134.85516129999999</c:v>
                </c:pt>
                <c:pt idx="1340">
                  <c:v>134.94254839999999</c:v>
                </c:pt>
                <c:pt idx="1341">
                  <c:v>135.4468</c:v>
                </c:pt>
                <c:pt idx="1342">
                  <c:v>135.62833330000001</c:v>
                </c:pt>
                <c:pt idx="1343">
                  <c:v>136.05403229999999</c:v>
                </c:pt>
                <c:pt idx="1344">
                  <c:v>136.14412899999999</c:v>
                </c:pt>
                <c:pt idx="1345">
                  <c:v>136.24409679999999</c:v>
                </c:pt>
                <c:pt idx="1346">
                  <c:v>136.27458060000001</c:v>
                </c:pt>
                <c:pt idx="1347">
                  <c:v>136.47200000000001</c:v>
                </c:pt>
                <c:pt idx="1348">
                  <c:v>136.47512900000001</c:v>
                </c:pt>
                <c:pt idx="1349">
                  <c:v>136.46180649999999</c:v>
                </c:pt>
                <c:pt idx="1350">
                  <c:v>136.49093329999999</c:v>
                </c:pt>
                <c:pt idx="1351">
                  <c:v>136.50306670000001</c:v>
                </c:pt>
                <c:pt idx="1352">
                  <c:v>136.69812899999999</c:v>
                </c:pt>
                <c:pt idx="1353">
                  <c:v>137.06325810000001</c:v>
                </c:pt>
                <c:pt idx="1354">
                  <c:v>137.1666774</c:v>
                </c:pt>
                <c:pt idx="1355">
                  <c:v>137.42389660000001</c:v>
                </c:pt>
                <c:pt idx="1356">
                  <c:v>137.50668970000001</c:v>
                </c:pt>
                <c:pt idx="1357">
                  <c:v>137.79709679999999</c:v>
                </c:pt>
                <c:pt idx="1358">
                  <c:v>138.03319999999999</c:v>
                </c:pt>
                <c:pt idx="1359">
                  <c:v>138.08826669999999</c:v>
                </c:pt>
                <c:pt idx="1360">
                  <c:v>138.11380650000001</c:v>
                </c:pt>
                <c:pt idx="1361">
                  <c:v>138.11741939999999</c:v>
                </c:pt>
                <c:pt idx="1362">
                  <c:v>138.22963329999999</c:v>
                </c:pt>
                <c:pt idx="1363">
                  <c:v>138.17358060000001</c:v>
                </c:pt>
                <c:pt idx="1364">
                  <c:v>138.1437742</c:v>
                </c:pt>
                <c:pt idx="1365">
                  <c:v>138.47293550000001</c:v>
                </c:pt>
                <c:pt idx="1366">
                  <c:v>138.82560000000001</c:v>
                </c:pt>
                <c:pt idx="1367">
                  <c:v>138.9117</c:v>
                </c:pt>
                <c:pt idx="1368">
                  <c:v>204.24719350000001</c:v>
                </c:pt>
                <c:pt idx="1369">
                  <c:v>204.3857472</c:v>
                </c:pt>
                <c:pt idx="1370">
                  <c:v>204.49407339999999</c:v>
                </c:pt>
                <c:pt idx="1371">
                  <c:v>204.52505980000001</c:v>
                </c:pt>
                <c:pt idx="1372">
                  <c:v>204.02528419999999</c:v>
                </c:pt>
                <c:pt idx="1373">
                  <c:v>203.84881340000001</c:v>
                </c:pt>
                <c:pt idx="1374">
                  <c:v>203.6101784</c:v>
                </c:pt>
                <c:pt idx="1375">
                  <c:v>204.4042877</c:v>
                </c:pt>
                <c:pt idx="1376">
                  <c:v>204.66791979999999</c:v>
                </c:pt>
                <c:pt idx="1377">
                  <c:v>204.46505590000001</c:v>
                </c:pt>
                <c:pt idx="1378">
                  <c:v>204.3625658</c:v>
                </c:pt>
                <c:pt idx="1379">
                  <c:v>204.72932520000001</c:v>
                </c:pt>
                <c:pt idx="1380">
                  <c:v>204.75835660000001</c:v>
                </c:pt>
                <c:pt idx="1381">
                  <c:v>204.7266827</c:v>
                </c:pt>
                <c:pt idx="1382">
                  <c:v>204.88509730000001</c:v>
                </c:pt>
                <c:pt idx="1383">
                  <c:v>204.95198199999999</c:v>
                </c:pt>
                <c:pt idx="1384">
                  <c:v>205.16083699999999</c:v>
                </c:pt>
                <c:pt idx="1385">
                  <c:v>205.20986139999999</c:v>
                </c:pt>
                <c:pt idx="1386">
                  <c:v>204.8249189</c:v>
                </c:pt>
                <c:pt idx="1387">
                  <c:v>204.68773780000001</c:v>
                </c:pt>
                <c:pt idx="1388">
                  <c:v>204.6487803</c:v>
                </c:pt>
                <c:pt idx="1389">
                  <c:v>205.7329407</c:v>
                </c:pt>
                <c:pt idx="1390">
                  <c:v>206.0763862</c:v>
                </c:pt>
                <c:pt idx="1391">
                  <c:v>206.91534849999999</c:v>
                </c:pt>
                <c:pt idx="1392">
                  <c:v>207.1882876</c:v>
                </c:pt>
                <c:pt idx="1393">
                  <c:v>207.88230429999999</c:v>
                </c:pt>
                <c:pt idx="1394">
                  <c:v>208.10926420000001</c:v>
                </c:pt>
                <c:pt idx="1395">
                  <c:v>208.79925950000001</c:v>
                </c:pt>
                <c:pt idx="1396">
                  <c:v>208.35511159999999</c:v>
                </c:pt>
                <c:pt idx="1397">
                  <c:v>208.1535092</c:v>
                </c:pt>
                <c:pt idx="1398">
                  <c:v>208.33464319999999</c:v>
                </c:pt>
                <c:pt idx="1399">
                  <c:v>208.43868470000001</c:v>
                </c:pt>
                <c:pt idx="1400">
                  <c:v>208.71923799999999</c:v>
                </c:pt>
                <c:pt idx="1401">
                  <c:v>208.78200609999999</c:v>
                </c:pt>
                <c:pt idx="1402">
                  <c:v>208.96251609999999</c:v>
                </c:pt>
                <c:pt idx="1403">
                  <c:v>209.0225562</c:v>
                </c:pt>
                <c:pt idx="1404">
                  <c:v>210.11705950000001</c:v>
                </c:pt>
                <c:pt idx="1405">
                  <c:v>210.83645509999999</c:v>
                </c:pt>
                <c:pt idx="1406">
                  <c:v>210.98102009999999</c:v>
                </c:pt>
                <c:pt idx="1407">
                  <c:v>211.6394306</c:v>
                </c:pt>
                <c:pt idx="1408">
                  <c:v>211.86678559999999</c:v>
                </c:pt>
                <c:pt idx="1409">
                  <c:v>212.5711125</c:v>
                </c:pt>
                <c:pt idx="1410">
                  <c:v>213.02362249999999</c:v>
                </c:pt>
                <c:pt idx="1411">
                  <c:v>213.11861379999999</c:v>
                </c:pt>
                <c:pt idx="1412">
                  <c:v>213.6718127</c:v>
                </c:pt>
                <c:pt idx="1413">
                  <c:v>213.8711137</c:v>
                </c:pt>
                <c:pt idx="1414">
                  <c:v>214.23870529999999</c:v>
                </c:pt>
                <c:pt idx="1415">
                  <c:v>214.47710810000001</c:v>
                </c:pt>
                <c:pt idx="1416">
                  <c:v>214.53190989999999</c:v>
                </c:pt>
                <c:pt idx="1417">
                  <c:v>214.5513278</c:v>
                </c:pt>
                <c:pt idx="1418">
                  <c:v>214.5527132</c:v>
                </c:pt>
                <c:pt idx="1419">
                  <c:v>214.68735140000001</c:v>
                </c:pt>
                <c:pt idx="1420">
                  <c:v>214.74335139999999</c:v>
                </c:pt>
                <c:pt idx="1421">
                  <c:v>214.7484595</c:v>
                </c:pt>
                <c:pt idx="1422">
                  <c:v>215.2189573</c:v>
                </c:pt>
                <c:pt idx="1423">
                  <c:v>215.92588649999999</c:v>
                </c:pt>
                <c:pt idx="1424">
                  <c:v>216.11505679999999</c:v>
                </c:pt>
                <c:pt idx="1425">
                  <c:v>131.5279032</c:v>
                </c:pt>
                <c:pt idx="1426">
                  <c:v>131.58661290000001</c:v>
                </c:pt>
                <c:pt idx="1427">
                  <c:v>131.73500000000001</c:v>
                </c:pt>
                <c:pt idx="1428">
                  <c:v>131.78399999999999</c:v>
                </c:pt>
                <c:pt idx="1429">
                  <c:v>131.9019677</c:v>
                </c:pt>
                <c:pt idx="1430">
                  <c:v>131.94080650000001</c:v>
                </c:pt>
                <c:pt idx="1431">
                  <c:v>132.1062</c:v>
                </c:pt>
                <c:pt idx="1432">
                  <c:v>132.36483870000001</c:v>
                </c:pt>
                <c:pt idx="1433">
                  <c:v>132.43574190000001</c:v>
                </c:pt>
                <c:pt idx="1434">
                  <c:v>132.5218667</c:v>
                </c:pt>
                <c:pt idx="1435">
                  <c:v>132.54613330000001</c:v>
                </c:pt>
                <c:pt idx="1436">
                  <c:v>132.6141935</c:v>
                </c:pt>
                <c:pt idx="1437">
                  <c:v>132.72483869999999</c:v>
                </c:pt>
                <c:pt idx="1438">
                  <c:v>132.75645159999999</c:v>
                </c:pt>
                <c:pt idx="1439">
                  <c:v>132.7568</c:v>
                </c:pt>
                <c:pt idx="1440">
                  <c:v>132.75166669999999</c:v>
                </c:pt>
                <c:pt idx="1441">
                  <c:v>132.92458060000001</c:v>
                </c:pt>
                <c:pt idx="1442">
                  <c:v>132.97832260000001</c:v>
                </c:pt>
                <c:pt idx="1443">
                  <c:v>132.75666670000001</c:v>
                </c:pt>
                <c:pt idx="1444">
                  <c:v>132.6764</c:v>
                </c:pt>
                <c:pt idx="1445">
                  <c:v>132.88232260000001</c:v>
                </c:pt>
                <c:pt idx="1446">
                  <c:v>133.18341939999999</c:v>
                </c:pt>
                <c:pt idx="1447">
                  <c:v>133.26087100000001</c:v>
                </c:pt>
                <c:pt idx="1448">
                  <c:v>133.61414289999999</c:v>
                </c:pt>
                <c:pt idx="1449">
                  <c:v>133.7361429</c:v>
                </c:pt>
                <c:pt idx="1450">
                  <c:v>134.06825810000001</c:v>
                </c:pt>
                <c:pt idx="1451">
                  <c:v>134.17777419999999</c:v>
                </c:pt>
                <c:pt idx="1452">
                  <c:v>134.51436670000001</c:v>
                </c:pt>
                <c:pt idx="1453">
                  <c:v>134.85516129999999</c:v>
                </c:pt>
                <c:pt idx="1454">
                  <c:v>134.94254839999999</c:v>
                </c:pt>
                <c:pt idx="1455">
                  <c:v>135.4468</c:v>
                </c:pt>
                <c:pt idx="1456">
                  <c:v>135.62833330000001</c:v>
                </c:pt>
                <c:pt idx="1457">
                  <c:v>136.05403229999999</c:v>
                </c:pt>
                <c:pt idx="1458">
                  <c:v>136.14412899999999</c:v>
                </c:pt>
                <c:pt idx="1459">
                  <c:v>136.24409679999999</c:v>
                </c:pt>
                <c:pt idx="1460">
                  <c:v>136.27458060000001</c:v>
                </c:pt>
                <c:pt idx="1461">
                  <c:v>136.47200000000001</c:v>
                </c:pt>
                <c:pt idx="1462">
                  <c:v>136.47512900000001</c:v>
                </c:pt>
                <c:pt idx="1463">
                  <c:v>136.46180649999999</c:v>
                </c:pt>
                <c:pt idx="1464">
                  <c:v>136.49093329999999</c:v>
                </c:pt>
                <c:pt idx="1465">
                  <c:v>136.50306670000001</c:v>
                </c:pt>
                <c:pt idx="1466">
                  <c:v>136.69812899999999</c:v>
                </c:pt>
                <c:pt idx="1467">
                  <c:v>137.06325810000001</c:v>
                </c:pt>
                <c:pt idx="1468">
                  <c:v>137.1666774</c:v>
                </c:pt>
                <c:pt idx="1469">
                  <c:v>137.42389660000001</c:v>
                </c:pt>
                <c:pt idx="1470">
                  <c:v>137.50668970000001</c:v>
                </c:pt>
                <c:pt idx="1471">
                  <c:v>137.79709679999999</c:v>
                </c:pt>
                <c:pt idx="1472">
                  <c:v>138.03319999999999</c:v>
                </c:pt>
                <c:pt idx="1473">
                  <c:v>138.08826669999999</c:v>
                </c:pt>
                <c:pt idx="1474">
                  <c:v>138.11380650000001</c:v>
                </c:pt>
                <c:pt idx="1475">
                  <c:v>138.11741939999999</c:v>
                </c:pt>
                <c:pt idx="1476">
                  <c:v>138.22963329999999</c:v>
                </c:pt>
                <c:pt idx="1477">
                  <c:v>138.17358060000001</c:v>
                </c:pt>
                <c:pt idx="1478">
                  <c:v>138.1437742</c:v>
                </c:pt>
                <c:pt idx="1479">
                  <c:v>138.47293550000001</c:v>
                </c:pt>
                <c:pt idx="1480">
                  <c:v>138.82560000000001</c:v>
                </c:pt>
                <c:pt idx="1481">
                  <c:v>138.9117</c:v>
                </c:pt>
                <c:pt idx="1482">
                  <c:v>135.35246079999999</c:v>
                </c:pt>
                <c:pt idx="1483">
                  <c:v>135.41130759999999</c:v>
                </c:pt>
                <c:pt idx="1484">
                  <c:v>135.57326019999999</c:v>
                </c:pt>
                <c:pt idx="1485">
                  <c:v>135.62700129999999</c:v>
                </c:pt>
                <c:pt idx="1486">
                  <c:v>135.74649880000001</c:v>
                </c:pt>
                <c:pt idx="1487">
                  <c:v>135.78563589999999</c:v>
                </c:pt>
                <c:pt idx="1488">
                  <c:v>135.96199999999999</c:v>
                </c:pt>
                <c:pt idx="1489">
                  <c:v>136.21816820000001</c:v>
                </c:pt>
                <c:pt idx="1490">
                  <c:v>136.28742629999999</c:v>
                </c:pt>
                <c:pt idx="1491">
                  <c:v>136.37228930000001</c:v>
                </c:pt>
                <c:pt idx="1492">
                  <c:v>136.39626430000001</c:v>
                </c:pt>
                <c:pt idx="1493">
                  <c:v>136.4741118</c:v>
                </c:pt>
                <c:pt idx="1494">
                  <c:v>136.58911180000001</c:v>
                </c:pt>
                <c:pt idx="1495">
                  <c:v>136.62120849999999</c:v>
                </c:pt>
                <c:pt idx="1496">
                  <c:v>136.62975710000001</c:v>
                </c:pt>
                <c:pt idx="1497">
                  <c:v>136.6277321</c:v>
                </c:pt>
                <c:pt idx="1498">
                  <c:v>136.78622580000001</c:v>
                </c:pt>
                <c:pt idx="1499">
                  <c:v>136.83490320000001</c:v>
                </c:pt>
                <c:pt idx="1500">
                  <c:v>136.60757140000001</c:v>
                </c:pt>
                <c:pt idx="1501">
                  <c:v>136.52557139999999</c:v>
                </c:pt>
                <c:pt idx="1502">
                  <c:v>136.73325689999999</c:v>
                </c:pt>
                <c:pt idx="1503">
                  <c:v>137.05424310000001</c:v>
                </c:pt>
                <c:pt idx="1504">
                  <c:v>137.13783179999999</c:v>
                </c:pt>
                <c:pt idx="1505">
                  <c:v>137.5017028</c:v>
                </c:pt>
                <c:pt idx="1506">
                  <c:v>137.62696170000001</c:v>
                </c:pt>
                <c:pt idx="1507">
                  <c:v>137.95589290000001</c:v>
                </c:pt>
                <c:pt idx="1508">
                  <c:v>138.06389290000001</c:v>
                </c:pt>
                <c:pt idx="1509">
                  <c:v>138.41312020000001</c:v>
                </c:pt>
                <c:pt idx="1510">
                  <c:v>138.76946079999999</c:v>
                </c:pt>
                <c:pt idx="1511">
                  <c:v>138.86063820000001</c:v>
                </c:pt>
                <c:pt idx="1512">
                  <c:v>139.36375000000001</c:v>
                </c:pt>
                <c:pt idx="1513">
                  <c:v>139.54420830000001</c:v>
                </c:pt>
                <c:pt idx="1514">
                  <c:v>139.98964860000001</c:v>
                </c:pt>
                <c:pt idx="1515">
                  <c:v>140.0859873</c:v>
                </c:pt>
                <c:pt idx="1516">
                  <c:v>140.19698500000001</c:v>
                </c:pt>
                <c:pt idx="1517">
                  <c:v>140.23101729999999</c:v>
                </c:pt>
                <c:pt idx="1518">
                  <c:v>140.43475000000001</c:v>
                </c:pt>
                <c:pt idx="1519">
                  <c:v>140.42797580000001</c:v>
                </c:pt>
                <c:pt idx="1520">
                  <c:v>140.4111613</c:v>
                </c:pt>
                <c:pt idx="1521">
                  <c:v>140.4307857</c:v>
                </c:pt>
                <c:pt idx="1522">
                  <c:v>140.43978569999999</c:v>
                </c:pt>
                <c:pt idx="1523">
                  <c:v>140.64613589999999</c:v>
                </c:pt>
                <c:pt idx="1524">
                  <c:v>141.01619239999999</c:v>
                </c:pt>
                <c:pt idx="1525">
                  <c:v>141.11998270000001</c:v>
                </c:pt>
                <c:pt idx="1526">
                  <c:v>141.3875357</c:v>
                </c:pt>
                <c:pt idx="1527">
                  <c:v>141.4742857</c:v>
                </c:pt>
                <c:pt idx="1528">
                  <c:v>141.7712396</c:v>
                </c:pt>
                <c:pt idx="1529">
                  <c:v>142.01779289999999</c:v>
                </c:pt>
                <c:pt idx="1530">
                  <c:v>142.0759262</c:v>
                </c:pt>
                <c:pt idx="1531">
                  <c:v>142.10954380000001</c:v>
                </c:pt>
                <c:pt idx="1532">
                  <c:v>142.11580989999999</c:v>
                </c:pt>
                <c:pt idx="1533">
                  <c:v>142.22342979999999</c:v>
                </c:pt>
                <c:pt idx="1534">
                  <c:v>142.19162789999999</c:v>
                </c:pt>
                <c:pt idx="1535">
                  <c:v>142.17056339999999</c:v>
                </c:pt>
                <c:pt idx="1536">
                  <c:v>142.500303</c:v>
                </c:pt>
                <c:pt idx="1537">
                  <c:v>142.85168329999999</c:v>
                </c:pt>
                <c:pt idx="1538">
                  <c:v>142.93761670000001</c:v>
                </c:pt>
                <c:pt idx="1539">
                  <c:v>126.4420645</c:v>
                </c:pt>
                <c:pt idx="1540">
                  <c:v>126.49625810000001</c:v>
                </c:pt>
                <c:pt idx="1541">
                  <c:v>126.5782857</c:v>
                </c:pt>
                <c:pt idx="1542">
                  <c:v>126.60428570000001</c:v>
                </c:pt>
                <c:pt idx="1543">
                  <c:v>126.6034839</c:v>
                </c:pt>
                <c:pt idx="1544">
                  <c:v>126.6019032</c:v>
                </c:pt>
                <c:pt idx="1545">
                  <c:v>126.2898</c:v>
                </c:pt>
                <c:pt idx="1546">
                  <c:v>126.1360645</c:v>
                </c:pt>
                <c:pt idx="1547">
                  <c:v>126.1119032</c:v>
                </c:pt>
                <c:pt idx="1548">
                  <c:v>126.1392</c:v>
                </c:pt>
                <c:pt idx="1549">
                  <c:v>126.15179999999999</c:v>
                </c:pt>
                <c:pt idx="1550">
                  <c:v>126.0854516</c:v>
                </c:pt>
                <c:pt idx="1551">
                  <c:v>126.1019355</c:v>
                </c:pt>
                <c:pt idx="1552">
                  <c:v>126.1145806</c:v>
                </c:pt>
                <c:pt idx="1553">
                  <c:v>126.2346</c:v>
                </c:pt>
                <c:pt idx="1554">
                  <c:v>126.2791667</c:v>
                </c:pt>
                <c:pt idx="1555">
                  <c:v>126.4912903</c:v>
                </c:pt>
                <c:pt idx="1556">
                  <c:v>126.54616129999999</c:v>
                </c:pt>
                <c:pt idx="1557">
                  <c:v>126.7313333</c:v>
                </c:pt>
                <c:pt idx="1558">
                  <c:v>126.79340000000001</c:v>
                </c:pt>
                <c:pt idx="1559">
                  <c:v>127.1917742</c:v>
                </c:pt>
                <c:pt idx="1560">
                  <c:v>127.7195806</c:v>
                </c:pt>
                <c:pt idx="1561">
                  <c:v>127.859129</c:v>
                </c:pt>
                <c:pt idx="1562">
                  <c:v>128.26474999999999</c:v>
                </c:pt>
                <c:pt idx="1563">
                  <c:v>128.39949999999999</c:v>
                </c:pt>
                <c:pt idx="1564">
                  <c:v>128.71993549999999</c:v>
                </c:pt>
                <c:pt idx="1565">
                  <c:v>128.82380649999999</c:v>
                </c:pt>
                <c:pt idx="1566">
                  <c:v>129.04443330000001</c:v>
                </c:pt>
                <c:pt idx="1567">
                  <c:v>129.04903229999999</c:v>
                </c:pt>
                <c:pt idx="1568">
                  <c:v>129.03570970000001</c:v>
                </c:pt>
                <c:pt idx="1569">
                  <c:v>129.08940000000001</c:v>
                </c:pt>
                <c:pt idx="1570">
                  <c:v>129.11250000000001</c:v>
                </c:pt>
                <c:pt idx="1571">
                  <c:v>129.18464520000001</c:v>
                </c:pt>
                <c:pt idx="1572">
                  <c:v>129.2015806</c:v>
                </c:pt>
                <c:pt idx="1573">
                  <c:v>129.32593550000001</c:v>
                </c:pt>
                <c:pt idx="1574">
                  <c:v>129.36861289999999</c:v>
                </c:pt>
                <c:pt idx="1575">
                  <c:v>129.69380000000001</c:v>
                </c:pt>
                <c:pt idx="1576">
                  <c:v>129.8051935</c:v>
                </c:pt>
                <c:pt idx="1577">
                  <c:v>129.81670969999999</c:v>
                </c:pt>
                <c:pt idx="1578">
                  <c:v>129.84596669999999</c:v>
                </c:pt>
                <c:pt idx="1579">
                  <c:v>129.85553329999999</c:v>
                </c:pt>
                <c:pt idx="1580">
                  <c:v>130.15751610000001</c:v>
                </c:pt>
                <c:pt idx="1581">
                  <c:v>130.34967739999999</c:v>
                </c:pt>
                <c:pt idx="1582">
                  <c:v>130.3849032</c:v>
                </c:pt>
                <c:pt idx="1583">
                  <c:v>130.64579309999999</c:v>
                </c:pt>
                <c:pt idx="1584">
                  <c:v>130.74137930000001</c:v>
                </c:pt>
                <c:pt idx="1585">
                  <c:v>131.03754839999999</c:v>
                </c:pt>
                <c:pt idx="1586">
                  <c:v>131.136</c:v>
                </c:pt>
                <c:pt idx="1587">
                  <c:v>131.1453333</c:v>
                </c:pt>
                <c:pt idx="1588">
                  <c:v>130.95922580000001</c:v>
                </c:pt>
                <c:pt idx="1589">
                  <c:v>130.88967740000001</c:v>
                </c:pt>
                <c:pt idx="1590">
                  <c:v>130.7196333</c:v>
                </c:pt>
                <c:pt idx="1591">
                  <c:v>130.73787100000001</c:v>
                </c:pt>
                <c:pt idx="1592">
                  <c:v>130.7561613</c:v>
                </c:pt>
                <c:pt idx="1593">
                  <c:v>130.9325484</c:v>
                </c:pt>
                <c:pt idx="1594">
                  <c:v>131.0756667</c:v>
                </c:pt>
                <c:pt idx="1595">
                  <c:v>131.1083333</c:v>
                </c:pt>
                <c:pt idx="1596">
                  <c:v>131.5279032</c:v>
                </c:pt>
                <c:pt idx="1597">
                  <c:v>131.58661290000001</c:v>
                </c:pt>
                <c:pt idx="1598">
                  <c:v>131.73500000000001</c:v>
                </c:pt>
                <c:pt idx="1599">
                  <c:v>131.78399999999999</c:v>
                </c:pt>
                <c:pt idx="1600">
                  <c:v>131.9019677</c:v>
                </c:pt>
                <c:pt idx="1601">
                  <c:v>131.94080650000001</c:v>
                </c:pt>
                <c:pt idx="1602">
                  <c:v>132.1062</c:v>
                </c:pt>
                <c:pt idx="1603">
                  <c:v>132.36483870000001</c:v>
                </c:pt>
                <c:pt idx="1604">
                  <c:v>132.43574190000001</c:v>
                </c:pt>
                <c:pt idx="1605">
                  <c:v>132.5218667</c:v>
                </c:pt>
                <c:pt idx="1606">
                  <c:v>132.54613330000001</c:v>
                </c:pt>
                <c:pt idx="1607">
                  <c:v>132.6141935</c:v>
                </c:pt>
                <c:pt idx="1608">
                  <c:v>132.72483869999999</c:v>
                </c:pt>
                <c:pt idx="1609">
                  <c:v>132.75645159999999</c:v>
                </c:pt>
                <c:pt idx="1610">
                  <c:v>132.7568</c:v>
                </c:pt>
                <c:pt idx="1611">
                  <c:v>132.75166669999999</c:v>
                </c:pt>
                <c:pt idx="1612">
                  <c:v>132.92458060000001</c:v>
                </c:pt>
                <c:pt idx="1613">
                  <c:v>132.97832260000001</c:v>
                </c:pt>
                <c:pt idx="1614">
                  <c:v>132.75666670000001</c:v>
                </c:pt>
                <c:pt idx="1615">
                  <c:v>132.6764</c:v>
                </c:pt>
                <c:pt idx="1616">
                  <c:v>132.88232260000001</c:v>
                </c:pt>
                <c:pt idx="1617">
                  <c:v>133.18341939999999</c:v>
                </c:pt>
                <c:pt idx="1618">
                  <c:v>133.26087100000001</c:v>
                </c:pt>
                <c:pt idx="1619">
                  <c:v>133.61414289999999</c:v>
                </c:pt>
                <c:pt idx="1620">
                  <c:v>133.7361429</c:v>
                </c:pt>
                <c:pt idx="1621">
                  <c:v>134.06825810000001</c:v>
                </c:pt>
                <c:pt idx="1622">
                  <c:v>134.17777419999999</c:v>
                </c:pt>
                <c:pt idx="1623">
                  <c:v>134.51436670000001</c:v>
                </c:pt>
                <c:pt idx="1624">
                  <c:v>134.85516129999999</c:v>
                </c:pt>
                <c:pt idx="1625">
                  <c:v>134.94254839999999</c:v>
                </c:pt>
                <c:pt idx="1626">
                  <c:v>135.4468</c:v>
                </c:pt>
                <c:pt idx="1627">
                  <c:v>135.62833330000001</c:v>
                </c:pt>
                <c:pt idx="1628">
                  <c:v>136.05403229999999</c:v>
                </c:pt>
                <c:pt idx="1629">
                  <c:v>136.14412899999999</c:v>
                </c:pt>
                <c:pt idx="1630">
                  <c:v>136.24409679999999</c:v>
                </c:pt>
                <c:pt idx="1631">
                  <c:v>136.27458060000001</c:v>
                </c:pt>
                <c:pt idx="1632">
                  <c:v>136.47200000000001</c:v>
                </c:pt>
                <c:pt idx="1633">
                  <c:v>136.47512900000001</c:v>
                </c:pt>
                <c:pt idx="1634">
                  <c:v>136.46180649999999</c:v>
                </c:pt>
                <c:pt idx="1635">
                  <c:v>136.49093329999999</c:v>
                </c:pt>
                <c:pt idx="1636">
                  <c:v>136.50306670000001</c:v>
                </c:pt>
                <c:pt idx="1637">
                  <c:v>136.69812899999999</c:v>
                </c:pt>
                <c:pt idx="1638">
                  <c:v>137.06325810000001</c:v>
                </c:pt>
                <c:pt idx="1639">
                  <c:v>137.1666774</c:v>
                </c:pt>
                <c:pt idx="1640">
                  <c:v>137.42389660000001</c:v>
                </c:pt>
                <c:pt idx="1641">
                  <c:v>137.50668970000001</c:v>
                </c:pt>
                <c:pt idx="1642">
                  <c:v>137.79709679999999</c:v>
                </c:pt>
                <c:pt idx="1643">
                  <c:v>138.03319999999999</c:v>
                </c:pt>
                <c:pt idx="1644">
                  <c:v>138.08826669999999</c:v>
                </c:pt>
                <c:pt idx="1645">
                  <c:v>138.11380650000001</c:v>
                </c:pt>
                <c:pt idx="1646">
                  <c:v>138.11741939999999</c:v>
                </c:pt>
                <c:pt idx="1647">
                  <c:v>138.22963329999999</c:v>
                </c:pt>
                <c:pt idx="1648">
                  <c:v>138.17358060000001</c:v>
                </c:pt>
                <c:pt idx="1649">
                  <c:v>138.1437742</c:v>
                </c:pt>
                <c:pt idx="1650">
                  <c:v>138.47293550000001</c:v>
                </c:pt>
                <c:pt idx="1651">
                  <c:v>138.82560000000001</c:v>
                </c:pt>
                <c:pt idx="1652">
                  <c:v>138.9117</c:v>
                </c:pt>
                <c:pt idx="1653">
                  <c:v>210.7526053</c:v>
                </c:pt>
                <c:pt idx="1654">
                  <c:v>210.89799350000001</c:v>
                </c:pt>
                <c:pt idx="1655">
                  <c:v>211.00675419999999</c:v>
                </c:pt>
                <c:pt idx="1656">
                  <c:v>211.03755100000001</c:v>
                </c:pt>
                <c:pt idx="1657">
                  <c:v>210.4798874</c:v>
                </c:pt>
                <c:pt idx="1658">
                  <c:v>210.28316530000001</c:v>
                </c:pt>
                <c:pt idx="1659">
                  <c:v>210.00110179999999</c:v>
                </c:pt>
                <c:pt idx="1660">
                  <c:v>210.83361600000001</c:v>
                </c:pt>
                <c:pt idx="1661">
                  <c:v>211.1120018</c:v>
                </c:pt>
                <c:pt idx="1662">
                  <c:v>210.88037259999999</c:v>
                </c:pt>
                <c:pt idx="1663">
                  <c:v>210.7657317</c:v>
                </c:pt>
                <c:pt idx="1664">
                  <c:v>211.16080489999999</c:v>
                </c:pt>
                <c:pt idx="1665">
                  <c:v>211.18869309999999</c:v>
                </c:pt>
                <c:pt idx="1666">
                  <c:v>211.15321040000001</c:v>
                </c:pt>
                <c:pt idx="1667">
                  <c:v>211.32987420000001</c:v>
                </c:pt>
                <c:pt idx="1668">
                  <c:v>211.4044906</c:v>
                </c:pt>
                <c:pt idx="1669">
                  <c:v>211.61350530000001</c:v>
                </c:pt>
                <c:pt idx="1670">
                  <c:v>211.6608975</c:v>
                </c:pt>
                <c:pt idx="1671">
                  <c:v>211.26554300000001</c:v>
                </c:pt>
                <c:pt idx="1672">
                  <c:v>211.12479930000001</c:v>
                </c:pt>
                <c:pt idx="1673">
                  <c:v>211.06488809999999</c:v>
                </c:pt>
                <c:pt idx="1674">
                  <c:v>212.22406459999999</c:v>
                </c:pt>
                <c:pt idx="1675">
                  <c:v>212.5928624</c:v>
                </c:pt>
                <c:pt idx="1676">
                  <c:v>213.4775305</c:v>
                </c:pt>
                <c:pt idx="1677">
                  <c:v>213.76464010000001</c:v>
                </c:pt>
                <c:pt idx="1678">
                  <c:v>214.4886908</c:v>
                </c:pt>
                <c:pt idx="1679">
                  <c:v>214.72522420000001</c:v>
                </c:pt>
                <c:pt idx="1680">
                  <c:v>215.44487090000001</c:v>
                </c:pt>
                <c:pt idx="1681">
                  <c:v>214.92548650000001</c:v>
                </c:pt>
                <c:pt idx="1682">
                  <c:v>214.69649079999999</c:v>
                </c:pt>
                <c:pt idx="1683">
                  <c:v>214.83686779999999</c:v>
                </c:pt>
                <c:pt idx="1684">
                  <c:v>214.92962489999999</c:v>
                </c:pt>
                <c:pt idx="1685">
                  <c:v>215.19785150000001</c:v>
                </c:pt>
                <c:pt idx="1686">
                  <c:v>215.25932109999999</c:v>
                </c:pt>
                <c:pt idx="1687">
                  <c:v>215.45086319999999</c:v>
                </c:pt>
                <c:pt idx="1688">
                  <c:v>215.51482949999999</c:v>
                </c:pt>
                <c:pt idx="1689">
                  <c:v>216.69583109999999</c:v>
                </c:pt>
                <c:pt idx="1690">
                  <c:v>217.48536050000001</c:v>
                </c:pt>
                <c:pt idx="1691">
                  <c:v>217.6455387</c:v>
                </c:pt>
                <c:pt idx="1692">
                  <c:v>218.35903189999999</c:v>
                </c:pt>
                <c:pt idx="1693">
                  <c:v>218.60503700000001</c:v>
                </c:pt>
                <c:pt idx="1694">
                  <c:v>219.355063</c:v>
                </c:pt>
                <c:pt idx="1695">
                  <c:v>219.81188539999999</c:v>
                </c:pt>
                <c:pt idx="1696">
                  <c:v>219.90490729999999</c:v>
                </c:pt>
                <c:pt idx="1697">
                  <c:v>220.48668860000001</c:v>
                </c:pt>
                <c:pt idx="1698">
                  <c:v>220.69743320000001</c:v>
                </c:pt>
                <c:pt idx="1699">
                  <c:v>221.07376379999999</c:v>
                </c:pt>
                <c:pt idx="1700">
                  <c:v>221.30951659999999</c:v>
                </c:pt>
                <c:pt idx="1701">
                  <c:v>221.3632212</c:v>
                </c:pt>
                <c:pt idx="1702">
                  <c:v>221.38527479999999</c:v>
                </c:pt>
                <c:pt idx="1703">
                  <c:v>221.38774670000001</c:v>
                </c:pt>
                <c:pt idx="1704">
                  <c:v>221.52150639999999</c:v>
                </c:pt>
                <c:pt idx="1705">
                  <c:v>221.58697989999999</c:v>
                </c:pt>
                <c:pt idx="1706">
                  <c:v>221.59541379999999</c:v>
                </c:pt>
                <c:pt idx="1707">
                  <c:v>222.07476349999999</c:v>
                </c:pt>
                <c:pt idx="1708">
                  <c:v>222.8159296</c:v>
                </c:pt>
                <c:pt idx="1709">
                  <c:v>223.0154263</c:v>
                </c:pt>
                <c:pt idx="1710">
                  <c:v>210.7526053</c:v>
                </c:pt>
                <c:pt idx="1711">
                  <c:v>210.89799350000001</c:v>
                </c:pt>
                <c:pt idx="1712">
                  <c:v>211.00675419999999</c:v>
                </c:pt>
                <c:pt idx="1713">
                  <c:v>211.03755100000001</c:v>
                </c:pt>
                <c:pt idx="1714">
                  <c:v>210.4798874</c:v>
                </c:pt>
                <c:pt idx="1715">
                  <c:v>210.28316530000001</c:v>
                </c:pt>
                <c:pt idx="1716">
                  <c:v>210.00110179999999</c:v>
                </c:pt>
                <c:pt idx="1717">
                  <c:v>210.83361600000001</c:v>
                </c:pt>
                <c:pt idx="1718">
                  <c:v>211.1120018</c:v>
                </c:pt>
                <c:pt idx="1719">
                  <c:v>210.88037259999999</c:v>
                </c:pt>
                <c:pt idx="1720">
                  <c:v>210.7657317</c:v>
                </c:pt>
                <c:pt idx="1721">
                  <c:v>211.16080489999999</c:v>
                </c:pt>
                <c:pt idx="1722">
                  <c:v>211.18869309999999</c:v>
                </c:pt>
                <c:pt idx="1723">
                  <c:v>211.15321040000001</c:v>
                </c:pt>
                <c:pt idx="1724">
                  <c:v>211.32987420000001</c:v>
                </c:pt>
                <c:pt idx="1725">
                  <c:v>211.4044906</c:v>
                </c:pt>
                <c:pt idx="1726">
                  <c:v>211.61350530000001</c:v>
                </c:pt>
                <c:pt idx="1727">
                  <c:v>211.6608975</c:v>
                </c:pt>
                <c:pt idx="1728">
                  <c:v>211.26554300000001</c:v>
                </c:pt>
                <c:pt idx="1729">
                  <c:v>211.12479930000001</c:v>
                </c:pt>
                <c:pt idx="1730">
                  <c:v>211.06488809999999</c:v>
                </c:pt>
                <c:pt idx="1731">
                  <c:v>212.22406459999999</c:v>
                </c:pt>
                <c:pt idx="1732">
                  <c:v>212.5928624</c:v>
                </c:pt>
                <c:pt idx="1733">
                  <c:v>213.4775305</c:v>
                </c:pt>
                <c:pt idx="1734">
                  <c:v>213.76464010000001</c:v>
                </c:pt>
                <c:pt idx="1735">
                  <c:v>214.4886908</c:v>
                </c:pt>
                <c:pt idx="1736">
                  <c:v>214.72522420000001</c:v>
                </c:pt>
                <c:pt idx="1737">
                  <c:v>215.44487090000001</c:v>
                </c:pt>
                <c:pt idx="1738">
                  <c:v>214.92548650000001</c:v>
                </c:pt>
                <c:pt idx="1739">
                  <c:v>214.69649079999999</c:v>
                </c:pt>
                <c:pt idx="1740">
                  <c:v>214.83686779999999</c:v>
                </c:pt>
                <c:pt idx="1741">
                  <c:v>214.92962489999999</c:v>
                </c:pt>
                <c:pt idx="1742">
                  <c:v>215.19785150000001</c:v>
                </c:pt>
                <c:pt idx="1743">
                  <c:v>215.25932109999999</c:v>
                </c:pt>
                <c:pt idx="1744">
                  <c:v>215.45086319999999</c:v>
                </c:pt>
                <c:pt idx="1745">
                  <c:v>215.51482949999999</c:v>
                </c:pt>
                <c:pt idx="1746">
                  <c:v>216.69583109999999</c:v>
                </c:pt>
                <c:pt idx="1747">
                  <c:v>217.48536050000001</c:v>
                </c:pt>
                <c:pt idx="1748">
                  <c:v>217.6455387</c:v>
                </c:pt>
                <c:pt idx="1749">
                  <c:v>218.35903189999999</c:v>
                </c:pt>
                <c:pt idx="1750">
                  <c:v>218.60503700000001</c:v>
                </c:pt>
                <c:pt idx="1751">
                  <c:v>219.355063</c:v>
                </c:pt>
                <c:pt idx="1752">
                  <c:v>219.81188539999999</c:v>
                </c:pt>
                <c:pt idx="1753">
                  <c:v>219.90490729999999</c:v>
                </c:pt>
                <c:pt idx="1754">
                  <c:v>220.48668860000001</c:v>
                </c:pt>
                <c:pt idx="1755">
                  <c:v>220.69743320000001</c:v>
                </c:pt>
                <c:pt idx="1756">
                  <c:v>221.07376379999999</c:v>
                </c:pt>
                <c:pt idx="1757">
                  <c:v>221.30951659999999</c:v>
                </c:pt>
                <c:pt idx="1758">
                  <c:v>221.3632212</c:v>
                </c:pt>
                <c:pt idx="1759">
                  <c:v>221.38527479999999</c:v>
                </c:pt>
                <c:pt idx="1760">
                  <c:v>221.38774670000001</c:v>
                </c:pt>
                <c:pt idx="1761">
                  <c:v>221.52150639999999</c:v>
                </c:pt>
                <c:pt idx="1762">
                  <c:v>221.58697989999999</c:v>
                </c:pt>
                <c:pt idx="1763">
                  <c:v>221.59541379999999</c:v>
                </c:pt>
                <c:pt idx="1764">
                  <c:v>222.07476349999999</c:v>
                </c:pt>
                <c:pt idx="1765">
                  <c:v>222.8159296</c:v>
                </c:pt>
                <c:pt idx="1766">
                  <c:v>223.0154263</c:v>
                </c:pt>
                <c:pt idx="1767">
                  <c:v>189.38169740000001</c:v>
                </c:pt>
                <c:pt idx="1768">
                  <c:v>189.46427249999999</c:v>
                </c:pt>
                <c:pt idx="1769">
                  <c:v>189.66950489999999</c:v>
                </c:pt>
                <c:pt idx="1770">
                  <c:v>189.73720750000001</c:v>
                </c:pt>
                <c:pt idx="1771">
                  <c:v>189.70482150000001</c:v>
                </c:pt>
                <c:pt idx="1772">
                  <c:v>189.69010119999999</c:v>
                </c:pt>
                <c:pt idx="1773">
                  <c:v>189.53124829999999</c:v>
                </c:pt>
                <c:pt idx="1774">
                  <c:v>189.42265800000001</c:v>
                </c:pt>
                <c:pt idx="1775">
                  <c:v>189.4000734</c:v>
                </c:pt>
                <c:pt idx="1776">
                  <c:v>189.48826030000001</c:v>
                </c:pt>
                <c:pt idx="1777">
                  <c:v>189.52312760000001</c:v>
                </c:pt>
                <c:pt idx="1778">
                  <c:v>190.09900279999999</c:v>
                </c:pt>
                <c:pt idx="1779">
                  <c:v>190.3621607</c:v>
                </c:pt>
                <c:pt idx="1780">
                  <c:v>190.3958293</c:v>
                </c:pt>
                <c:pt idx="1781">
                  <c:v>190.67382409999999</c:v>
                </c:pt>
                <c:pt idx="1782">
                  <c:v>190.77632180000001</c:v>
                </c:pt>
                <c:pt idx="1783">
                  <c:v>190.9964377</c:v>
                </c:pt>
                <c:pt idx="1784">
                  <c:v>191.0411474</c:v>
                </c:pt>
                <c:pt idx="1785">
                  <c:v>190.99314369999999</c:v>
                </c:pt>
                <c:pt idx="1786">
                  <c:v>190.97410690000001</c:v>
                </c:pt>
                <c:pt idx="1787">
                  <c:v>191.3683815</c:v>
                </c:pt>
                <c:pt idx="1788">
                  <c:v>191.76258949999999</c:v>
                </c:pt>
                <c:pt idx="1789">
                  <c:v>191.85728810000001</c:v>
                </c:pt>
                <c:pt idx="1790">
                  <c:v>192.01160039999999</c:v>
                </c:pt>
                <c:pt idx="1791">
                  <c:v>192.05848399999999</c:v>
                </c:pt>
                <c:pt idx="1792">
                  <c:v>192.26917069999999</c:v>
                </c:pt>
                <c:pt idx="1793">
                  <c:v>192.3418571</c:v>
                </c:pt>
                <c:pt idx="1794">
                  <c:v>192.72520059999999</c:v>
                </c:pt>
                <c:pt idx="1795">
                  <c:v>192.8418131</c:v>
                </c:pt>
                <c:pt idx="1796">
                  <c:v>192.84706120000001</c:v>
                </c:pt>
                <c:pt idx="1797">
                  <c:v>193.09305520000001</c:v>
                </c:pt>
                <c:pt idx="1798">
                  <c:v>193.18784479999999</c:v>
                </c:pt>
                <c:pt idx="1799">
                  <c:v>193.91101330000001</c:v>
                </c:pt>
                <c:pt idx="1800">
                  <c:v>194.11050169999999</c:v>
                </c:pt>
                <c:pt idx="1801">
                  <c:v>194.5092113</c:v>
                </c:pt>
                <c:pt idx="1802">
                  <c:v>194.6387853</c:v>
                </c:pt>
                <c:pt idx="1803">
                  <c:v>194.94597239999999</c:v>
                </c:pt>
                <c:pt idx="1804">
                  <c:v>195.48479589999999</c:v>
                </c:pt>
                <c:pt idx="1805">
                  <c:v>195.6376941</c:v>
                </c:pt>
                <c:pt idx="1806">
                  <c:v>195.82232870000001</c:v>
                </c:pt>
                <c:pt idx="1807">
                  <c:v>195.8742575</c:v>
                </c:pt>
                <c:pt idx="1808">
                  <c:v>196.5458309</c:v>
                </c:pt>
                <c:pt idx="1809">
                  <c:v>196.8728921</c:v>
                </c:pt>
                <c:pt idx="1810">
                  <c:v>196.91950560000001</c:v>
                </c:pt>
                <c:pt idx="1811">
                  <c:v>196.9565303</c:v>
                </c:pt>
                <c:pt idx="1812">
                  <c:v>196.96315989999999</c:v>
                </c:pt>
                <c:pt idx="1813">
                  <c:v>197.5971285</c:v>
                </c:pt>
                <c:pt idx="1814">
                  <c:v>197.60635339999999</c:v>
                </c:pt>
                <c:pt idx="1815">
                  <c:v>197.5481609</c:v>
                </c:pt>
                <c:pt idx="1816">
                  <c:v>197.6218954</c:v>
                </c:pt>
                <c:pt idx="1817">
                  <c:v>197.6551863</c:v>
                </c:pt>
                <c:pt idx="1818">
                  <c:v>197.83221950000001</c:v>
                </c:pt>
                <c:pt idx="1819">
                  <c:v>198.02938929999999</c:v>
                </c:pt>
                <c:pt idx="1820">
                  <c:v>198.0795651</c:v>
                </c:pt>
                <c:pt idx="1821">
                  <c:v>198.0950484</c:v>
                </c:pt>
                <c:pt idx="1822">
                  <c:v>198.8221322</c:v>
                </c:pt>
                <c:pt idx="1823">
                  <c:v>199.0539368</c:v>
                </c:pt>
                <c:pt idx="1824">
                  <c:v>126.4420645</c:v>
                </c:pt>
                <c:pt idx="1825">
                  <c:v>126.49625810000001</c:v>
                </c:pt>
                <c:pt idx="1826">
                  <c:v>126.5782857</c:v>
                </c:pt>
                <c:pt idx="1827">
                  <c:v>126.60428570000001</c:v>
                </c:pt>
                <c:pt idx="1828">
                  <c:v>126.6034839</c:v>
                </c:pt>
                <c:pt idx="1829">
                  <c:v>126.6019032</c:v>
                </c:pt>
                <c:pt idx="1830">
                  <c:v>126.2898</c:v>
                </c:pt>
                <c:pt idx="1831">
                  <c:v>126.1360645</c:v>
                </c:pt>
                <c:pt idx="1832">
                  <c:v>126.1119032</c:v>
                </c:pt>
                <c:pt idx="1833">
                  <c:v>126.1392</c:v>
                </c:pt>
                <c:pt idx="1834">
                  <c:v>126.15179999999999</c:v>
                </c:pt>
                <c:pt idx="1835">
                  <c:v>126.0854516</c:v>
                </c:pt>
                <c:pt idx="1836">
                  <c:v>126.1019355</c:v>
                </c:pt>
                <c:pt idx="1837">
                  <c:v>126.1145806</c:v>
                </c:pt>
                <c:pt idx="1838">
                  <c:v>126.2346</c:v>
                </c:pt>
                <c:pt idx="1839">
                  <c:v>126.2791667</c:v>
                </c:pt>
                <c:pt idx="1840">
                  <c:v>126.4912903</c:v>
                </c:pt>
                <c:pt idx="1841">
                  <c:v>126.54616129999999</c:v>
                </c:pt>
                <c:pt idx="1842">
                  <c:v>126.7313333</c:v>
                </c:pt>
                <c:pt idx="1843">
                  <c:v>126.79340000000001</c:v>
                </c:pt>
                <c:pt idx="1844">
                  <c:v>127.1917742</c:v>
                </c:pt>
                <c:pt idx="1845">
                  <c:v>127.7195806</c:v>
                </c:pt>
                <c:pt idx="1846">
                  <c:v>127.859129</c:v>
                </c:pt>
                <c:pt idx="1847">
                  <c:v>128.26474999999999</c:v>
                </c:pt>
                <c:pt idx="1848">
                  <c:v>128.39949999999999</c:v>
                </c:pt>
                <c:pt idx="1849">
                  <c:v>128.71993549999999</c:v>
                </c:pt>
                <c:pt idx="1850">
                  <c:v>128.82380649999999</c:v>
                </c:pt>
                <c:pt idx="1851">
                  <c:v>129.04443330000001</c:v>
                </c:pt>
                <c:pt idx="1852">
                  <c:v>129.04903229999999</c:v>
                </c:pt>
                <c:pt idx="1853">
                  <c:v>129.03570970000001</c:v>
                </c:pt>
                <c:pt idx="1854">
                  <c:v>129.08940000000001</c:v>
                </c:pt>
                <c:pt idx="1855">
                  <c:v>129.11250000000001</c:v>
                </c:pt>
                <c:pt idx="1856">
                  <c:v>129.18464520000001</c:v>
                </c:pt>
                <c:pt idx="1857">
                  <c:v>129.2015806</c:v>
                </c:pt>
                <c:pt idx="1858">
                  <c:v>129.32593550000001</c:v>
                </c:pt>
                <c:pt idx="1859">
                  <c:v>129.36861289999999</c:v>
                </c:pt>
                <c:pt idx="1860">
                  <c:v>129.69380000000001</c:v>
                </c:pt>
                <c:pt idx="1861">
                  <c:v>129.8051935</c:v>
                </c:pt>
                <c:pt idx="1862">
                  <c:v>129.81670969999999</c:v>
                </c:pt>
                <c:pt idx="1863">
                  <c:v>129.84596669999999</c:v>
                </c:pt>
                <c:pt idx="1864">
                  <c:v>129.85553329999999</c:v>
                </c:pt>
                <c:pt idx="1865">
                  <c:v>130.15751610000001</c:v>
                </c:pt>
                <c:pt idx="1866">
                  <c:v>130.34967739999999</c:v>
                </c:pt>
                <c:pt idx="1867">
                  <c:v>130.3849032</c:v>
                </c:pt>
                <c:pt idx="1868">
                  <c:v>130.64579309999999</c:v>
                </c:pt>
                <c:pt idx="1869">
                  <c:v>130.74137930000001</c:v>
                </c:pt>
                <c:pt idx="1870">
                  <c:v>131.03754839999999</c:v>
                </c:pt>
                <c:pt idx="1871">
                  <c:v>131.136</c:v>
                </c:pt>
                <c:pt idx="1872">
                  <c:v>131.1453333</c:v>
                </c:pt>
                <c:pt idx="1873">
                  <c:v>130.95922580000001</c:v>
                </c:pt>
                <c:pt idx="1874">
                  <c:v>130.88967740000001</c:v>
                </c:pt>
                <c:pt idx="1875">
                  <c:v>130.7196333</c:v>
                </c:pt>
                <c:pt idx="1876">
                  <c:v>130.73787100000001</c:v>
                </c:pt>
                <c:pt idx="1877">
                  <c:v>130.7561613</c:v>
                </c:pt>
                <c:pt idx="1878">
                  <c:v>130.9325484</c:v>
                </c:pt>
                <c:pt idx="1879">
                  <c:v>131.0756667</c:v>
                </c:pt>
                <c:pt idx="1880">
                  <c:v>131.1083333</c:v>
                </c:pt>
                <c:pt idx="1881">
                  <c:v>126.4420645</c:v>
                </c:pt>
                <c:pt idx="1882">
                  <c:v>126.49625810000001</c:v>
                </c:pt>
                <c:pt idx="1883">
                  <c:v>126.5782857</c:v>
                </c:pt>
                <c:pt idx="1884">
                  <c:v>126.60428570000001</c:v>
                </c:pt>
                <c:pt idx="1885">
                  <c:v>126.6034839</c:v>
                </c:pt>
                <c:pt idx="1886">
                  <c:v>126.6019032</c:v>
                </c:pt>
                <c:pt idx="1887">
                  <c:v>126.2898</c:v>
                </c:pt>
                <c:pt idx="1888">
                  <c:v>126.1360645</c:v>
                </c:pt>
                <c:pt idx="1889">
                  <c:v>126.1119032</c:v>
                </c:pt>
                <c:pt idx="1890">
                  <c:v>126.1392</c:v>
                </c:pt>
                <c:pt idx="1891">
                  <c:v>126.15179999999999</c:v>
                </c:pt>
                <c:pt idx="1892">
                  <c:v>126.0854516</c:v>
                </c:pt>
                <c:pt idx="1893">
                  <c:v>126.1019355</c:v>
                </c:pt>
                <c:pt idx="1894">
                  <c:v>126.1145806</c:v>
                </c:pt>
                <c:pt idx="1895">
                  <c:v>126.2346</c:v>
                </c:pt>
                <c:pt idx="1896">
                  <c:v>126.2791667</c:v>
                </c:pt>
                <c:pt idx="1897">
                  <c:v>126.4912903</c:v>
                </c:pt>
                <c:pt idx="1898">
                  <c:v>126.54616129999999</c:v>
                </c:pt>
                <c:pt idx="1899">
                  <c:v>126.7313333</c:v>
                </c:pt>
                <c:pt idx="1900">
                  <c:v>126.79340000000001</c:v>
                </c:pt>
                <c:pt idx="1901">
                  <c:v>127.1917742</c:v>
                </c:pt>
                <c:pt idx="1902">
                  <c:v>127.7195806</c:v>
                </c:pt>
                <c:pt idx="1903">
                  <c:v>127.859129</c:v>
                </c:pt>
                <c:pt idx="1904">
                  <c:v>128.26474999999999</c:v>
                </c:pt>
                <c:pt idx="1905">
                  <c:v>128.39949999999999</c:v>
                </c:pt>
                <c:pt idx="1906">
                  <c:v>128.71993549999999</c:v>
                </c:pt>
                <c:pt idx="1907">
                  <c:v>128.82380649999999</c:v>
                </c:pt>
                <c:pt idx="1908">
                  <c:v>129.04443330000001</c:v>
                </c:pt>
                <c:pt idx="1909">
                  <c:v>129.04903229999999</c:v>
                </c:pt>
                <c:pt idx="1910">
                  <c:v>129.03570970000001</c:v>
                </c:pt>
                <c:pt idx="1911">
                  <c:v>129.08940000000001</c:v>
                </c:pt>
                <c:pt idx="1912">
                  <c:v>129.11250000000001</c:v>
                </c:pt>
                <c:pt idx="1913">
                  <c:v>129.18464520000001</c:v>
                </c:pt>
                <c:pt idx="1914">
                  <c:v>129.2015806</c:v>
                </c:pt>
                <c:pt idx="1915">
                  <c:v>129.32593550000001</c:v>
                </c:pt>
                <c:pt idx="1916">
                  <c:v>129.36861289999999</c:v>
                </c:pt>
                <c:pt idx="1917">
                  <c:v>129.69380000000001</c:v>
                </c:pt>
                <c:pt idx="1918">
                  <c:v>129.8051935</c:v>
                </c:pt>
                <c:pt idx="1919">
                  <c:v>129.81670969999999</c:v>
                </c:pt>
                <c:pt idx="1920">
                  <c:v>129.84596669999999</c:v>
                </c:pt>
                <c:pt idx="1921">
                  <c:v>129.85553329999999</c:v>
                </c:pt>
                <c:pt idx="1922">
                  <c:v>130.15751610000001</c:v>
                </c:pt>
                <c:pt idx="1923">
                  <c:v>130.34967739999999</c:v>
                </c:pt>
                <c:pt idx="1924">
                  <c:v>130.3849032</c:v>
                </c:pt>
                <c:pt idx="1925">
                  <c:v>130.64579309999999</c:v>
                </c:pt>
                <c:pt idx="1926">
                  <c:v>130.74137930000001</c:v>
                </c:pt>
                <c:pt idx="1927">
                  <c:v>131.03754839999999</c:v>
                </c:pt>
                <c:pt idx="1928">
                  <c:v>131.136</c:v>
                </c:pt>
                <c:pt idx="1929">
                  <c:v>131.1453333</c:v>
                </c:pt>
                <c:pt idx="1930">
                  <c:v>130.95922580000001</c:v>
                </c:pt>
                <c:pt idx="1931">
                  <c:v>130.88967740000001</c:v>
                </c:pt>
                <c:pt idx="1932">
                  <c:v>130.7196333</c:v>
                </c:pt>
                <c:pt idx="1933">
                  <c:v>130.73787100000001</c:v>
                </c:pt>
                <c:pt idx="1934">
                  <c:v>130.7561613</c:v>
                </c:pt>
                <c:pt idx="1935">
                  <c:v>130.9325484</c:v>
                </c:pt>
                <c:pt idx="1936">
                  <c:v>131.0756667</c:v>
                </c:pt>
                <c:pt idx="1937">
                  <c:v>131.1083333</c:v>
                </c:pt>
                <c:pt idx="1938">
                  <c:v>135.35246079999999</c:v>
                </c:pt>
                <c:pt idx="1939">
                  <c:v>135.41130759999999</c:v>
                </c:pt>
                <c:pt idx="1940">
                  <c:v>135.57326019999999</c:v>
                </c:pt>
                <c:pt idx="1941">
                  <c:v>135.62700129999999</c:v>
                </c:pt>
                <c:pt idx="1942">
                  <c:v>135.74649880000001</c:v>
                </c:pt>
                <c:pt idx="1943">
                  <c:v>135.78563589999999</c:v>
                </c:pt>
                <c:pt idx="1944">
                  <c:v>135.96199999999999</c:v>
                </c:pt>
                <c:pt idx="1945">
                  <c:v>136.21816820000001</c:v>
                </c:pt>
                <c:pt idx="1946">
                  <c:v>136.28742629999999</c:v>
                </c:pt>
                <c:pt idx="1947">
                  <c:v>136.37228930000001</c:v>
                </c:pt>
                <c:pt idx="1948">
                  <c:v>136.39626430000001</c:v>
                </c:pt>
                <c:pt idx="1949">
                  <c:v>136.4741118</c:v>
                </c:pt>
                <c:pt idx="1950">
                  <c:v>136.58911180000001</c:v>
                </c:pt>
                <c:pt idx="1951">
                  <c:v>136.62120849999999</c:v>
                </c:pt>
                <c:pt idx="1952">
                  <c:v>136.62975710000001</c:v>
                </c:pt>
                <c:pt idx="1953">
                  <c:v>136.6277321</c:v>
                </c:pt>
                <c:pt idx="1954">
                  <c:v>136.78622580000001</c:v>
                </c:pt>
                <c:pt idx="1955">
                  <c:v>136.83490320000001</c:v>
                </c:pt>
                <c:pt idx="1956">
                  <c:v>136.60757140000001</c:v>
                </c:pt>
                <c:pt idx="1957">
                  <c:v>136.52557139999999</c:v>
                </c:pt>
                <c:pt idx="1958">
                  <c:v>136.73325689999999</c:v>
                </c:pt>
                <c:pt idx="1959">
                  <c:v>137.05424310000001</c:v>
                </c:pt>
                <c:pt idx="1960">
                  <c:v>137.13783179999999</c:v>
                </c:pt>
                <c:pt idx="1961">
                  <c:v>137.5017028</c:v>
                </c:pt>
                <c:pt idx="1962">
                  <c:v>137.62696170000001</c:v>
                </c:pt>
                <c:pt idx="1963">
                  <c:v>137.95589290000001</c:v>
                </c:pt>
                <c:pt idx="1964">
                  <c:v>138.06389290000001</c:v>
                </c:pt>
                <c:pt idx="1965">
                  <c:v>138.41312020000001</c:v>
                </c:pt>
                <c:pt idx="1966">
                  <c:v>138.76946079999999</c:v>
                </c:pt>
                <c:pt idx="1967">
                  <c:v>138.86063820000001</c:v>
                </c:pt>
                <c:pt idx="1968">
                  <c:v>139.36375000000001</c:v>
                </c:pt>
                <c:pt idx="1969">
                  <c:v>139.54420830000001</c:v>
                </c:pt>
                <c:pt idx="1970">
                  <c:v>139.98964860000001</c:v>
                </c:pt>
                <c:pt idx="1971">
                  <c:v>140.0859873</c:v>
                </c:pt>
                <c:pt idx="1972">
                  <c:v>140.19698500000001</c:v>
                </c:pt>
                <c:pt idx="1973">
                  <c:v>140.23101729999999</c:v>
                </c:pt>
                <c:pt idx="1974">
                  <c:v>140.43475000000001</c:v>
                </c:pt>
                <c:pt idx="1975">
                  <c:v>140.42797580000001</c:v>
                </c:pt>
                <c:pt idx="1976">
                  <c:v>140.4111613</c:v>
                </c:pt>
                <c:pt idx="1977">
                  <c:v>140.4307857</c:v>
                </c:pt>
                <c:pt idx="1978">
                  <c:v>140.43978569999999</c:v>
                </c:pt>
                <c:pt idx="1979">
                  <c:v>140.64613589999999</c:v>
                </c:pt>
                <c:pt idx="1980">
                  <c:v>141.01619239999999</c:v>
                </c:pt>
                <c:pt idx="1981">
                  <c:v>141.11998270000001</c:v>
                </c:pt>
                <c:pt idx="1982">
                  <c:v>141.3875357</c:v>
                </c:pt>
                <c:pt idx="1983">
                  <c:v>141.4742857</c:v>
                </c:pt>
                <c:pt idx="1984">
                  <c:v>141.7712396</c:v>
                </c:pt>
                <c:pt idx="1985">
                  <c:v>142.01779289999999</c:v>
                </c:pt>
                <c:pt idx="1986">
                  <c:v>142.0759262</c:v>
                </c:pt>
                <c:pt idx="1987">
                  <c:v>142.10954380000001</c:v>
                </c:pt>
                <c:pt idx="1988">
                  <c:v>142.11580989999999</c:v>
                </c:pt>
                <c:pt idx="1989">
                  <c:v>142.22342979999999</c:v>
                </c:pt>
                <c:pt idx="1990">
                  <c:v>142.19162789999999</c:v>
                </c:pt>
                <c:pt idx="1991">
                  <c:v>142.17056339999999</c:v>
                </c:pt>
                <c:pt idx="1992">
                  <c:v>142.500303</c:v>
                </c:pt>
                <c:pt idx="1993">
                  <c:v>142.85168329999999</c:v>
                </c:pt>
                <c:pt idx="1994">
                  <c:v>142.93761670000001</c:v>
                </c:pt>
                <c:pt idx="1995">
                  <c:v>209.85296629999999</c:v>
                </c:pt>
                <c:pt idx="1996">
                  <c:v>209.9970208</c:v>
                </c:pt>
                <c:pt idx="1997">
                  <c:v>210.10927459999999</c:v>
                </c:pt>
                <c:pt idx="1998">
                  <c:v>210.14136070000001</c:v>
                </c:pt>
                <c:pt idx="1999">
                  <c:v>209.59386559999999</c:v>
                </c:pt>
                <c:pt idx="2000">
                  <c:v>209.40063799999999</c:v>
                </c:pt>
                <c:pt idx="2001">
                  <c:v>209.12158669999999</c:v>
                </c:pt>
                <c:pt idx="2002">
                  <c:v>209.93980909999999</c:v>
                </c:pt>
                <c:pt idx="2003">
                  <c:v>210.2135668</c:v>
                </c:pt>
                <c:pt idx="2004">
                  <c:v>209.984205</c:v>
                </c:pt>
                <c:pt idx="2005">
                  <c:v>209.8708867</c:v>
                </c:pt>
                <c:pt idx="2006">
                  <c:v>210.2614925</c:v>
                </c:pt>
                <c:pt idx="2007">
                  <c:v>210.29666309999999</c:v>
                </c:pt>
                <c:pt idx="2008">
                  <c:v>210.2641156</c:v>
                </c:pt>
                <c:pt idx="2009">
                  <c:v>210.4404433</c:v>
                </c:pt>
                <c:pt idx="2010">
                  <c:v>210.51443979999999</c:v>
                </c:pt>
                <c:pt idx="2011">
                  <c:v>210.72024440000001</c:v>
                </c:pt>
                <c:pt idx="2012">
                  <c:v>210.76679440000001</c:v>
                </c:pt>
                <c:pt idx="2013">
                  <c:v>210.37626299999999</c:v>
                </c:pt>
                <c:pt idx="2014">
                  <c:v>210.2372494</c:v>
                </c:pt>
                <c:pt idx="2015">
                  <c:v>210.18423580000001</c:v>
                </c:pt>
                <c:pt idx="2016">
                  <c:v>211.3333753</c:v>
                </c:pt>
                <c:pt idx="2017">
                  <c:v>211.69850930000001</c:v>
                </c:pt>
                <c:pt idx="2018">
                  <c:v>212.57620499999999</c:v>
                </c:pt>
                <c:pt idx="2019">
                  <c:v>212.86113130000001</c:v>
                </c:pt>
                <c:pt idx="2020">
                  <c:v>213.57767010000001</c:v>
                </c:pt>
                <c:pt idx="2021">
                  <c:v>213.81166579999999</c:v>
                </c:pt>
                <c:pt idx="2022">
                  <c:v>214.52403760000001</c:v>
                </c:pt>
                <c:pt idx="2023">
                  <c:v>214.01628049999999</c:v>
                </c:pt>
                <c:pt idx="2024">
                  <c:v>213.7917147</c:v>
                </c:pt>
                <c:pt idx="2025">
                  <c:v>213.93241219999999</c:v>
                </c:pt>
                <c:pt idx="2026">
                  <c:v>214.02455560000001</c:v>
                </c:pt>
                <c:pt idx="2027">
                  <c:v>214.2972939</c:v>
                </c:pt>
                <c:pt idx="2028">
                  <c:v>214.36027010000001</c:v>
                </c:pt>
                <c:pt idx="2029">
                  <c:v>214.5516896</c:v>
                </c:pt>
                <c:pt idx="2030">
                  <c:v>214.61553760000001</c:v>
                </c:pt>
                <c:pt idx="2031">
                  <c:v>215.7831333</c:v>
                </c:pt>
                <c:pt idx="2032">
                  <c:v>216.56343440000001</c:v>
                </c:pt>
                <c:pt idx="2033">
                  <c:v>216.7217373</c:v>
                </c:pt>
                <c:pt idx="2034">
                  <c:v>217.4229206</c:v>
                </c:pt>
                <c:pt idx="2035">
                  <c:v>217.66458779999999</c:v>
                </c:pt>
                <c:pt idx="2036">
                  <c:v>218.40628760000001</c:v>
                </c:pt>
                <c:pt idx="2037">
                  <c:v>218.8619099</c:v>
                </c:pt>
                <c:pt idx="2038">
                  <c:v>218.9551002</c:v>
                </c:pt>
                <c:pt idx="2039">
                  <c:v>219.5340975</c:v>
                </c:pt>
                <c:pt idx="2040">
                  <c:v>219.7437314</c:v>
                </c:pt>
                <c:pt idx="2041">
                  <c:v>220.12041249999999</c:v>
                </c:pt>
                <c:pt idx="2042">
                  <c:v>220.3545033</c:v>
                </c:pt>
                <c:pt idx="2043">
                  <c:v>220.40755809999999</c:v>
                </c:pt>
                <c:pt idx="2044">
                  <c:v>220.4322099</c:v>
                </c:pt>
                <c:pt idx="2045">
                  <c:v>220.43570729999999</c:v>
                </c:pt>
                <c:pt idx="2046">
                  <c:v>220.56711200000001</c:v>
                </c:pt>
                <c:pt idx="2047">
                  <c:v>220.63193580000001</c:v>
                </c:pt>
                <c:pt idx="2048">
                  <c:v>220.64046630000001</c:v>
                </c:pt>
                <c:pt idx="2049">
                  <c:v>221.11811420000001</c:v>
                </c:pt>
                <c:pt idx="2050">
                  <c:v>221.8533396</c:v>
                </c:pt>
                <c:pt idx="2051">
                  <c:v>222.0510793</c:v>
                </c:pt>
                <c:pt idx="2052">
                  <c:v>209.85296629999999</c:v>
                </c:pt>
                <c:pt idx="2053">
                  <c:v>209.9970208</c:v>
                </c:pt>
                <c:pt idx="2054">
                  <c:v>210.10927459999999</c:v>
                </c:pt>
                <c:pt idx="2055">
                  <c:v>210.14136070000001</c:v>
                </c:pt>
                <c:pt idx="2056">
                  <c:v>209.59386559999999</c:v>
                </c:pt>
                <c:pt idx="2057">
                  <c:v>209.40063799999999</c:v>
                </c:pt>
                <c:pt idx="2058">
                  <c:v>209.12158669999999</c:v>
                </c:pt>
                <c:pt idx="2059">
                  <c:v>209.93980909999999</c:v>
                </c:pt>
                <c:pt idx="2060">
                  <c:v>210.2135668</c:v>
                </c:pt>
                <c:pt idx="2061">
                  <c:v>209.984205</c:v>
                </c:pt>
                <c:pt idx="2062">
                  <c:v>209.8708867</c:v>
                </c:pt>
                <c:pt idx="2063">
                  <c:v>210.2614925</c:v>
                </c:pt>
                <c:pt idx="2064">
                  <c:v>210.29666309999999</c:v>
                </c:pt>
                <c:pt idx="2065">
                  <c:v>210.2641156</c:v>
                </c:pt>
                <c:pt idx="2066">
                  <c:v>210.4404433</c:v>
                </c:pt>
                <c:pt idx="2067">
                  <c:v>210.51443979999999</c:v>
                </c:pt>
                <c:pt idx="2068">
                  <c:v>210.72024440000001</c:v>
                </c:pt>
                <c:pt idx="2069">
                  <c:v>210.76679440000001</c:v>
                </c:pt>
                <c:pt idx="2070">
                  <c:v>210.37626299999999</c:v>
                </c:pt>
                <c:pt idx="2071">
                  <c:v>210.2372494</c:v>
                </c:pt>
                <c:pt idx="2072">
                  <c:v>210.18423580000001</c:v>
                </c:pt>
                <c:pt idx="2073">
                  <c:v>211.3333753</c:v>
                </c:pt>
                <c:pt idx="2074">
                  <c:v>211.69850930000001</c:v>
                </c:pt>
                <c:pt idx="2075">
                  <c:v>212.57620499999999</c:v>
                </c:pt>
                <c:pt idx="2076">
                  <c:v>212.86113130000001</c:v>
                </c:pt>
                <c:pt idx="2077">
                  <c:v>213.57767010000001</c:v>
                </c:pt>
                <c:pt idx="2078">
                  <c:v>213.81166579999999</c:v>
                </c:pt>
                <c:pt idx="2079">
                  <c:v>214.52403760000001</c:v>
                </c:pt>
                <c:pt idx="2080">
                  <c:v>214.01628049999999</c:v>
                </c:pt>
                <c:pt idx="2081">
                  <c:v>213.7917147</c:v>
                </c:pt>
                <c:pt idx="2082">
                  <c:v>213.93241219999999</c:v>
                </c:pt>
                <c:pt idx="2083">
                  <c:v>214.02455560000001</c:v>
                </c:pt>
                <c:pt idx="2084">
                  <c:v>214.2972939</c:v>
                </c:pt>
                <c:pt idx="2085">
                  <c:v>214.36027010000001</c:v>
                </c:pt>
                <c:pt idx="2086">
                  <c:v>214.5516896</c:v>
                </c:pt>
                <c:pt idx="2087">
                  <c:v>214.61553760000001</c:v>
                </c:pt>
                <c:pt idx="2088">
                  <c:v>215.7831333</c:v>
                </c:pt>
                <c:pt idx="2089">
                  <c:v>216.56343440000001</c:v>
                </c:pt>
                <c:pt idx="2090">
                  <c:v>216.7217373</c:v>
                </c:pt>
                <c:pt idx="2091">
                  <c:v>217.4229206</c:v>
                </c:pt>
                <c:pt idx="2092">
                  <c:v>217.66458779999999</c:v>
                </c:pt>
                <c:pt idx="2093">
                  <c:v>218.40628760000001</c:v>
                </c:pt>
                <c:pt idx="2094">
                  <c:v>218.8619099</c:v>
                </c:pt>
                <c:pt idx="2095">
                  <c:v>218.9551002</c:v>
                </c:pt>
                <c:pt idx="2096">
                  <c:v>219.5340975</c:v>
                </c:pt>
                <c:pt idx="2097">
                  <c:v>219.7437314</c:v>
                </c:pt>
                <c:pt idx="2098">
                  <c:v>220.12041249999999</c:v>
                </c:pt>
                <c:pt idx="2099">
                  <c:v>220.3545033</c:v>
                </c:pt>
                <c:pt idx="2100">
                  <c:v>220.40755809999999</c:v>
                </c:pt>
                <c:pt idx="2101">
                  <c:v>220.4322099</c:v>
                </c:pt>
                <c:pt idx="2102">
                  <c:v>220.43570729999999</c:v>
                </c:pt>
                <c:pt idx="2103">
                  <c:v>220.56711200000001</c:v>
                </c:pt>
                <c:pt idx="2104">
                  <c:v>220.63193580000001</c:v>
                </c:pt>
                <c:pt idx="2105">
                  <c:v>220.64046630000001</c:v>
                </c:pt>
                <c:pt idx="2106">
                  <c:v>221.11811420000001</c:v>
                </c:pt>
                <c:pt idx="2107">
                  <c:v>221.8533396</c:v>
                </c:pt>
                <c:pt idx="2108">
                  <c:v>222.0510793</c:v>
                </c:pt>
                <c:pt idx="2109">
                  <c:v>126.4420645</c:v>
                </c:pt>
                <c:pt idx="2110">
                  <c:v>126.49625810000001</c:v>
                </c:pt>
                <c:pt idx="2111">
                  <c:v>126.5782857</c:v>
                </c:pt>
                <c:pt idx="2112">
                  <c:v>126.60428570000001</c:v>
                </c:pt>
                <c:pt idx="2113">
                  <c:v>126.6034839</c:v>
                </c:pt>
                <c:pt idx="2114">
                  <c:v>126.6019032</c:v>
                </c:pt>
                <c:pt idx="2115">
                  <c:v>126.2898</c:v>
                </c:pt>
                <c:pt idx="2116">
                  <c:v>126.1360645</c:v>
                </c:pt>
                <c:pt idx="2117">
                  <c:v>126.1119032</c:v>
                </c:pt>
                <c:pt idx="2118">
                  <c:v>126.1392</c:v>
                </c:pt>
                <c:pt idx="2119">
                  <c:v>126.15179999999999</c:v>
                </c:pt>
                <c:pt idx="2120">
                  <c:v>126.0854516</c:v>
                </c:pt>
                <c:pt idx="2121">
                  <c:v>126.1019355</c:v>
                </c:pt>
                <c:pt idx="2122">
                  <c:v>126.1145806</c:v>
                </c:pt>
                <c:pt idx="2123">
                  <c:v>126.2346</c:v>
                </c:pt>
                <c:pt idx="2124">
                  <c:v>126.2791667</c:v>
                </c:pt>
                <c:pt idx="2125">
                  <c:v>126.4912903</c:v>
                </c:pt>
                <c:pt idx="2126">
                  <c:v>126.54616129999999</c:v>
                </c:pt>
                <c:pt idx="2127">
                  <c:v>126.7313333</c:v>
                </c:pt>
                <c:pt idx="2128">
                  <c:v>126.79340000000001</c:v>
                </c:pt>
                <c:pt idx="2129">
                  <c:v>127.1917742</c:v>
                </c:pt>
                <c:pt idx="2130">
                  <c:v>127.7195806</c:v>
                </c:pt>
                <c:pt idx="2131">
                  <c:v>127.859129</c:v>
                </c:pt>
                <c:pt idx="2132">
                  <c:v>128.26474999999999</c:v>
                </c:pt>
                <c:pt idx="2133">
                  <c:v>128.39949999999999</c:v>
                </c:pt>
                <c:pt idx="2134">
                  <c:v>128.71993549999999</c:v>
                </c:pt>
                <c:pt idx="2135">
                  <c:v>128.82380649999999</c:v>
                </c:pt>
                <c:pt idx="2136">
                  <c:v>129.04443330000001</c:v>
                </c:pt>
                <c:pt idx="2137">
                  <c:v>129.04903229999999</c:v>
                </c:pt>
                <c:pt idx="2138">
                  <c:v>129.03570970000001</c:v>
                </c:pt>
                <c:pt idx="2139">
                  <c:v>129.08940000000001</c:v>
                </c:pt>
                <c:pt idx="2140">
                  <c:v>129.11250000000001</c:v>
                </c:pt>
                <c:pt idx="2141">
                  <c:v>129.18464520000001</c:v>
                </c:pt>
                <c:pt idx="2142">
                  <c:v>129.2015806</c:v>
                </c:pt>
                <c:pt idx="2143">
                  <c:v>129.32593550000001</c:v>
                </c:pt>
                <c:pt idx="2144">
                  <c:v>129.36861289999999</c:v>
                </c:pt>
                <c:pt idx="2145">
                  <c:v>129.69380000000001</c:v>
                </c:pt>
                <c:pt idx="2146">
                  <c:v>129.8051935</c:v>
                </c:pt>
                <c:pt idx="2147">
                  <c:v>129.81670969999999</c:v>
                </c:pt>
                <c:pt idx="2148">
                  <c:v>129.84596669999999</c:v>
                </c:pt>
                <c:pt idx="2149">
                  <c:v>129.85553329999999</c:v>
                </c:pt>
                <c:pt idx="2150">
                  <c:v>130.15751610000001</c:v>
                </c:pt>
                <c:pt idx="2151">
                  <c:v>130.34967739999999</c:v>
                </c:pt>
                <c:pt idx="2152">
                  <c:v>130.3849032</c:v>
                </c:pt>
                <c:pt idx="2153">
                  <c:v>130.64579309999999</c:v>
                </c:pt>
                <c:pt idx="2154">
                  <c:v>130.74137930000001</c:v>
                </c:pt>
                <c:pt idx="2155">
                  <c:v>131.03754839999999</c:v>
                </c:pt>
                <c:pt idx="2156">
                  <c:v>131.136</c:v>
                </c:pt>
                <c:pt idx="2157">
                  <c:v>131.1453333</c:v>
                </c:pt>
                <c:pt idx="2158">
                  <c:v>130.95922580000001</c:v>
                </c:pt>
                <c:pt idx="2159">
                  <c:v>130.88967740000001</c:v>
                </c:pt>
                <c:pt idx="2160">
                  <c:v>130.7196333</c:v>
                </c:pt>
                <c:pt idx="2161">
                  <c:v>130.73787100000001</c:v>
                </c:pt>
                <c:pt idx="2162">
                  <c:v>130.7561613</c:v>
                </c:pt>
                <c:pt idx="2163">
                  <c:v>130.9325484</c:v>
                </c:pt>
                <c:pt idx="2164">
                  <c:v>131.0756667</c:v>
                </c:pt>
                <c:pt idx="2165">
                  <c:v>131.1083333</c:v>
                </c:pt>
                <c:pt idx="2166">
                  <c:v>209.85296629999999</c:v>
                </c:pt>
                <c:pt idx="2167">
                  <c:v>209.9970208</c:v>
                </c:pt>
                <c:pt idx="2168">
                  <c:v>210.10927459999999</c:v>
                </c:pt>
                <c:pt idx="2169">
                  <c:v>210.14136070000001</c:v>
                </c:pt>
                <c:pt idx="2170">
                  <c:v>209.59386559999999</c:v>
                </c:pt>
                <c:pt idx="2171">
                  <c:v>209.40063799999999</c:v>
                </c:pt>
                <c:pt idx="2172">
                  <c:v>209.12158669999999</c:v>
                </c:pt>
                <c:pt idx="2173">
                  <c:v>209.93980909999999</c:v>
                </c:pt>
                <c:pt idx="2174">
                  <c:v>210.2135668</c:v>
                </c:pt>
                <c:pt idx="2175">
                  <c:v>209.984205</c:v>
                </c:pt>
                <c:pt idx="2176">
                  <c:v>209.8708867</c:v>
                </c:pt>
                <c:pt idx="2177">
                  <c:v>210.2614925</c:v>
                </c:pt>
                <c:pt idx="2178">
                  <c:v>210.29666309999999</c:v>
                </c:pt>
                <c:pt idx="2179">
                  <c:v>210.2641156</c:v>
                </c:pt>
                <c:pt idx="2180">
                  <c:v>210.4404433</c:v>
                </c:pt>
                <c:pt idx="2181">
                  <c:v>210.51443979999999</c:v>
                </c:pt>
                <c:pt idx="2182">
                  <c:v>210.72024440000001</c:v>
                </c:pt>
                <c:pt idx="2183">
                  <c:v>210.76679440000001</c:v>
                </c:pt>
                <c:pt idx="2184">
                  <c:v>210.37626299999999</c:v>
                </c:pt>
                <c:pt idx="2185">
                  <c:v>210.2372494</c:v>
                </c:pt>
                <c:pt idx="2186">
                  <c:v>210.18423580000001</c:v>
                </c:pt>
                <c:pt idx="2187">
                  <c:v>211.3333753</c:v>
                </c:pt>
                <c:pt idx="2188">
                  <c:v>211.69850930000001</c:v>
                </c:pt>
                <c:pt idx="2189">
                  <c:v>212.57620499999999</c:v>
                </c:pt>
                <c:pt idx="2190">
                  <c:v>212.86113130000001</c:v>
                </c:pt>
                <c:pt idx="2191">
                  <c:v>213.57767010000001</c:v>
                </c:pt>
                <c:pt idx="2192">
                  <c:v>213.81166579999999</c:v>
                </c:pt>
                <c:pt idx="2193">
                  <c:v>214.52403760000001</c:v>
                </c:pt>
                <c:pt idx="2194">
                  <c:v>214.01628049999999</c:v>
                </c:pt>
                <c:pt idx="2195">
                  <c:v>213.7917147</c:v>
                </c:pt>
                <c:pt idx="2196">
                  <c:v>213.93241219999999</c:v>
                </c:pt>
                <c:pt idx="2197">
                  <c:v>214.02455560000001</c:v>
                </c:pt>
                <c:pt idx="2198">
                  <c:v>214.2972939</c:v>
                </c:pt>
                <c:pt idx="2199">
                  <c:v>214.36027010000001</c:v>
                </c:pt>
                <c:pt idx="2200">
                  <c:v>214.5516896</c:v>
                </c:pt>
                <c:pt idx="2201">
                  <c:v>214.61553760000001</c:v>
                </c:pt>
                <c:pt idx="2202">
                  <c:v>215.7831333</c:v>
                </c:pt>
                <c:pt idx="2203">
                  <c:v>216.56343440000001</c:v>
                </c:pt>
                <c:pt idx="2204">
                  <c:v>216.7217373</c:v>
                </c:pt>
                <c:pt idx="2205">
                  <c:v>217.4229206</c:v>
                </c:pt>
                <c:pt idx="2206">
                  <c:v>217.66458779999999</c:v>
                </c:pt>
                <c:pt idx="2207">
                  <c:v>218.40628760000001</c:v>
                </c:pt>
                <c:pt idx="2208">
                  <c:v>218.8619099</c:v>
                </c:pt>
                <c:pt idx="2209">
                  <c:v>218.9551002</c:v>
                </c:pt>
                <c:pt idx="2210">
                  <c:v>219.5340975</c:v>
                </c:pt>
                <c:pt idx="2211">
                  <c:v>219.7437314</c:v>
                </c:pt>
                <c:pt idx="2212">
                  <c:v>220.12041249999999</c:v>
                </c:pt>
                <c:pt idx="2213">
                  <c:v>220.3545033</c:v>
                </c:pt>
                <c:pt idx="2214">
                  <c:v>220.40755809999999</c:v>
                </c:pt>
                <c:pt idx="2215">
                  <c:v>220.4322099</c:v>
                </c:pt>
                <c:pt idx="2216">
                  <c:v>220.43570729999999</c:v>
                </c:pt>
                <c:pt idx="2217">
                  <c:v>220.56711200000001</c:v>
                </c:pt>
                <c:pt idx="2218">
                  <c:v>220.63193580000001</c:v>
                </c:pt>
                <c:pt idx="2219">
                  <c:v>220.64046630000001</c:v>
                </c:pt>
                <c:pt idx="2220">
                  <c:v>221.11811420000001</c:v>
                </c:pt>
                <c:pt idx="2221">
                  <c:v>221.8533396</c:v>
                </c:pt>
                <c:pt idx="2222">
                  <c:v>222.0510793</c:v>
                </c:pt>
                <c:pt idx="2223">
                  <c:v>131.5279032</c:v>
                </c:pt>
                <c:pt idx="2224">
                  <c:v>131.58661290000001</c:v>
                </c:pt>
                <c:pt idx="2225">
                  <c:v>131.73500000000001</c:v>
                </c:pt>
                <c:pt idx="2226">
                  <c:v>131.78399999999999</c:v>
                </c:pt>
                <c:pt idx="2227">
                  <c:v>131.9019677</c:v>
                </c:pt>
                <c:pt idx="2228">
                  <c:v>131.94080650000001</c:v>
                </c:pt>
                <c:pt idx="2229">
                  <c:v>132.1062</c:v>
                </c:pt>
                <c:pt idx="2230">
                  <c:v>132.36483870000001</c:v>
                </c:pt>
                <c:pt idx="2231">
                  <c:v>132.43574190000001</c:v>
                </c:pt>
                <c:pt idx="2232">
                  <c:v>132.5218667</c:v>
                </c:pt>
                <c:pt idx="2233">
                  <c:v>132.54613330000001</c:v>
                </c:pt>
                <c:pt idx="2234">
                  <c:v>132.6141935</c:v>
                </c:pt>
                <c:pt idx="2235">
                  <c:v>132.72483869999999</c:v>
                </c:pt>
                <c:pt idx="2236">
                  <c:v>132.75645159999999</c:v>
                </c:pt>
                <c:pt idx="2237">
                  <c:v>132.7568</c:v>
                </c:pt>
                <c:pt idx="2238">
                  <c:v>132.75166669999999</c:v>
                </c:pt>
                <c:pt idx="2239">
                  <c:v>132.92458060000001</c:v>
                </c:pt>
                <c:pt idx="2240">
                  <c:v>132.97832260000001</c:v>
                </c:pt>
                <c:pt idx="2241">
                  <c:v>132.75666670000001</c:v>
                </c:pt>
                <c:pt idx="2242">
                  <c:v>132.6764</c:v>
                </c:pt>
                <c:pt idx="2243">
                  <c:v>132.88232260000001</c:v>
                </c:pt>
                <c:pt idx="2244">
                  <c:v>133.18341939999999</c:v>
                </c:pt>
                <c:pt idx="2245">
                  <c:v>133.26087100000001</c:v>
                </c:pt>
                <c:pt idx="2246">
                  <c:v>133.61414289999999</c:v>
                </c:pt>
                <c:pt idx="2247">
                  <c:v>133.7361429</c:v>
                </c:pt>
                <c:pt idx="2248">
                  <c:v>134.06825810000001</c:v>
                </c:pt>
                <c:pt idx="2249">
                  <c:v>134.17777419999999</c:v>
                </c:pt>
                <c:pt idx="2250">
                  <c:v>134.51436670000001</c:v>
                </c:pt>
                <c:pt idx="2251">
                  <c:v>134.85516129999999</c:v>
                </c:pt>
                <c:pt idx="2252">
                  <c:v>134.94254839999999</c:v>
                </c:pt>
                <c:pt idx="2253">
                  <c:v>135.4468</c:v>
                </c:pt>
                <c:pt idx="2254">
                  <c:v>135.62833330000001</c:v>
                </c:pt>
                <c:pt idx="2255">
                  <c:v>136.05403229999999</c:v>
                </c:pt>
                <c:pt idx="2256">
                  <c:v>136.14412899999999</c:v>
                </c:pt>
                <c:pt idx="2257">
                  <c:v>136.24409679999999</c:v>
                </c:pt>
                <c:pt idx="2258">
                  <c:v>136.27458060000001</c:v>
                </c:pt>
                <c:pt idx="2259">
                  <c:v>136.47200000000001</c:v>
                </c:pt>
                <c:pt idx="2260">
                  <c:v>136.47512900000001</c:v>
                </c:pt>
                <c:pt idx="2261">
                  <c:v>136.46180649999999</c:v>
                </c:pt>
                <c:pt idx="2262">
                  <c:v>136.49093329999999</c:v>
                </c:pt>
                <c:pt idx="2263">
                  <c:v>136.50306670000001</c:v>
                </c:pt>
                <c:pt idx="2264">
                  <c:v>136.69812899999999</c:v>
                </c:pt>
                <c:pt idx="2265">
                  <c:v>137.06325810000001</c:v>
                </c:pt>
                <c:pt idx="2266">
                  <c:v>137.1666774</c:v>
                </c:pt>
                <c:pt idx="2267">
                  <c:v>137.42389660000001</c:v>
                </c:pt>
                <c:pt idx="2268">
                  <c:v>137.50668970000001</c:v>
                </c:pt>
                <c:pt idx="2269">
                  <c:v>137.79709679999999</c:v>
                </c:pt>
                <c:pt idx="2270">
                  <c:v>138.03319999999999</c:v>
                </c:pt>
                <c:pt idx="2271">
                  <c:v>138.08826669999999</c:v>
                </c:pt>
                <c:pt idx="2272">
                  <c:v>138.11380650000001</c:v>
                </c:pt>
                <c:pt idx="2273">
                  <c:v>138.11741939999999</c:v>
                </c:pt>
                <c:pt idx="2274">
                  <c:v>138.22963329999999</c:v>
                </c:pt>
                <c:pt idx="2275">
                  <c:v>138.17358060000001</c:v>
                </c:pt>
                <c:pt idx="2276">
                  <c:v>138.1437742</c:v>
                </c:pt>
                <c:pt idx="2277">
                  <c:v>138.47293550000001</c:v>
                </c:pt>
                <c:pt idx="2278">
                  <c:v>138.82560000000001</c:v>
                </c:pt>
                <c:pt idx="2279">
                  <c:v>138.9117</c:v>
                </c:pt>
                <c:pt idx="2280">
                  <c:v>189.38169740000001</c:v>
                </c:pt>
                <c:pt idx="2281">
                  <c:v>189.46427249999999</c:v>
                </c:pt>
                <c:pt idx="2282">
                  <c:v>189.66950489999999</c:v>
                </c:pt>
                <c:pt idx="2283">
                  <c:v>189.73720750000001</c:v>
                </c:pt>
                <c:pt idx="2284">
                  <c:v>189.70482150000001</c:v>
                </c:pt>
                <c:pt idx="2285">
                  <c:v>189.69010119999999</c:v>
                </c:pt>
                <c:pt idx="2286">
                  <c:v>189.53124829999999</c:v>
                </c:pt>
                <c:pt idx="2287">
                  <c:v>189.42265800000001</c:v>
                </c:pt>
                <c:pt idx="2288">
                  <c:v>189.4000734</c:v>
                </c:pt>
                <c:pt idx="2289">
                  <c:v>189.48826030000001</c:v>
                </c:pt>
                <c:pt idx="2290">
                  <c:v>189.52312760000001</c:v>
                </c:pt>
                <c:pt idx="2291">
                  <c:v>190.09900279999999</c:v>
                </c:pt>
                <c:pt idx="2292">
                  <c:v>190.3621607</c:v>
                </c:pt>
                <c:pt idx="2293">
                  <c:v>190.3958293</c:v>
                </c:pt>
                <c:pt idx="2294">
                  <c:v>190.67382409999999</c:v>
                </c:pt>
                <c:pt idx="2295">
                  <c:v>190.77632180000001</c:v>
                </c:pt>
                <c:pt idx="2296">
                  <c:v>190.9964377</c:v>
                </c:pt>
                <c:pt idx="2297">
                  <c:v>191.0411474</c:v>
                </c:pt>
                <c:pt idx="2298">
                  <c:v>190.99314369999999</c:v>
                </c:pt>
                <c:pt idx="2299">
                  <c:v>190.97410690000001</c:v>
                </c:pt>
                <c:pt idx="2300">
                  <c:v>191.3683815</c:v>
                </c:pt>
                <c:pt idx="2301">
                  <c:v>191.76258949999999</c:v>
                </c:pt>
                <c:pt idx="2302">
                  <c:v>191.85728810000001</c:v>
                </c:pt>
                <c:pt idx="2303">
                  <c:v>192.01160039999999</c:v>
                </c:pt>
                <c:pt idx="2304">
                  <c:v>192.05848399999999</c:v>
                </c:pt>
                <c:pt idx="2305">
                  <c:v>192.26917069999999</c:v>
                </c:pt>
                <c:pt idx="2306">
                  <c:v>192.3418571</c:v>
                </c:pt>
                <c:pt idx="2307">
                  <c:v>192.72520059999999</c:v>
                </c:pt>
                <c:pt idx="2308">
                  <c:v>192.8418131</c:v>
                </c:pt>
                <c:pt idx="2309">
                  <c:v>192.84706120000001</c:v>
                </c:pt>
                <c:pt idx="2310">
                  <c:v>193.09305520000001</c:v>
                </c:pt>
                <c:pt idx="2311">
                  <c:v>193.18784479999999</c:v>
                </c:pt>
                <c:pt idx="2312">
                  <c:v>193.91101330000001</c:v>
                </c:pt>
                <c:pt idx="2313">
                  <c:v>194.11050169999999</c:v>
                </c:pt>
                <c:pt idx="2314">
                  <c:v>194.5092113</c:v>
                </c:pt>
                <c:pt idx="2315">
                  <c:v>194.6387853</c:v>
                </c:pt>
                <c:pt idx="2316">
                  <c:v>194.94597239999999</c:v>
                </c:pt>
                <c:pt idx="2317">
                  <c:v>195.48479589999999</c:v>
                </c:pt>
                <c:pt idx="2318">
                  <c:v>195.6376941</c:v>
                </c:pt>
                <c:pt idx="2319">
                  <c:v>195.82232870000001</c:v>
                </c:pt>
                <c:pt idx="2320">
                  <c:v>195.8742575</c:v>
                </c:pt>
                <c:pt idx="2321">
                  <c:v>196.5458309</c:v>
                </c:pt>
                <c:pt idx="2322">
                  <c:v>196.8728921</c:v>
                </c:pt>
                <c:pt idx="2323">
                  <c:v>196.91950560000001</c:v>
                </c:pt>
                <c:pt idx="2324">
                  <c:v>196.9565303</c:v>
                </c:pt>
                <c:pt idx="2325">
                  <c:v>196.96315989999999</c:v>
                </c:pt>
                <c:pt idx="2326">
                  <c:v>197.5971285</c:v>
                </c:pt>
                <c:pt idx="2327">
                  <c:v>197.60635339999999</c:v>
                </c:pt>
                <c:pt idx="2328">
                  <c:v>197.5481609</c:v>
                </c:pt>
                <c:pt idx="2329">
                  <c:v>197.6218954</c:v>
                </c:pt>
                <c:pt idx="2330">
                  <c:v>197.6551863</c:v>
                </c:pt>
                <c:pt idx="2331">
                  <c:v>197.83221950000001</c:v>
                </c:pt>
                <c:pt idx="2332">
                  <c:v>198.02938929999999</c:v>
                </c:pt>
                <c:pt idx="2333">
                  <c:v>198.0795651</c:v>
                </c:pt>
                <c:pt idx="2334">
                  <c:v>198.0950484</c:v>
                </c:pt>
                <c:pt idx="2335">
                  <c:v>198.8221322</c:v>
                </c:pt>
                <c:pt idx="2336">
                  <c:v>199.0539368</c:v>
                </c:pt>
                <c:pt idx="2337">
                  <c:v>126.4420645</c:v>
                </c:pt>
                <c:pt idx="2338">
                  <c:v>126.49625810000001</c:v>
                </c:pt>
                <c:pt idx="2339">
                  <c:v>126.5782857</c:v>
                </c:pt>
                <c:pt idx="2340">
                  <c:v>126.60428570000001</c:v>
                </c:pt>
                <c:pt idx="2341">
                  <c:v>126.6034839</c:v>
                </c:pt>
                <c:pt idx="2342">
                  <c:v>126.6019032</c:v>
                </c:pt>
                <c:pt idx="2343">
                  <c:v>126.2898</c:v>
                </c:pt>
                <c:pt idx="2344">
                  <c:v>126.1360645</c:v>
                </c:pt>
                <c:pt idx="2345">
                  <c:v>126.1119032</c:v>
                </c:pt>
                <c:pt idx="2346">
                  <c:v>126.1392</c:v>
                </c:pt>
                <c:pt idx="2347">
                  <c:v>126.15179999999999</c:v>
                </c:pt>
                <c:pt idx="2348">
                  <c:v>126.0854516</c:v>
                </c:pt>
                <c:pt idx="2349">
                  <c:v>126.1019355</c:v>
                </c:pt>
                <c:pt idx="2350">
                  <c:v>126.1145806</c:v>
                </c:pt>
                <c:pt idx="2351">
                  <c:v>126.2346</c:v>
                </c:pt>
                <c:pt idx="2352">
                  <c:v>126.2791667</c:v>
                </c:pt>
                <c:pt idx="2353">
                  <c:v>126.4912903</c:v>
                </c:pt>
                <c:pt idx="2354">
                  <c:v>126.54616129999999</c:v>
                </c:pt>
                <c:pt idx="2355">
                  <c:v>126.7313333</c:v>
                </c:pt>
                <c:pt idx="2356">
                  <c:v>126.79340000000001</c:v>
                </c:pt>
                <c:pt idx="2357">
                  <c:v>127.1917742</c:v>
                </c:pt>
                <c:pt idx="2358">
                  <c:v>127.7195806</c:v>
                </c:pt>
                <c:pt idx="2359">
                  <c:v>127.859129</c:v>
                </c:pt>
                <c:pt idx="2360">
                  <c:v>128.26474999999999</c:v>
                </c:pt>
                <c:pt idx="2361">
                  <c:v>128.39949999999999</c:v>
                </c:pt>
                <c:pt idx="2362">
                  <c:v>128.71993549999999</c:v>
                </c:pt>
                <c:pt idx="2363">
                  <c:v>128.82380649999999</c:v>
                </c:pt>
                <c:pt idx="2364">
                  <c:v>129.04443330000001</c:v>
                </c:pt>
                <c:pt idx="2365">
                  <c:v>129.04903229999999</c:v>
                </c:pt>
                <c:pt idx="2366">
                  <c:v>129.03570970000001</c:v>
                </c:pt>
                <c:pt idx="2367">
                  <c:v>129.08940000000001</c:v>
                </c:pt>
                <c:pt idx="2368">
                  <c:v>129.11250000000001</c:v>
                </c:pt>
                <c:pt idx="2369">
                  <c:v>129.18464520000001</c:v>
                </c:pt>
                <c:pt idx="2370">
                  <c:v>129.2015806</c:v>
                </c:pt>
                <c:pt idx="2371">
                  <c:v>129.32593550000001</c:v>
                </c:pt>
                <c:pt idx="2372">
                  <c:v>129.36861289999999</c:v>
                </c:pt>
                <c:pt idx="2373">
                  <c:v>129.69380000000001</c:v>
                </c:pt>
                <c:pt idx="2374">
                  <c:v>129.8051935</c:v>
                </c:pt>
                <c:pt idx="2375">
                  <c:v>129.81670969999999</c:v>
                </c:pt>
                <c:pt idx="2376">
                  <c:v>129.84596669999999</c:v>
                </c:pt>
                <c:pt idx="2377">
                  <c:v>129.85553329999999</c:v>
                </c:pt>
                <c:pt idx="2378">
                  <c:v>130.15751610000001</c:v>
                </c:pt>
                <c:pt idx="2379">
                  <c:v>130.34967739999999</c:v>
                </c:pt>
                <c:pt idx="2380">
                  <c:v>130.3849032</c:v>
                </c:pt>
                <c:pt idx="2381">
                  <c:v>130.64579309999999</c:v>
                </c:pt>
                <c:pt idx="2382">
                  <c:v>130.74137930000001</c:v>
                </c:pt>
                <c:pt idx="2383">
                  <c:v>131.03754839999999</c:v>
                </c:pt>
                <c:pt idx="2384">
                  <c:v>131.136</c:v>
                </c:pt>
                <c:pt idx="2385">
                  <c:v>131.1453333</c:v>
                </c:pt>
                <c:pt idx="2386">
                  <c:v>130.95922580000001</c:v>
                </c:pt>
                <c:pt idx="2387">
                  <c:v>130.88967740000001</c:v>
                </c:pt>
                <c:pt idx="2388">
                  <c:v>130.7196333</c:v>
                </c:pt>
                <c:pt idx="2389">
                  <c:v>130.73787100000001</c:v>
                </c:pt>
                <c:pt idx="2390">
                  <c:v>130.7561613</c:v>
                </c:pt>
                <c:pt idx="2391">
                  <c:v>130.9325484</c:v>
                </c:pt>
                <c:pt idx="2392">
                  <c:v>131.0756667</c:v>
                </c:pt>
                <c:pt idx="2393">
                  <c:v>131.1083333</c:v>
                </c:pt>
                <c:pt idx="2394">
                  <c:v>203.0642742</c:v>
                </c:pt>
                <c:pt idx="2395">
                  <c:v>203.20109679999999</c:v>
                </c:pt>
                <c:pt idx="2396">
                  <c:v>203.31176529999999</c:v>
                </c:pt>
                <c:pt idx="2397">
                  <c:v>203.34365819999999</c:v>
                </c:pt>
                <c:pt idx="2398">
                  <c:v>202.83803</c:v>
                </c:pt>
                <c:pt idx="2399">
                  <c:v>202.65946539999999</c:v>
                </c:pt>
                <c:pt idx="2400">
                  <c:v>202.37925709999999</c:v>
                </c:pt>
                <c:pt idx="2401">
                  <c:v>203.1222028</c:v>
                </c:pt>
                <c:pt idx="2402">
                  <c:v>203.37276729999999</c:v>
                </c:pt>
                <c:pt idx="2403">
                  <c:v>203.16415240000001</c:v>
                </c:pt>
                <c:pt idx="2404">
                  <c:v>203.06091900000001</c:v>
                </c:pt>
                <c:pt idx="2405">
                  <c:v>203.41733869999999</c:v>
                </c:pt>
                <c:pt idx="2406">
                  <c:v>203.45072579999999</c:v>
                </c:pt>
                <c:pt idx="2407">
                  <c:v>203.42146769999999</c:v>
                </c:pt>
                <c:pt idx="2408">
                  <c:v>203.59342860000001</c:v>
                </c:pt>
                <c:pt idx="2409">
                  <c:v>203.66517859999999</c:v>
                </c:pt>
                <c:pt idx="2410">
                  <c:v>203.87138709999999</c:v>
                </c:pt>
                <c:pt idx="2411">
                  <c:v>203.91854839999999</c:v>
                </c:pt>
                <c:pt idx="2412">
                  <c:v>203.57142859999999</c:v>
                </c:pt>
                <c:pt idx="2413">
                  <c:v>203.44757860000001</c:v>
                </c:pt>
                <c:pt idx="2414">
                  <c:v>203.42670050000001</c:v>
                </c:pt>
                <c:pt idx="2415">
                  <c:v>204.52641940000001</c:v>
                </c:pt>
                <c:pt idx="2416">
                  <c:v>204.87387100000001</c:v>
                </c:pt>
                <c:pt idx="2417">
                  <c:v>205.71482140000001</c:v>
                </c:pt>
                <c:pt idx="2418">
                  <c:v>205.9880714</c:v>
                </c:pt>
                <c:pt idx="2419">
                  <c:v>206.67331110000001</c:v>
                </c:pt>
                <c:pt idx="2420">
                  <c:v>206.8970046</c:v>
                </c:pt>
                <c:pt idx="2421">
                  <c:v>207.57149290000001</c:v>
                </c:pt>
                <c:pt idx="2422">
                  <c:v>207.10390090000001</c:v>
                </c:pt>
                <c:pt idx="2423">
                  <c:v>206.8958203</c:v>
                </c:pt>
                <c:pt idx="2424">
                  <c:v>207.02885710000001</c:v>
                </c:pt>
                <c:pt idx="2425">
                  <c:v>207.11527380000001</c:v>
                </c:pt>
                <c:pt idx="2426">
                  <c:v>207.37329489999999</c:v>
                </c:pt>
                <c:pt idx="2427">
                  <c:v>207.43303689999999</c:v>
                </c:pt>
                <c:pt idx="2428">
                  <c:v>207.62069589999999</c:v>
                </c:pt>
                <c:pt idx="2429">
                  <c:v>207.68338940000001</c:v>
                </c:pt>
                <c:pt idx="2430">
                  <c:v>208.78721429999999</c:v>
                </c:pt>
                <c:pt idx="2431">
                  <c:v>209.516265</c:v>
                </c:pt>
                <c:pt idx="2432">
                  <c:v>209.66328110000001</c:v>
                </c:pt>
                <c:pt idx="2433">
                  <c:v>210.31260710000001</c:v>
                </c:pt>
                <c:pt idx="2434">
                  <c:v>210.5363571</c:v>
                </c:pt>
                <c:pt idx="2435">
                  <c:v>211.24281339999999</c:v>
                </c:pt>
                <c:pt idx="2436">
                  <c:v>211.67620049999999</c:v>
                </c:pt>
                <c:pt idx="2437">
                  <c:v>211.76441009999999</c:v>
                </c:pt>
                <c:pt idx="2438">
                  <c:v>212.3180074</c:v>
                </c:pt>
                <c:pt idx="2439">
                  <c:v>212.5185936</c:v>
                </c:pt>
                <c:pt idx="2440">
                  <c:v>212.88875350000001</c:v>
                </c:pt>
                <c:pt idx="2441">
                  <c:v>213.11258570000001</c:v>
                </c:pt>
                <c:pt idx="2442">
                  <c:v>213.1623524</c:v>
                </c:pt>
                <c:pt idx="2443">
                  <c:v>213.17197469999999</c:v>
                </c:pt>
                <c:pt idx="2444">
                  <c:v>213.17028110000001</c:v>
                </c:pt>
                <c:pt idx="2445">
                  <c:v>213.27974520000001</c:v>
                </c:pt>
                <c:pt idx="2446">
                  <c:v>213.33888020000001</c:v>
                </c:pt>
                <c:pt idx="2447">
                  <c:v>213.34736409999999</c:v>
                </c:pt>
                <c:pt idx="2448">
                  <c:v>213.79909910000001</c:v>
                </c:pt>
                <c:pt idx="2449">
                  <c:v>214.49126670000001</c:v>
                </c:pt>
                <c:pt idx="2450">
                  <c:v>214.6772833</c:v>
                </c:pt>
                <c:pt idx="2451">
                  <c:v>126.4420645</c:v>
                </c:pt>
                <c:pt idx="2452">
                  <c:v>126.49625810000001</c:v>
                </c:pt>
                <c:pt idx="2453">
                  <c:v>126.5782857</c:v>
                </c:pt>
                <c:pt idx="2454">
                  <c:v>126.60428570000001</c:v>
                </c:pt>
                <c:pt idx="2455">
                  <c:v>126.6034839</c:v>
                </c:pt>
                <c:pt idx="2456">
                  <c:v>126.6019032</c:v>
                </c:pt>
                <c:pt idx="2457">
                  <c:v>126.2898</c:v>
                </c:pt>
                <c:pt idx="2458">
                  <c:v>126.1360645</c:v>
                </c:pt>
                <c:pt idx="2459">
                  <c:v>126.1119032</c:v>
                </c:pt>
                <c:pt idx="2460">
                  <c:v>126.1392</c:v>
                </c:pt>
                <c:pt idx="2461">
                  <c:v>126.15179999999999</c:v>
                </c:pt>
                <c:pt idx="2462">
                  <c:v>126.0854516</c:v>
                </c:pt>
                <c:pt idx="2463">
                  <c:v>126.1019355</c:v>
                </c:pt>
                <c:pt idx="2464">
                  <c:v>126.1145806</c:v>
                </c:pt>
                <c:pt idx="2465">
                  <c:v>126.2346</c:v>
                </c:pt>
                <c:pt idx="2466">
                  <c:v>126.2791667</c:v>
                </c:pt>
                <c:pt idx="2467">
                  <c:v>126.4912903</c:v>
                </c:pt>
                <c:pt idx="2468">
                  <c:v>126.54616129999999</c:v>
                </c:pt>
                <c:pt idx="2469">
                  <c:v>126.7313333</c:v>
                </c:pt>
                <c:pt idx="2470">
                  <c:v>126.79340000000001</c:v>
                </c:pt>
                <c:pt idx="2471">
                  <c:v>127.1917742</c:v>
                </c:pt>
                <c:pt idx="2472">
                  <c:v>127.7195806</c:v>
                </c:pt>
                <c:pt idx="2473">
                  <c:v>127.859129</c:v>
                </c:pt>
                <c:pt idx="2474">
                  <c:v>128.26474999999999</c:v>
                </c:pt>
                <c:pt idx="2475">
                  <c:v>128.39949999999999</c:v>
                </c:pt>
                <c:pt idx="2476">
                  <c:v>128.71993549999999</c:v>
                </c:pt>
                <c:pt idx="2477">
                  <c:v>128.82380649999999</c:v>
                </c:pt>
                <c:pt idx="2478">
                  <c:v>129.04443330000001</c:v>
                </c:pt>
                <c:pt idx="2479">
                  <c:v>129.04903229999999</c:v>
                </c:pt>
                <c:pt idx="2480">
                  <c:v>129.03570970000001</c:v>
                </c:pt>
                <c:pt idx="2481">
                  <c:v>129.08940000000001</c:v>
                </c:pt>
                <c:pt idx="2482">
                  <c:v>129.11250000000001</c:v>
                </c:pt>
                <c:pt idx="2483">
                  <c:v>129.18464520000001</c:v>
                </c:pt>
                <c:pt idx="2484">
                  <c:v>129.2015806</c:v>
                </c:pt>
                <c:pt idx="2485">
                  <c:v>129.32593550000001</c:v>
                </c:pt>
                <c:pt idx="2486">
                  <c:v>129.36861289999999</c:v>
                </c:pt>
                <c:pt idx="2487">
                  <c:v>129.69380000000001</c:v>
                </c:pt>
                <c:pt idx="2488">
                  <c:v>129.8051935</c:v>
                </c:pt>
                <c:pt idx="2489">
                  <c:v>129.81670969999999</c:v>
                </c:pt>
                <c:pt idx="2490">
                  <c:v>129.84596669999999</c:v>
                </c:pt>
                <c:pt idx="2491">
                  <c:v>129.85553329999999</c:v>
                </c:pt>
                <c:pt idx="2492">
                  <c:v>130.15751610000001</c:v>
                </c:pt>
                <c:pt idx="2493">
                  <c:v>130.34967739999999</c:v>
                </c:pt>
                <c:pt idx="2494">
                  <c:v>130.3849032</c:v>
                </c:pt>
                <c:pt idx="2495">
                  <c:v>130.64579309999999</c:v>
                </c:pt>
                <c:pt idx="2496">
                  <c:v>130.74137930000001</c:v>
                </c:pt>
                <c:pt idx="2497">
                  <c:v>131.03754839999999</c:v>
                </c:pt>
                <c:pt idx="2498">
                  <c:v>131.136</c:v>
                </c:pt>
                <c:pt idx="2499">
                  <c:v>131.1453333</c:v>
                </c:pt>
                <c:pt idx="2500">
                  <c:v>130.95922580000001</c:v>
                </c:pt>
                <c:pt idx="2501">
                  <c:v>130.88967740000001</c:v>
                </c:pt>
                <c:pt idx="2502">
                  <c:v>130.7196333</c:v>
                </c:pt>
                <c:pt idx="2503">
                  <c:v>130.73787100000001</c:v>
                </c:pt>
                <c:pt idx="2504">
                  <c:v>130.7561613</c:v>
                </c:pt>
                <c:pt idx="2505">
                  <c:v>130.9325484</c:v>
                </c:pt>
                <c:pt idx="2506">
                  <c:v>131.0756667</c:v>
                </c:pt>
                <c:pt idx="2507">
                  <c:v>131.1083333</c:v>
                </c:pt>
                <c:pt idx="2508">
                  <c:v>181.8711898</c:v>
                </c:pt>
                <c:pt idx="2509">
                  <c:v>181.98231699999999</c:v>
                </c:pt>
                <c:pt idx="2510">
                  <c:v>182.1201566</c:v>
                </c:pt>
                <c:pt idx="2511">
                  <c:v>182.1628441</c:v>
                </c:pt>
                <c:pt idx="2512">
                  <c:v>181.8657537</c:v>
                </c:pt>
                <c:pt idx="2513">
                  <c:v>181.75963770000001</c:v>
                </c:pt>
                <c:pt idx="2514">
                  <c:v>181.64681540000001</c:v>
                </c:pt>
                <c:pt idx="2515">
                  <c:v>182.2389876</c:v>
                </c:pt>
                <c:pt idx="2516">
                  <c:v>182.43155709999999</c:v>
                </c:pt>
                <c:pt idx="2517">
                  <c:v>182.3187801</c:v>
                </c:pt>
                <c:pt idx="2518">
                  <c:v>182.2569603</c:v>
                </c:pt>
                <c:pt idx="2519">
                  <c:v>182.53208620000001</c:v>
                </c:pt>
                <c:pt idx="2520">
                  <c:v>182.6042922</c:v>
                </c:pt>
                <c:pt idx="2521">
                  <c:v>182.59817799999999</c:v>
                </c:pt>
                <c:pt idx="2522">
                  <c:v>182.71683849999999</c:v>
                </c:pt>
                <c:pt idx="2523">
                  <c:v>182.76400319999999</c:v>
                </c:pt>
                <c:pt idx="2524">
                  <c:v>182.9463648</c:v>
                </c:pt>
                <c:pt idx="2525">
                  <c:v>182.99161290000001</c:v>
                </c:pt>
                <c:pt idx="2526">
                  <c:v>182.66761539999999</c:v>
                </c:pt>
                <c:pt idx="2527">
                  <c:v>182.55195380000001</c:v>
                </c:pt>
                <c:pt idx="2528">
                  <c:v>182.59830579999999</c:v>
                </c:pt>
                <c:pt idx="2529">
                  <c:v>183.44085419999999</c:v>
                </c:pt>
                <c:pt idx="2530">
                  <c:v>183.70161289999999</c:v>
                </c:pt>
                <c:pt idx="2531">
                  <c:v>184.38799109999999</c:v>
                </c:pt>
                <c:pt idx="2532">
                  <c:v>184.61341899999999</c:v>
                </c:pt>
                <c:pt idx="2533">
                  <c:v>185.17901670000001</c:v>
                </c:pt>
                <c:pt idx="2534">
                  <c:v>185.36366559999999</c:v>
                </c:pt>
                <c:pt idx="2535">
                  <c:v>185.9374378</c:v>
                </c:pt>
                <c:pt idx="2536">
                  <c:v>185.75450000000001</c:v>
                </c:pt>
                <c:pt idx="2537">
                  <c:v>185.64869229999999</c:v>
                </c:pt>
                <c:pt idx="2538">
                  <c:v>185.91198850000001</c:v>
                </c:pt>
                <c:pt idx="2539">
                  <c:v>186.032016</c:v>
                </c:pt>
                <c:pt idx="2540">
                  <c:v>186.37340380000001</c:v>
                </c:pt>
                <c:pt idx="2541">
                  <c:v>186.4512115</c:v>
                </c:pt>
                <c:pt idx="2542">
                  <c:v>186.61892739999999</c:v>
                </c:pt>
                <c:pt idx="2543">
                  <c:v>186.67373760000001</c:v>
                </c:pt>
                <c:pt idx="2544">
                  <c:v>187.4837962</c:v>
                </c:pt>
                <c:pt idx="2545">
                  <c:v>187.9703629</c:v>
                </c:pt>
                <c:pt idx="2546">
                  <c:v>188.06323449999999</c:v>
                </c:pt>
                <c:pt idx="2547">
                  <c:v>188.50243459999999</c:v>
                </c:pt>
                <c:pt idx="2548">
                  <c:v>188.65446919999999</c:v>
                </c:pt>
                <c:pt idx="2549">
                  <c:v>189.1940558</c:v>
                </c:pt>
                <c:pt idx="2550">
                  <c:v>189.61222770000001</c:v>
                </c:pt>
                <c:pt idx="2551">
                  <c:v>189.70760480000001</c:v>
                </c:pt>
                <c:pt idx="2552">
                  <c:v>190.17149269999999</c:v>
                </c:pt>
                <c:pt idx="2553">
                  <c:v>190.3359973</c:v>
                </c:pt>
                <c:pt idx="2554">
                  <c:v>190.68517120000001</c:v>
                </c:pt>
                <c:pt idx="2555">
                  <c:v>190.9222115</c:v>
                </c:pt>
                <c:pt idx="2556">
                  <c:v>190.97641669999999</c:v>
                </c:pt>
                <c:pt idx="2557">
                  <c:v>191.0091712</c:v>
                </c:pt>
                <c:pt idx="2558">
                  <c:v>191.01553290000001</c:v>
                </c:pt>
                <c:pt idx="2559">
                  <c:v>191.13388269999999</c:v>
                </c:pt>
                <c:pt idx="2560">
                  <c:v>191.16408999999999</c:v>
                </c:pt>
                <c:pt idx="2561">
                  <c:v>191.16261349999999</c:v>
                </c:pt>
                <c:pt idx="2562">
                  <c:v>191.57767559999999</c:v>
                </c:pt>
                <c:pt idx="2563">
                  <c:v>192.1704115</c:v>
                </c:pt>
                <c:pt idx="2564">
                  <c:v>192.32726539999999</c:v>
                </c:pt>
              </c:numCache>
            </c:numRef>
          </c:xVal>
          <c:y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67-4C09-8697-4B2A2AB5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279024"/>
        <c:axId val="505279504"/>
      </c:scatterChart>
      <c:valAx>
        <c:axId val="505279024"/>
        <c:scaling>
          <c:orientation val="minMax"/>
          <c:min val="12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279504"/>
        <c:crosses val="autoZero"/>
        <c:crossBetween val="midCat"/>
      </c:valAx>
      <c:valAx>
        <c:axId val="5052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27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263524567627479"/>
          <c:y val="0.92500400314682141"/>
          <c:w val="0.42597751617358154"/>
          <c:h val="7.3387219170547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Desemprego vs Vendas Semanais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770424895486394E-2"/>
                  <c:y val="-0.48371266749551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Walmart_Sales!$J$2:$J$2566</c:f>
              <c:numCache>
                <c:formatCode>0.00</c:formatCode>
                <c:ptCount val="2565"/>
                <c:pt idx="0">
                  <c:v>8.1059999999999999</c:v>
                </c:pt>
                <c:pt idx="1">
                  <c:v>8.1059999999999999</c:v>
                </c:pt>
                <c:pt idx="2">
                  <c:v>8.1059999999999999</c:v>
                </c:pt>
                <c:pt idx="3">
                  <c:v>8.1059999999999999</c:v>
                </c:pt>
                <c:pt idx="4">
                  <c:v>7.8079999999999998</c:v>
                </c:pt>
                <c:pt idx="5">
                  <c:v>7.8079999999999998</c:v>
                </c:pt>
                <c:pt idx="6">
                  <c:v>7.8079999999999998</c:v>
                </c:pt>
                <c:pt idx="7">
                  <c:v>7.8079999999999998</c:v>
                </c:pt>
                <c:pt idx="8">
                  <c:v>7.8079999999999998</c:v>
                </c:pt>
                <c:pt idx="9">
                  <c:v>7.7869999999999999</c:v>
                </c:pt>
                <c:pt idx="10">
                  <c:v>7.7869999999999999</c:v>
                </c:pt>
                <c:pt idx="11">
                  <c:v>7.7869999999999999</c:v>
                </c:pt>
                <c:pt idx="12">
                  <c:v>7.7869999999999999</c:v>
                </c:pt>
                <c:pt idx="13">
                  <c:v>7.7869999999999999</c:v>
                </c:pt>
                <c:pt idx="14">
                  <c:v>7.8380000000000001</c:v>
                </c:pt>
                <c:pt idx="15">
                  <c:v>7.8380000000000001</c:v>
                </c:pt>
                <c:pt idx="16">
                  <c:v>7.8380000000000001</c:v>
                </c:pt>
                <c:pt idx="17">
                  <c:v>7.8380000000000001</c:v>
                </c:pt>
                <c:pt idx="18">
                  <c:v>7.8380000000000001</c:v>
                </c:pt>
                <c:pt idx="19">
                  <c:v>7.8380000000000001</c:v>
                </c:pt>
                <c:pt idx="20">
                  <c:v>7.742</c:v>
                </c:pt>
                <c:pt idx="21">
                  <c:v>7.742</c:v>
                </c:pt>
                <c:pt idx="22">
                  <c:v>7.742</c:v>
                </c:pt>
                <c:pt idx="23">
                  <c:v>7.742</c:v>
                </c:pt>
                <c:pt idx="24">
                  <c:v>7.742</c:v>
                </c:pt>
                <c:pt idx="25">
                  <c:v>7.6820000000000004</c:v>
                </c:pt>
                <c:pt idx="26">
                  <c:v>7.6820000000000004</c:v>
                </c:pt>
                <c:pt idx="27">
                  <c:v>7.6820000000000004</c:v>
                </c:pt>
                <c:pt idx="28">
                  <c:v>7.6820000000000004</c:v>
                </c:pt>
                <c:pt idx="29">
                  <c:v>7.6820000000000004</c:v>
                </c:pt>
                <c:pt idx="30">
                  <c:v>7.9619999999999997</c:v>
                </c:pt>
                <c:pt idx="31">
                  <c:v>7.9619999999999997</c:v>
                </c:pt>
                <c:pt idx="32">
                  <c:v>7.9619999999999997</c:v>
                </c:pt>
                <c:pt idx="33">
                  <c:v>7.9619999999999997</c:v>
                </c:pt>
                <c:pt idx="34">
                  <c:v>7.9619999999999997</c:v>
                </c:pt>
                <c:pt idx="35">
                  <c:v>7.9619999999999997</c:v>
                </c:pt>
                <c:pt idx="36">
                  <c:v>7.8659999999999997</c:v>
                </c:pt>
                <c:pt idx="37">
                  <c:v>7.8659999999999997</c:v>
                </c:pt>
                <c:pt idx="38">
                  <c:v>7.8659999999999997</c:v>
                </c:pt>
                <c:pt idx="39">
                  <c:v>7.8659999999999997</c:v>
                </c:pt>
                <c:pt idx="40">
                  <c:v>7.8659999999999997</c:v>
                </c:pt>
                <c:pt idx="41">
                  <c:v>7.3479999999999999</c:v>
                </c:pt>
                <c:pt idx="42">
                  <c:v>7.3479999999999999</c:v>
                </c:pt>
                <c:pt idx="43">
                  <c:v>7.3479999999999999</c:v>
                </c:pt>
                <c:pt idx="44">
                  <c:v>7.3479999999999999</c:v>
                </c:pt>
                <c:pt idx="45">
                  <c:v>7.3479999999999999</c:v>
                </c:pt>
                <c:pt idx="46">
                  <c:v>7.1429999999999998</c:v>
                </c:pt>
                <c:pt idx="47">
                  <c:v>7.1429999999999998</c:v>
                </c:pt>
                <c:pt idx="48">
                  <c:v>7.1429999999999998</c:v>
                </c:pt>
                <c:pt idx="49">
                  <c:v>7.1429999999999998</c:v>
                </c:pt>
                <c:pt idx="50">
                  <c:v>7.1429999999999998</c:v>
                </c:pt>
                <c:pt idx="51">
                  <c:v>6.9080000000000004</c:v>
                </c:pt>
                <c:pt idx="52">
                  <c:v>6.9080000000000004</c:v>
                </c:pt>
                <c:pt idx="53">
                  <c:v>6.9080000000000004</c:v>
                </c:pt>
                <c:pt idx="54">
                  <c:v>6.9080000000000004</c:v>
                </c:pt>
                <c:pt idx="55">
                  <c:v>6.5730000000000004</c:v>
                </c:pt>
                <c:pt idx="56">
                  <c:v>6.5730000000000004</c:v>
                </c:pt>
                <c:pt idx="57">
                  <c:v>8.3239999999999998</c:v>
                </c:pt>
                <c:pt idx="58">
                  <c:v>8.3239999999999998</c:v>
                </c:pt>
                <c:pt idx="59">
                  <c:v>8.3239999999999998</c:v>
                </c:pt>
                <c:pt idx="60">
                  <c:v>8.3239999999999998</c:v>
                </c:pt>
                <c:pt idx="61">
                  <c:v>8.1999999999999993</c:v>
                </c:pt>
                <c:pt idx="62">
                  <c:v>8.1999999999999993</c:v>
                </c:pt>
                <c:pt idx="63">
                  <c:v>8.1999999999999993</c:v>
                </c:pt>
                <c:pt idx="64">
                  <c:v>8.1999999999999993</c:v>
                </c:pt>
                <c:pt idx="65">
                  <c:v>8.1999999999999993</c:v>
                </c:pt>
                <c:pt idx="66">
                  <c:v>8.0990000000000002</c:v>
                </c:pt>
                <c:pt idx="67">
                  <c:v>8.0990000000000002</c:v>
                </c:pt>
                <c:pt idx="68">
                  <c:v>8.0990000000000002</c:v>
                </c:pt>
                <c:pt idx="69">
                  <c:v>8.0990000000000002</c:v>
                </c:pt>
                <c:pt idx="70">
                  <c:v>8.0990000000000002</c:v>
                </c:pt>
                <c:pt idx="71">
                  <c:v>8.1630000000000003</c:v>
                </c:pt>
                <c:pt idx="72">
                  <c:v>8.1630000000000003</c:v>
                </c:pt>
                <c:pt idx="73">
                  <c:v>8.1630000000000003</c:v>
                </c:pt>
                <c:pt idx="74">
                  <c:v>8.1630000000000003</c:v>
                </c:pt>
                <c:pt idx="75">
                  <c:v>8.1630000000000003</c:v>
                </c:pt>
                <c:pt idx="76">
                  <c:v>8.1630000000000003</c:v>
                </c:pt>
                <c:pt idx="77">
                  <c:v>8.0280000000000005</c:v>
                </c:pt>
                <c:pt idx="78">
                  <c:v>8.0280000000000005</c:v>
                </c:pt>
                <c:pt idx="79">
                  <c:v>8.0280000000000005</c:v>
                </c:pt>
                <c:pt idx="80">
                  <c:v>8.0280000000000005</c:v>
                </c:pt>
                <c:pt idx="81">
                  <c:v>8.0280000000000005</c:v>
                </c:pt>
                <c:pt idx="82">
                  <c:v>7.931</c:v>
                </c:pt>
                <c:pt idx="83">
                  <c:v>7.931</c:v>
                </c:pt>
                <c:pt idx="84">
                  <c:v>7.931</c:v>
                </c:pt>
                <c:pt idx="85">
                  <c:v>7.931</c:v>
                </c:pt>
                <c:pt idx="86">
                  <c:v>7.931</c:v>
                </c:pt>
                <c:pt idx="87">
                  <c:v>7.8520000000000003</c:v>
                </c:pt>
                <c:pt idx="88">
                  <c:v>7.8520000000000003</c:v>
                </c:pt>
                <c:pt idx="89">
                  <c:v>7.8520000000000003</c:v>
                </c:pt>
                <c:pt idx="90">
                  <c:v>7.8520000000000003</c:v>
                </c:pt>
                <c:pt idx="91">
                  <c:v>7.8520000000000003</c:v>
                </c:pt>
                <c:pt idx="92">
                  <c:v>7.8520000000000003</c:v>
                </c:pt>
                <c:pt idx="93">
                  <c:v>7.4409999999999998</c:v>
                </c:pt>
                <c:pt idx="94">
                  <c:v>7.4409999999999998</c:v>
                </c:pt>
                <c:pt idx="95">
                  <c:v>7.4409999999999998</c:v>
                </c:pt>
                <c:pt idx="96">
                  <c:v>7.4409999999999998</c:v>
                </c:pt>
                <c:pt idx="97">
                  <c:v>7.4409999999999998</c:v>
                </c:pt>
                <c:pt idx="98">
                  <c:v>7.0570000000000004</c:v>
                </c:pt>
                <c:pt idx="99">
                  <c:v>7.0570000000000004</c:v>
                </c:pt>
                <c:pt idx="100">
                  <c:v>7.0570000000000004</c:v>
                </c:pt>
                <c:pt idx="101">
                  <c:v>7.0570000000000004</c:v>
                </c:pt>
                <c:pt idx="102">
                  <c:v>7.0570000000000004</c:v>
                </c:pt>
                <c:pt idx="103">
                  <c:v>6.891</c:v>
                </c:pt>
                <c:pt idx="104">
                  <c:v>6.891</c:v>
                </c:pt>
                <c:pt idx="105">
                  <c:v>6.891</c:v>
                </c:pt>
                <c:pt idx="106">
                  <c:v>6.891</c:v>
                </c:pt>
                <c:pt idx="107">
                  <c:v>6.891</c:v>
                </c:pt>
                <c:pt idx="108">
                  <c:v>6.5650000000000004</c:v>
                </c:pt>
                <c:pt idx="109">
                  <c:v>6.5650000000000004</c:v>
                </c:pt>
                <c:pt idx="110">
                  <c:v>6.5650000000000004</c:v>
                </c:pt>
                <c:pt idx="111">
                  <c:v>6.5650000000000004</c:v>
                </c:pt>
                <c:pt idx="112">
                  <c:v>6.17</c:v>
                </c:pt>
                <c:pt idx="113">
                  <c:v>6.17</c:v>
                </c:pt>
                <c:pt idx="114">
                  <c:v>7.3680000000000003</c:v>
                </c:pt>
                <c:pt idx="115">
                  <c:v>7.3680000000000003</c:v>
                </c:pt>
                <c:pt idx="116">
                  <c:v>7.3680000000000003</c:v>
                </c:pt>
                <c:pt idx="117">
                  <c:v>7.3680000000000003</c:v>
                </c:pt>
                <c:pt idx="118">
                  <c:v>7.343</c:v>
                </c:pt>
                <c:pt idx="119">
                  <c:v>7.343</c:v>
                </c:pt>
                <c:pt idx="120">
                  <c:v>7.343</c:v>
                </c:pt>
                <c:pt idx="121">
                  <c:v>7.343</c:v>
                </c:pt>
                <c:pt idx="122">
                  <c:v>7.343</c:v>
                </c:pt>
                <c:pt idx="123">
                  <c:v>7.3460000000000001</c:v>
                </c:pt>
                <c:pt idx="124">
                  <c:v>7.3460000000000001</c:v>
                </c:pt>
                <c:pt idx="125">
                  <c:v>7.3460000000000001</c:v>
                </c:pt>
                <c:pt idx="126">
                  <c:v>7.3460000000000001</c:v>
                </c:pt>
                <c:pt idx="127">
                  <c:v>7.3460000000000001</c:v>
                </c:pt>
                <c:pt idx="128">
                  <c:v>7.5640000000000001</c:v>
                </c:pt>
                <c:pt idx="129">
                  <c:v>7.5640000000000001</c:v>
                </c:pt>
                <c:pt idx="130">
                  <c:v>7.5640000000000001</c:v>
                </c:pt>
                <c:pt idx="131">
                  <c:v>7.5640000000000001</c:v>
                </c:pt>
                <c:pt idx="132">
                  <c:v>7.5640000000000001</c:v>
                </c:pt>
                <c:pt idx="133">
                  <c:v>7.5640000000000001</c:v>
                </c:pt>
                <c:pt idx="134">
                  <c:v>7.5510000000000002</c:v>
                </c:pt>
                <c:pt idx="135">
                  <c:v>7.5510000000000002</c:v>
                </c:pt>
                <c:pt idx="136">
                  <c:v>7.5510000000000002</c:v>
                </c:pt>
                <c:pt idx="137">
                  <c:v>7.5510000000000002</c:v>
                </c:pt>
                <c:pt idx="138">
                  <c:v>7.5510000000000002</c:v>
                </c:pt>
                <c:pt idx="139">
                  <c:v>7.5739999999999998</c:v>
                </c:pt>
                <c:pt idx="140">
                  <c:v>7.5739999999999998</c:v>
                </c:pt>
                <c:pt idx="141">
                  <c:v>7.5739999999999998</c:v>
                </c:pt>
                <c:pt idx="142">
                  <c:v>7.5739999999999998</c:v>
                </c:pt>
                <c:pt idx="143">
                  <c:v>7.5739999999999998</c:v>
                </c:pt>
                <c:pt idx="144">
                  <c:v>7.5670000000000002</c:v>
                </c:pt>
                <c:pt idx="145">
                  <c:v>7.5670000000000002</c:v>
                </c:pt>
                <c:pt idx="146">
                  <c:v>7.5670000000000002</c:v>
                </c:pt>
                <c:pt idx="147">
                  <c:v>7.5670000000000002</c:v>
                </c:pt>
                <c:pt idx="148">
                  <c:v>7.5670000000000002</c:v>
                </c:pt>
                <c:pt idx="149">
                  <c:v>7.5670000000000002</c:v>
                </c:pt>
                <c:pt idx="150">
                  <c:v>7.1970000000000001</c:v>
                </c:pt>
                <c:pt idx="151">
                  <c:v>7.1970000000000001</c:v>
                </c:pt>
                <c:pt idx="152">
                  <c:v>7.1970000000000001</c:v>
                </c:pt>
                <c:pt idx="153">
                  <c:v>7.1970000000000001</c:v>
                </c:pt>
                <c:pt idx="154">
                  <c:v>7.1970000000000001</c:v>
                </c:pt>
                <c:pt idx="155">
                  <c:v>6.8330000000000002</c:v>
                </c:pt>
                <c:pt idx="156">
                  <c:v>6.8330000000000002</c:v>
                </c:pt>
                <c:pt idx="157">
                  <c:v>6.8330000000000002</c:v>
                </c:pt>
                <c:pt idx="158">
                  <c:v>6.8330000000000002</c:v>
                </c:pt>
                <c:pt idx="159">
                  <c:v>6.8330000000000002</c:v>
                </c:pt>
                <c:pt idx="160">
                  <c:v>6.6639999999999997</c:v>
                </c:pt>
                <c:pt idx="161">
                  <c:v>6.6639999999999997</c:v>
                </c:pt>
                <c:pt idx="162">
                  <c:v>6.6639999999999997</c:v>
                </c:pt>
                <c:pt idx="163">
                  <c:v>6.6639999999999997</c:v>
                </c:pt>
                <c:pt idx="164">
                  <c:v>6.6639999999999997</c:v>
                </c:pt>
                <c:pt idx="165">
                  <c:v>6.3339999999999996</c:v>
                </c:pt>
                <c:pt idx="166">
                  <c:v>6.3339999999999996</c:v>
                </c:pt>
                <c:pt idx="167">
                  <c:v>6.3339999999999996</c:v>
                </c:pt>
                <c:pt idx="168">
                  <c:v>6.3339999999999996</c:v>
                </c:pt>
                <c:pt idx="169">
                  <c:v>6.0339999999999998</c:v>
                </c:pt>
                <c:pt idx="170">
                  <c:v>6.0339999999999998</c:v>
                </c:pt>
                <c:pt idx="171">
                  <c:v>8.6229999999999993</c:v>
                </c:pt>
                <c:pt idx="172">
                  <c:v>8.6229999999999993</c:v>
                </c:pt>
                <c:pt idx="173">
                  <c:v>8.6229999999999993</c:v>
                </c:pt>
                <c:pt idx="174">
                  <c:v>8.6229999999999993</c:v>
                </c:pt>
                <c:pt idx="175">
                  <c:v>7.8959999999999999</c:v>
                </c:pt>
                <c:pt idx="176">
                  <c:v>7.8959999999999999</c:v>
                </c:pt>
                <c:pt idx="177">
                  <c:v>7.8959999999999999</c:v>
                </c:pt>
                <c:pt idx="178">
                  <c:v>7.8959999999999999</c:v>
                </c:pt>
                <c:pt idx="179">
                  <c:v>7.8959999999999999</c:v>
                </c:pt>
                <c:pt idx="180">
                  <c:v>7.3719999999999999</c:v>
                </c:pt>
                <c:pt idx="181">
                  <c:v>7.3719999999999999</c:v>
                </c:pt>
                <c:pt idx="182">
                  <c:v>7.3719999999999999</c:v>
                </c:pt>
                <c:pt idx="183">
                  <c:v>7.3719999999999999</c:v>
                </c:pt>
                <c:pt idx="184">
                  <c:v>7.3719999999999999</c:v>
                </c:pt>
                <c:pt idx="185">
                  <c:v>7.1269999999999998</c:v>
                </c:pt>
                <c:pt idx="186">
                  <c:v>7.1269999999999998</c:v>
                </c:pt>
                <c:pt idx="187">
                  <c:v>7.1269999999999998</c:v>
                </c:pt>
                <c:pt idx="188">
                  <c:v>7.1269999999999998</c:v>
                </c:pt>
                <c:pt idx="189">
                  <c:v>7.1269999999999998</c:v>
                </c:pt>
                <c:pt idx="190">
                  <c:v>7.1269999999999998</c:v>
                </c:pt>
                <c:pt idx="191">
                  <c:v>6.51</c:v>
                </c:pt>
                <c:pt idx="192">
                  <c:v>6.51</c:v>
                </c:pt>
                <c:pt idx="193">
                  <c:v>6.51</c:v>
                </c:pt>
                <c:pt idx="194">
                  <c:v>6.51</c:v>
                </c:pt>
                <c:pt idx="195">
                  <c:v>6.51</c:v>
                </c:pt>
                <c:pt idx="196">
                  <c:v>5.9459999999999997</c:v>
                </c:pt>
                <c:pt idx="197">
                  <c:v>5.9459999999999997</c:v>
                </c:pt>
                <c:pt idx="198">
                  <c:v>5.9459999999999997</c:v>
                </c:pt>
                <c:pt idx="199">
                  <c:v>5.9459999999999997</c:v>
                </c:pt>
                <c:pt idx="200">
                  <c:v>5.9459999999999997</c:v>
                </c:pt>
                <c:pt idx="201">
                  <c:v>5.6440000000000001</c:v>
                </c:pt>
                <c:pt idx="202">
                  <c:v>5.6440000000000001</c:v>
                </c:pt>
                <c:pt idx="203">
                  <c:v>5.6440000000000001</c:v>
                </c:pt>
                <c:pt idx="204">
                  <c:v>5.6440000000000001</c:v>
                </c:pt>
                <c:pt idx="205">
                  <c:v>5.6440000000000001</c:v>
                </c:pt>
                <c:pt idx="206">
                  <c:v>5.6440000000000001</c:v>
                </c:pt>
                <c:pt idx="207">
                  <c:v>5.1429999999999998</c:v>
                </c:pt>
                <c:pt idx="208">
                  <c:v>5.1429999999999998</c:v>
                </c:pt>
                <c:pt idx="209">
                  <c:v>5.1429999999999998</c:v>
                </c:pt>
                <c:pt idx="210">
                  <c:v>5.1429999999999998</c:v>
                </c:pt>
                <c:pt idx="211">
                  <c:v>5.1429999999999998</c:v>
                </c:pt>
                <c:pt idx="212">
                  <c:v>4.6070000000000002</c:v>
                </c:pt>
                <c:pt idx="213">
                  <c:v>4.6070000000000002</c:v>
                </c:pt>
                <c:pt idx="214">
                  <c:v>4.6070000000000002</c:v>
                </c:pt>
                <c:pt idx="215">
                  <c:v>4.6070000000000002</c:v>
                </c:pt>
                <c:pt idx="216">
                  <c:v>4.6070000000000002</c:v>
                </c:pt>
                <c:pt idx="217">
                  <c:v>4.3079999999999998</c:v>
                </c:pt>
                <c:pt idx="218">
                  <c:v>4.3079999999999998</c:v>
                </c:pt>
                <c:pt idx="219">
                  <c:v>4.3079999999999998</c:v>
                </c:pt>
                <c:pt idx="220">
                  <c:v>4.3079999999999998</c:v>
                </c:pt>
                <c:pt idx="221">
                  <c:v>4.3079999999999998</c:v>
                </c:pt>
                <c:pt idx="222">
                  <c:v>4.077</c:v>
                </c:pt>
                <c:pt idx="223">
                  <c:v>4.077</c:v>
                </c:pt>
                <c:pt idx="224">
                  <c:v>4.077</c:v>
                </c:pt>
                <c:pt idx="225">
                  <c:v>4.077</c:v>
                </c:pt>
                <c:pt idx="226">
                  <c:v>3.879</c:v>
                </c:pt>
                <c:pt idx="227">
                  <c:v>3.879</c:v>
                </c:pt>
                <c:pt idx="228">
                  <c:v>6.5659999999999998</c:v>
                </c:pt>
                <c:pt idx="229">
                  <c:v>6.5659999999999998</c:v>
                </c:pt>
                <c:pt idx="230">
                  <c:v>6.5659999999999998</c:v>
                </c:pt>
                <c:pt idx="231">
                  <c:v>6.5659999999999998</c:v>
                </c:pt>
                <c:pt idx="232">
                  <c:v>6.4649999999999999</c:v>
                </c:pt>
                <c:pt idx="233">
                  <c:v>6.4649999999999999</c:v>
                </c:pt>
                <c:pt idx="234">
                  <c:v>6.4649999999999999</c:v>
                </c:pt>
                <c:pt idx="235">
                  <c:v>6.4649999999999999</c:v>
                </c:pt>
                <c:pt idx="236">
                  <c:v>6.4649999999999999</c:v>
                </c:pt>
                <c:pt idx="237">
                  <c:v>6.4960000000000004</c:v>
                </c:pt>
                <c:pt idx="238">
                  <c:v>6.4960000000000004</c:v>
                </c:pt>
                <c:pt idx="239">
                  <c:v>6.4960000000000004</c:v>
                </c:pt>
                <c:pt idx="240">
                  <c:v>6.4960000000000004</c:v>
                </c:pt>
                <c:pt idx="241">
                  <c:v>6.4960000000000004</c:v>
                </c:pt>
                <c:pt idx="242">
                  <c:v>6.7679999999999998</c:v>
                </c:pt>
                <c:pt idx="243">
                  <c:v>6.7679999999999998</c:v>
                </c:pt>
                <c:pt idx="244">
                  <c:v>6.7679999999999998</c:v>
                </c:pt>
                <c:pt idx="245">
                  <c:v>6.7679999999999998</c:v>
                </c:pt>
                <c:pt idx="246">
                  <c:v>6.7679999999999998</c:v>
                </c:pt>
                <c:pt idx="247">
                  <c:v>6.7679999999999998</c:v>
                </c:pt>
                <c:pt idx="248">
                  <c:v>6.6340000000000003</c:v>
                </c:pt>
                <c:pt idx="249">
                  <c:v>6.6340000000000003</c:v>
                </c:pt>
                <c:pt idx="250">
                  <c:v>6.6340000000000003</c:v>
                </c:pt>
                <c:pt idx="251">
                  <c:v>6.6340000000000003</c:v>
                </c:pt>
                <c:pt idx="252">
                  <c:v>6.6340000000000003</c:v>
                </c:pt>
                <c:pt idx="253">
                  <c:v>6.4889999999999999</c:v>
                </c:pt>
                <c:pt idx="254">
                  <c:v>6.4889999999999999</c:v>
                </c:pt>
                <c:pt idx="255">
                  <c:v>6.4889999999999999</c:v>
                </c:pt>
                <c:pt idx="256">
                  <c:v>6.4889999999999999</c:v>
                </c:pt>
                <c:pt idx="257">
                  <c:v>6.4889999999999999</c:v>
                </c:pt>
                <c:pt idx="258">
                  <c:v>6.5289999999999999</c:v>
                </c:pt>
                <c:pt idx="259">
                  <c:v>6.5289999999999999</c:v>
                </c:pt>
                <c:pt idx="260">
                  <c:v>6.5289999999999999</c:v>
                </c:pt>
                <c:pt idx="261">
                  <c:v>6.5289999999999999</c:v>
                </c:pt>
                <c:pt idx="262">
                  <c:v>6.5289999999999999</c:v>
                </c:pt>
                <c:pt idx="263">
                  <c:v>6.5289999999999999</c:v>
                </c:pt>
                <c:pt idx="264">
                  <c:v>6.3</c:v>
                </c:pt>
                <c:pt idx="265">
                  <c:v>6.3</c:v>
                </c:pt>
                <c:pt idx="266">
                  <c:v>6.3</c:v>
                </c:pt>
                <c:pt idx="267">
                  <c:v>6.3</c:v>
                </c:pt>
                <c:pt idx="268">
                  <c:v>6.3</c:v>
                </c:pt>
                <c:pt idx="269">
                  <c:v>5.9429999999999996</c:v>
                </c:pt>
                <c:pt idx="270">
                  <c:v>5.9429999999999996</c:v>
                </c:pt>
                <c:pt idx="271">
                  <c:v>5.9429999999999996</c:v>
                </c:pt>
                <c:pt idx="272">
                  <c:v>5.9429999999999996</c:v>
                </c:pt>
                <c:pt idx="273">
                  <c:v>5.9429999999999996</c:v>
                </c:pt>
                <c:pt idx="274">
                  <c:v>5.8010000000000002</c:v>
                </c:pt>
                <c:pt idx="275">
                  <c:v>5.8010000000000002</c:v>
                </c:pt>
                <c:pt idx="276">
                  <c:v>5.8010000000000002</c:v>
                </c:pt>
                <c:pt idx="277">
                  <c:v>5.8010000000000002</c:v>
                </c:pt>
                <c:pt idx="278">
                  <c:v>5.8010000000000002</c:v>
                </c:pt>
                <c:pt idx="279">
                  <c:v>5.6029999999999998</c:v>
                </c:pt>
                <c:pt idx="280">
                  <c:v>5.6029999999999998</c:v>
                </c:pt>
                <c:pt idx="281">
                  <c:v>5.6029999999999998</c:v>
                </c:pt>
                <c:pt idx="282">
                  <c:v>5.6029999999999998</c:v>
                </c:pt>
                <c:pt idx="283">
                  <c:v>5.4219999999999997</c:v>
                </c:pt>
                <c:pt idx="284">
                  <c:v>5.4219999999999997</c:v>
                </c:pt>
                <c:pt idx="285">
                  <c:v>7.2590000000000003</c:v>
                </c:pt>
                <c:pt idx="286">
                  <c:v>7.2590000000000003</c:v>
                </c:pt>
                <c:pt idx="287">
                  <c:v>7.2590000000000003</c:v>
                </c:pt>
                <c:pt idx="288">
                  <c:v>7.2590000000000003</c:v>
                </c:pt>
                <c:pt idx="289">
                  <c:v>7.0919999999999996</c:v>
                </c:pt>
                <c:pt idx="290">
                  <c:v>7.0919999999999996</c:v>
                </c:pt>
                <c:pt idx="291">
                  <c:v>7.0919999999999996</c:v>
                </c:pt>
                <c:pt idx="292">
                  <c:v>7.0919999999999996</c:v>
                </c:pt>
                <c:pt idx="293">
                  <c:v>7.0919999999999996</c:v>
                </c:pt>
                <c:pt idx="294">
                  <c:v>6.9729999999999999</c:v>
                </c:pt>
                <c:pt idx="295">
                  <c:v>6.9729999999999999</c:v>
                </c:pt>
                <c:pt idx="296">
                  <c:v>6.9729999999999999</c:v>
                </c:pt>
                <c:pt idx="297">
                  <c:v>6.9729999999999999</c:v>
                </c:pt>
                <c:pt idx="298">
                  <c:v>6.9729999999999999</c:v>
                </c:pt>
                <c:pt idx="299">
                  <c:v>7.0069999999999997</c:v>
                </c:pt>
                <c:pt idx="300">
                  <c:v>7.0069999999999997</c:v>
                </c:pt>
                <c:pt idx="301">
                  <c:v>7.0069999999999997</c:v>
                </c:pt>
                <c:pt idx="302">
                  <c:v>7.0069999999999997</c:v>
                </c:pt>
                <c:pt idx="303">
                  <c:v>7.0069999999999997</c:v>
                </c:pt>
                <c:pt idx="304">
                  <c:v>7.0069999999999997</c:v>
                </c:pt>
                <c:pt idx="305">
                  <c:v>6.8579999999999997</c:v>
                </c:pt>
                <c:pt idx="306">
                  <c:v>6.8579999999999997</c:v>
                </c:pt>
                <c:pt idx="307">
                  <c:v>6.8579999999999997</c:v>
                </c:pt>
                <c:pt idx="308">
                  <c:v>6.8579999999999997</c:v>
                </c:pt>
                <c:pt idx="309">
                  <c:v>6.8579999999999997</c:v>
                </c:pt>
                <c:pt idx="310">
                  <c:v>6.8550000000000004</c:v>
                </c:pt>
                <c:pt idx="311">
                  <c:v>6.8550000000000004</c:v>
                </c:pt>
                <c:pt idx="312">
                  <c:v>6.8550000000000004</c:v>
                </c:pt>
                <c:pt idx="313">
                  <c:v>6.8550000000000004</c:v>
                </c:pt>
                <c:pt idx="314">
                  <c:v>6.8550000000000004</c:v>
                </c:pt>
                <c:pt idx="315">
                  <c:v>6.9249999999999998</c:v>
                </c:pt>
                <c:pt idx="316">
                  <c:v>6.9249999999999998</c:v>
                </c:pt>
                <c:pt idx="317">
                  <c:v>6.9249999999999998</c:v>
                </c:pt>
                <c:pt idx="318">
                  <c:v>6.9249999999999998</c:v>
                </c:pt>
                <c:pt idx="319">
                  <c:v>6.9249999999999998</c:v>
                </c:pt>
                <c:pt idx="320">
                  <c:v>6.9249999999999998</c:v>
                </c:pt>
                <c:pt idx="321">
                  <c:v>6.5510000000000002</c:v>
                </c:pt>
                <c:pt idx="322">
                  <c:v>6.5510000000000002</c:v>
                </c:pt>
                <c:pt idx="323">
                  <c:v>6.5510000000000002</c:v>
                </c:pt>
                <c:pt idx="324">
                  <c:v>6.5510000000000002</c:v>
                </c:pt>
                <c:pt idx="325">
                  <c:v>6.5510000000000002</c:v>
                </c:pt>
                <c:pt idx="326">
                  <c:v>6.1319999999999997</c:v>
                </c:pt>
                <c:pt idx="327">
                  <c:v>6.1319999999999997</c:v>
                </c:pt>
                <c:pt idx="328">
                  <c:v>6.1319999999999997</c:v>
                </c:pt>
                <c:pt idx="329">
                  <c:v>6.1319999999999997</c:v>
                </c:pt>
                <c:pt idx="330">
                  <c:v>6.1319999999999997</c:v>
                </c:pt>
                <c:pt idx="331">
                  <c:v>5.9640000000000004</c:v>
                </c:pt>
                <c:pt idx="332">
                  <c:v>5.9640000000000004</c:v>
                </c:pt>
                <c:pt idx="333">
                  <c:v>5.9640000000000004</c:v>
                </c:pt>
                <c:pt idx="334">
                  <c:v>5.9640000000000004</c:v>
                </c:pt>
                <c:pt idx="335">
                  <c:v>5.9640000000000004</c:v>
                </c:pt>
                <c:pt idx="336">
                  <c:v>5.6680000000000001</c:v>
                </c:pt>
                <c:pt idx="337">
                  <c:v>5.6680000000000001</c:v>
                </c:pt>
                <c:pt idx="338">
                  <c:v>5.6680000000000001</c:v>
                </c:pt>
                <c:pt idx="339">
                  <c:v>5.6680000000000001</c:v>
                </c:pt>
                <c:pt idx="340">
                  <c:v>5.3289999999999997</c:v>
                </c:pt>
                <c:pt idx="341">
                  <c:v>5.3289999999999997</c:v>
                </c:pt>
                <c:pt idx="342">
                  <c:v>9.0139999999999993</c:v>
                </c:pt>
                <c:pt idx="343">
                  <c:v>9.0139999999999993</c:v>
                </c:pt>
                <c:pt idx="344">
                  <c:v>9.0139999999999993</c:v>
                </c:pt>
                <c:pt idx="345">
                  <c:v>9.0139999999999993</c:v>
                </c:pt>
                <c:pt idx="346">
                  <c:v>8.9629999999999992</c:v>
                </c:pt>
                <c:pt idx="347">
                  <c:v>8.9629999999999992</c:v>
                </c:pt>
                <c:pt idx="348">
                  <c:v>8.9629999999999992</c:v>
                </c:pt>
                <c:pt idx="349">
                  <c:v>8.9629999999999992</c:v>
                </c:pt>
                <c:pt idx="350">
                  <c:v>8.9629999999999992</c:v>
                </c:pt>
                <c:pt idx="351">
                  <c:v>9.0169999999999995</c:v>
                </c:pt>
                <c:pt idx="352">
                  <c:v>9.0169999999999995</c:v>
                </c:pt>
                <c:pt idx="353">
                  <c:v>9.0169999999999995</c:v>
                </c:pt>
                <c:pt idx="354">
                  <c:v>9.0169999999999995</c:v>
                </c:pt>
                <c:pt idx="355">
                  <c:v>9.0169999999999995</c:v>
                </c:pt>
                <c:pt idx="356">
                  <c:v>9.1370000000000005</c:v>
                </c:pt>
                <c:pt idx="357">
                  <c:v>9.1370000000000005</c:v>
                </c:pt>
                <c:pt idx="358">
                  <c:v>9.1370000000000005</c:v>
                </c:pt>
                <c:pt idx="359">
                  <c:v>9.1370000000000005</c:v>
                </c:pt>
                <c:pt idx="360">
                  <c:v>9.1370000000000005</c:v>
                </c:pt>
                <c:pt idx="361">
                  <c:v>9.1370000000000005</c:v>
                </c:pt>
                <c:pt idx="362">
                  <c:v>8.8179999999999996</c:v>
                </c:pt>
                <c:pt idx="363">
                  <c:v>8.8179999999999996</c:v>
                </c:pt>
                <c:pt idx="364">
                  <c:v>8.8179999999999996</c:v>
                </c:pt>
                <c:pt idx="365">
                  <c:v>8.8179999999999996</c:v>
                </c:pt>
                <c:pt idx="366">
                  <c:v>8.8179999999999996</c:v>
                </c:pt>
                <c:pt idx="367">
                  <c:v>8.5950000000000006</c:v>
                </c:pt>
                <c:pt idx="368">
                  <c:v>8.5950000000000006</c:v>
                </c:pt>
                <c:pt idx="369">
                  <c:v>8.5950000000000006</c:v>
                </c:pt>
                <c:pt idx="370">
                  <c:v>8.5950000000000006</c:v>
                </c:pt>
                <c:pt idx="371">
                  <c:v>8.5950000000000006</c:v>
                </c:pt>
                <c:pt idx="372">
                  <c:v>8.6219999999999999</c:v>
                </c:pt>
                <c:pt idx="373">
                  <c:v>8.6219999999999999</c:v>
                </c:pt>
                <c:pt idx="374">
                  <c:v>8.6219999999999999</c:v>
                </c:pt>
                <c:pt idx="375">
                  <c:v>8.6219999999999999</c:v>
                </c:pt>
                <c:pt idx="376">
                  <c:v>8.6219999999999999</c:v>
                </c:pt>
                <c:pt idx="377">
                  <c:v>8.6219999999999999</c:v>
                </c:pt>
                <c:pt idx="378">
                  <c:v>8.5129999999999999</c:v>
                </c:pt>
                <c:pt idx="379">
                  <c:v>8.5129999999999999</c:v>
                </c:pt>
                <c:pt idx="380">
                  <c:v>8.5129999999999999</c:v>
                </c:pt>
                <c:pt idx="381">
                  <c:v>8.5129999999999999</c:v>
                </c:pt>
                <c:pt idx="382">
                  <c:v>8.5129999999999999</c:v>
                </c:pt>
                <c:pt idx="383">
                  <c:v>8.2560000000000002</c:v>
                </c:pt>
                <c:pt idx="384">
                  <c:v>8.2560000000000002</c:v>
                </c:pt>
                <c:pt idx="385">
                  <c:v>8.2560000000000002</c:v>
                </c:pt>
                <c:pt idx="386">
                  <c:v>8.2560000000000002</c:v>
                </c:pt>
                <c:pt idx="387">
                  <c:v>8.2560000000000002</c:v>
                </c:pt>
                <c:pt idx="388">
                  <c:v>8.09</c:v>
                </c:pt>
                <c:pt idx="389">
                  <c:v>8.09</c:v>
                </c:pt>
                <c:pt idx="390">
                  <c:v>8.09</c:v>
                </c:pt>
                <c:pt idx="391">
                  <c:v>8.09</c:v>
                </c:pt>
                <c:pt idx="392">
                  <c:v>8.09</c:v>
                </c:pt>
                <c:pt idx="393">
                  <c:v>7.8719999999999999</c:v>
                </c:pt>
                <c:pt idx="394">
                  <c:v>7.8719999999999999</c:v>
                </c:pt>
                <c:pt idx="395">
                  <c:v>7.8719999999999999</c:v>
                </c:pt>
                <c:pt idx="396">
                  <c:v>7.8719999999999999</c:v>
                </c:pt>
                <c:pt idx="397">
                  <c:v>7.5570000000000004</c:v>
                </c:pt>
                <c:pt idx="398">
                  <c:v>7.5570000000000004</c:v>
                </c:pt>
                <c:pt idx="399">
                  <c:v>6.2990000000000004</c:v>
                </c:pt>
                <c:pt idx="400">
                  <c:v>6.2990000000000004</c:v>
                </c:pt>
                <c:pt idx="401">
                  <c:v>6.2990000000000004</c:v>
                </c:pt>
                <c:pt idx="402">
                  <c:v>6.2990000000000004</c:v>
                </c:pt>
                <c:pt idx="403">
                  <c:v>6.29</c:v>
                </c:pt>
                <c:pt idx="404">
                  <c:v>6.29</c:v>
                </c:pt>
                <c:pt idx="405">
                  <c:v>6.29</c:v>
                </c:pt>
                <c:pt idx="406">
                  <c:v>6.29</c:v>
                </c:pt>
                <c:pt idx="407">
                  <c:v>6.29</c:v>
                </c:pt>
                <c:pt idx="408">
                  <c:v>6.3150000000000004</c:v>
                </c:pt>
                <c:pt idx="409">
                  <c:v>6.3150000000000004</c:v>
                </c:pt>
                <c:pt idx="410">
                  <c:v>6.3150000000000004</c:v>
                </c:pt>
                <c:pt idx="411">
                  <c:v>6.3150000000000004</c:v>
                </c:pt>
                <c:pt idx="412">
                  <c:v>6.3150000000000004</c:v>
                </c:pt>
                <c:pt idx="413">
                  <c:v>6.4329999999999998</c:v>
                </c:pt>
                <c:pt idx="414">
                  <c:v>6.4329999999999998</c:v>
                </c:pt>
                <c:pt idx="415">
                  <c:v>6.4329999999999998</c:v>
                </c:pt>
                <c:pt idx="416">
                  <c:v>6.4329999999999998</c:v>
                </c:pt>
                <c:pt idx="417">
                  <c:v>6.4329999999999998</c:v>
                </c:pt>
                <c:pt idx="418">
                  <c:v>6.4329999999999998</c:v>
                </c:pt>
                <c:pt idx="419">
                  <c:v>6.2619999999999996</c:v>
                </c:pt>
                <c:pt idx="420">
                  <c:v>6.2619999999999996</c:v>
                </c:pt>
                <c:pt idx="421">
                  <c:v>6.2619999999999996</c:v>
                </c:pt>
                <c:pt idx="422">
                  <c:v>6.2619999999999996</c:v>
                </c:pt>
                <c:pt idx="423">
                  <c:v>6.2619999999999996</c:v>
                </c:pt>
                <c:pt idx="424">
                  <c:v>6.2969999999999997</c:v>
                </c:pt>
                <c:pt idx="425">
                  <c:v>6.2969999999999997</c:v>
                </c:pt>
                <c:pt idx="426">
                  <c:v>6.2969999999999997</c:v>
                </c:pt>
                <c:pt idx="427">
                  <c:v>6.2969999999999997</c:v>
                </c:pt>
                <c:pt idx="428">
                  <c:v>6.2969999999999997</c:v>
                </c:pt>
                <c:pt idx="429">
                  <c:v>6.4249999999999998</c:v>
                </c:pt>
                <c:pt idx="430">
                  <c:v>6.4249999999999998</c:v>
                </c:pt>
                <c:pt idx="431">
                  <c:v>6.4249999999999998</c:v>
                </c:pt>
                <c:pt idx="432">
                  <c:v>6.4249999999999998</c:v>
                </c:pt>
                <c:pt idx="433">
                  <c:v>6.4249999999999998</c:v>
                </c:pt>
                <c:pt idx="434">
                  <c:v>6.4249999999999998</c:v>
                </c:pt>
                <c:pt idx="435">
                  <c:v>6.1230000000000002</c:v>
                </c:pt>
                <c:pt idx="436">
                  <c:v>6.1230000000000002</c:v>
                </c:pt>
                <c:pt idx="437">
                  <c:v>6.1230000000000002</c:v>
                </c:pt>
                <c:pt idx="438">
                  <c:v>6.1230000000000002</c:v>
                </c:pt>
                <c:pt idx="439">
                  <c:v>6.1230000000000002</c:v>
                </c:pt>
                <c:pt idx="440">
                  <c:v>5.8250000000000002</c:v>
                </c:pt>
                <c:pt idx="441">
                  <c:v>5.8250000000000002</c:v>
                </c:pt>
                <c:pt idx="442">
                  <c:v>5.8250000000000002</c:v>
                </c:pt>
                <c:pt idx="443">
                  <c:v>5.8250000000000002</c:v>
                </c:pt>
                <c:pt idx="444">
                  <c:v>5.8250000000000002</c:v>
                </c:pt>
                <c:pt idx="445">
                  <c:v>5.6790000000000003</c:v>
                </c:pt>
                <c:pt idx="446">
                  <c:v>5.6790000000000003</c:v>
                </c:pt>
                <c:pt idx="447">
                  <c:v>5.6790000000000003</c:v>
                </c:pt>
                <c:pt idx="448">
                  <c:v>5.6790000000000003</c:v>
                </c:pt>
                <c:pt idx="449">
                  <c:v>5.6790000000000003</c:v>
                </c:pt>
                <c:pt idx="450">
                  <c:v>5.4009999999999998</c:v>
                </c:pt>
                <c:pt idx="451">
                  <c:v>5.4009999999999998</c:v>
                </c:pt>
                <c:pt idx="452">
                  <c:v>5.4009999999999998</c:v>
                </c:pt>
                <c:pt idx="453">
                  <c:v>5.4009999999999998</c:v>
                </c:pt>
                <c:pt idx="454">
                  <c:v>5.1239999999999997</c:v>
                </c:pt>
                <c:pt idx="455">
                  <c:v>5.1239999999999997</c:v>
                </c:pt>
                <c:pt idx="456">
                  <c:v>6.415</c:v>
                </c:pt>
                <c:pt idx="457">
                  <c:v>6.415</c:v>
                </c:pt>
                <c:pt idx="458">
                  <c:v>6.415</c:v>
                </c:pt>
                <c:pt idx="459">
                  <c:v>6.415</c:v>
                </c:pt>
                <c:pt idx="460">
                  <c:v>6.3840000000000003</c:v>
                </c:pt>
                <c:pt idx="461">
                  <c:v>6.3840000000000003</c:v>
                </c:pt>
                <c:pt idx="462">
                  <c:v>6.3840000000000003</c:v>
                </c:pt>
                <c:pt idx="463">
                  <c:v>6.3840000000000003</c:v>
                </c:pt>
                <c:pt idx="464">
                  <c:v>6.3840000000000003</c:v>
                </c:pt>
                <c:pt idx="465">
                  <c:v>6.4420000000000002</c:v>
                </c:pt>
                <c:pt idx="466">
                  <c:v>6.4420000000000002</c:v>
                </c:pt>
                <c:pt idx="467">
                  <c:v>6.4420000000000002</c:v>
                </c:pt>
                <c:pt idx="468">
                  <c:v>6.4420000000000002</c:v>
                </c:pt>
                <c:pt idx="469">
                  <c:v>6.4420000000000002</c:v>
                </c:pt>
                <c:pt idx="470">
                  <c:v>6.56</c:v>
                </c:pt>
                <c:pt idx="471">
                  <c:v>6.56</c:v>
                </c:pt>
                <c:pt idx="472">
                  <c:v>6.56</c:v>
                </c:pt>
                <c:pt idx="473">
                  <c:v>6.56</c:v>
                </c:pt>
                <c:pt idx="474">
                  <c:v>6.56</c:v>
                </c:pt>
                <c:pt idx="475">
                  <c:v>6.56</c:v>
                </c:pt>
                <c:pt idx="476">
                  <c:v>6.4160000000000004</c:v>
                </c:pt>
                <c:pt idx="477">
                  <c:v>6.4160000000000004</c:v>
                </c:pt>
                <c:pt idx="478">
                  <c:v>6.4160000000000004</c:v>
                </c:pt>
                <c:pt idx="479">
                  <c:v>6.4160000000000004</c:v>
                </c:pt>
                <c:pt idx="480">
                  <c:v>6.4160000000000004</c:v>
                </c:pt>
                <c:pt idx="481">
                  <c:v>6.38</c:v>
                </c:pt>
                <c:pt idx="482">
                  <c:v>6.38</c:v>
                </c:pt>
                <c:pt idx="483">
                  <c:v>6.38</c:v>
                </c:pt>
                <c:pt idx="484">
                  <c:v>6.38</c:v>
                </c:pt>
                <c:pt idx="485">
                  <c:v>6.38</c:v>
                </c:pt>
                <c:pt idx="486">
                  <c:v>6.4039999999999999</c:v>
                </c:pt>
                <c:pt idx="487">
                  <c:v>6.4039999999999999</c:v>
                </c:pt>
                <c:pt idx="488">
                  <c:v>6.4039999999999999</c:v>
                </c:pt>
                <c:pt idx="489">
                  <c:v>6.4039999999999999</c:v>
                </c:pt>
                <c:pt idx="490">
                  <c:v>6.4039999999999999</c:v>
                </c:pt>
                <c:pt idx="491">
                  <c:v>6.4039999999999999</c:v>
                </c:pt>
                <c:pt idx="492">
                  <c:v>6.0540000000000003</c:v>
                </c:pt>
                <c:pt idx="493">
                  <c:v>6.0540000000000003</c:v>
                </c:pt>
                <c:pt idx="494">
                  <c:v>6.0540000000000003</c:v>
                </c:pt>
                <c:pt idx="495">
                  <c:v>6.0540000000000003</c:v>
                </c:pt>
                <c:pt idx="496">
                  <c:v>6.0540000000000003</c:v>
                </c:pt>
                <c:pt idx="497">
                  <c:v>5.6669999999999998</c:v>
                </c:pt>
                <c:pt idx="498">
                  <c:v>5.6669999999999998</c:v>
                </c:pt>
                <c:pt idx="499">
                  <c:v>5.6669999999999998</c:v>
                </c:pt>
                <c:pt idx="500">
                  <c:v>5.6669999999999998</c:v>
                </c:pt>
                <c:pt idx="501">
                  <c:v>5.6669999999999998</c:v>
                </c:pt>
                <c:pt idx="502">
                  <c:v>5.5389999999999997</c:v>
                </c:pt>
                <c:pt idx="503">
                  <c:v>5.5389999999999997</c:v>
                </c:pt>
                <c:pt idx="504">
                  <c:v>5.5389999999999997</c:v>
                </c:pt>
                <c:pt idx="505">
                  <c:v>5.5389999999999997</c:v>
                </c:pt>
                <c:pt idx="506">
                  <c:v>5.5389999999999997</c:v>
                </c:pt>
                <c:pt idx="507">
                  <c:v>5.2770000000000001</c:v>
                </c:pt>
                <c:pt idx="508">
                  <c:v>5.2770000000000001</c:v>
                </c:pt>
                <c:pt idx="509">
                  <c:v>5.2770000000000001</c:v>
                </c:pt>
                <c:pt idx="510">
                  <c:v>5.2770000000000001</c:v>
                </c:pt>
                <c:pt idx="511">
                  <c:v>4.9539999999999997</c:v>
                </c:pt>
                <c:pt idx="512">
                  <c:v>4.9539999999999997</c:v>
                </c:pt>
                <c:pt idx="513">
                  <c:v>9.7650000000000006</c:v>
                </c:pt>
                <c:pt idx="514">
                  <c:v>9.7650000000000006</c:v>
                </c:pt>
                <c:pt idx="515">
                  <c:v>9.7650000000000006</c:v>
                </c:pt>
                <c:pt idx="516">
                  <c:v>9.7650000000000006</c:v>
                </c:pt>
                <c:pt idx="517">
                  <c:v>9.5239999999999991</c:v>
                </c:pt>
                <c:pt idx="518">
                  <c:v>9.5239999999999991</c:v>
                </c:pt>
                <c:pt idx="519">
                  <c:v>9.5239999999999991</c:v>
                </c:pt>
                <c:pt idx="520">
                  <c:v>9.5239999999999991</c:v>
                </c:pt>
                <c:pt idx="521">
                  <c:v>9.5239999999999991</c:v>
                </c:pt>
                <c:pt idx="522">
                  <c:v>9.1989999999999998</c:v>
                </c:pt>
                <c:pt idx="523">
                  <c:v>9.1989999999999998</c:v>
                </c:pt>
                <c:pt idx="524">
                  <c:v>9.1989999999999998</c:v>
                </c:pt>
                <c:pt idx="525">
                  <c:v>9.1989999999999998</c:v>
                </c:pt>
                <c:pt idx="526">
                  <c:v>9.1989999999999998</c:v>
                </c:pt>
                <c:pt idx="527">
                  <c:v>9.0030000000000001</c:v>
                </c:pt>
                <c:pt idx="528">
                  <c:v>9.0030000000000001</c:v>
                </c:pt>
                <c:pt idx="529">
                  <c:v>9.0030000000000001</c:v>
                </c:pt>
                <c:pt idx="530">
                  <c:v>9.0030000000000001</c:v>
                </c:pt>
                <c:pt idx="531">
                  <c:v>9.0030000000000001</c:v>
                </c:pt>
                <c:pt idx="532">
                  <c:v>9.0030000000000001</c:v>
                </c:pt>
                <c:pt idx="533">
                  <c:v>8.7439999999999998</c:v>
                </c:pt>
                <c:pt idx="534">
                  <c:v>8.7439999999999998</c:v>
                </c:pt>
                <c:pt idx="535">
                  <c:v>8.7439999999999998</c:v>
                </c:pt>
                <c:pt idx="536">
                  <c:v>8.7439999999999998</c:v>
                </c:pt>
                <c:pt idx="537">
                  <c:v>8.7439999999999998</c:v>
                </c:pt>
                <c:pt idx="538">
                  <c:v>8.4939999999999998</c:v>
                </c:pt>
                <c:pt idx="539">
                  <c:v>8.4939999999999998</c:v>
                </c:pt>
                <c:pt idx="540">
                  <c:v>8.4939999999999998</c:v>
                </c:pt>
                <c:pt idx="541">
                  <c:v>8.4939999999999998</c:v>
                </c:pt>
                <c:pt idx="542">
                  <c:v>8.4939999999999998</c:v>
                </c:pt>
                <c:pt idx="543">
                  <c:v>8.2569999999999997</c:v>
                </c:pt>
                <c:pt idx="544">
                  <c:v>8.2569999999999997</c:v>
                </c:pt>
                <c:pt idx="545">
                  <c:v>8.2569999999999997</c:v>
                </c:pt>
                <c:pt idx="546">
                  <c:v>8.2569999999999997</c:v>
                </c:pt>
                <c:pt idx="547">
                  <c:v>8.2569999999999997</c:v>
                </c:pt>
                <c:pt idx="548">
                  <c:v>8.2569999999999997</c:v>
                </c:pt>
                <c:pt idx="549">
                  <c:v>7.8739999999999997</c:v>
                </c:pt>
                <c:pt idx="550">
                  <c:v>7.8739999999999997</c:v>
                </c:pt>
                <c:pt idx="551">
                  <c:v>7.8739999999999997</c:v>
                </c:pt>
                <c:pt idx="552">
                  <c:v>7.8739999999999997</c:v>
                </c:pt>
                <c:pt idx="553">
                  <c:v>7.8739999999999997</c:v>
                </c:pt>
                <c:pt idx="554">
                  <c:v>7.5449999999999999</c:v>
                </c:pt>
                <c:pt idx="555">
                  <c:v>7.5449999999999999</c:v>
                </c:pt>
                <c:pt idx="556">
                  <c:v>7.5449999999999999</c:v>
                </c:pt>
                <c:pt idx="557">
                  <c:v>7.5449999999999999</c:v>
                </c:pt>
                <c:pt idx="558">
                  <c:v>7.5449999999999999</c:v>
                </c:pt>
                <c:pt idx="559">
                  <c:v>7.3819999999999997</c:v>
                </c:pt>
                <c:pt idx="560">
                  <c:v>7.3819999999999997</c:v>
                </c:pt>
                <c:pt idx="561">
                  <c:v>7.3819999999999997</c:v>
                </c:pt>
                <c:pt idx="562">
                  <c:v>7.3819999999999997</c:v>
                </c:pt>
                <c:pt idx="563">
                  <c:v>7.3819999999999997</c:v>
                </c:pt>
                <c:pt idx="564">
                  <c:v>7.17</c:v>
                </c:pt>
                <c:pt idx="565">
                  <c:v>7.17</c:v>
                </c:pt>
                <c:pt idx="566">
                  <c:v>7.17</c:v>
                </c:pt>
                <c:pt idx="567">
                  <c:v>7.17</c:v>
                </c:pt>
                <c:pt idx="568">
                  <c:v>6.9429999999999996</c:v>
                </c:pt>
                <c:pt idx="569">
                  <c:v>6.9429999999999996</c:v>
                </c:pt>
                <c:pt idx="570">
                  <c:v>7.3680000000000003</c:v>
                </c:pt>
                <c:pt idx="571">
                  <c:v>7.3680000000000003</c:v>
                </c:pt>
                <c:pt idx="572">
                  <c:v>7.3680000000000003</c:v>
                </c:pt>
                <c:pt idx="573">
                  <c:v>7.3680000000000003</c:v>
                </c:pt>
                <c:pt idx="574">
                  <c:v>7.343</c:v>
                </c:pt>
                <c:pt idx="575">
                  <c:v>7.343</c:v>
                </c:pt>
                <c:pt idx="576">
                  <c:v>7.343</c:v>
                </c:pt>
                <c:pt idx="577">
                  <c:v>7.343</c:v>
                </c:pt>
                <c:pt idx="578">
                  <c:v>7.343</c:v>
                </c:pt>
                <c:pt idx="579">
                  <c:v>7.3460000000000001</c:v>
                </c:pt>
                <c:pt idx="580">
                  <c:v>7.3460000000000001</c:v>
                </c:pt>
                <c:pt idx="581">
                  <c:v>7.3460000000000001</c:v>
                </c:pt>
                <c:pt idx="582">
                  <c:v>7.3460000000000001</c:v>
                </c:pt>
                <c:pt idx="583">
                  <c:v>7.3460000000000001</c:v>
                </c:pt>
                <c:pt idx="584">
                  <c:v>7.5640000000000001</c:v>
                </c:pt>
                <c:pt idx="585">
                  <c:v>7.5640000000000001</c:v>
                </c:pt>
                <c:pt idx="586">
                  <c:v>7.5640000000000001</c:v>
                </c:pt>
                <c:pt idx="587">
                  <c:v>7.5640000000000001</c:v>
                </c:pt>
                <c:pt idx="588">
                  <c:v>7.5640000000000001</c:v>
                </c:pt>
                <c:pt idx="589">
                  <c:v>7.5640000000000001</c:v>
                </c:pt>
                <c:pt idx="590">
                  <c:v>7.5510000000000002</c:v>
                </c:pt>
                <c:pt idx="591">
                  <c:v>7.5510000000000002</c:v>
                </c:pt>
                <c:pt idx="592">
                  <c:v>7.5510000000000002</c:v>
                </c:pt>
                <c:pt idx="593">
                  <c:v>7.5510000000000002</c:v>
                </c:pt>
                <c:pt idx="594">
                  <c:v>7.5510000000000002</c:v>
                </c:pt>
                <c:pt idx="595">
                  <c:v>7.5739999999999998</c:v>
                </c:pt>
                <c:pt idx="596">
                  <c:v>7.5739999999999998</c:v>
                </c:pt>
                <c:pt idx="597">
                  <c:v>7.5739999999999998</c:v>
                </c:pt>
                <c:pt idx="598">
                  <c:v>7.5739999999999998</c:v>
                </c:pt>
                <c:pt idx="599">
                  <c:v>7.5739999999999998</c:v>
                </c:pt>
                <c:pt idx="600">
                  <c:v>7.5670000000000002</c:v>
                </c:pt>
                <c:pt idx="601">
                  <c:v>7.5670000000000002</c:v>
                </c:pt>
                <c:pt idx="602">
                  <c:v>7.5670000000000002</c:v>
                </c:pt>
                <c:pt idx="603">
                  <c:v>7.5670000000000002</c:v>
                </c:pt>
                <c:pt idx="604">
                  <c:v>7.5670000000000002</c:v>
                </c:pt>
                <c:pt idx="605">
                  <c:v>7.5670000000000002</c:v>
                </c:pt>
                <c:pt idx="606">
                  <c:v>7.1970000000000001</c:v>
                </c:pt>
                <c:pt idx="607">
                  <c:v>7.1970000000000001</c:v>
                </c:pt>
                <c:pt idx="608">
                  <c:v>7.1970000000000001</c:v>
                </c:pt>
                <c:pt idx="609">
                  <c:v>7.1970000000000001</c:v>
                </c:pt>
                <c:pt idx="610">
                  <c:v>7.1970000000000001</c:v>
                </c:pt>
                <c:pt idx="611">
                  <c:v>6.8330000000000002</c:v>
                </c:pt>
                <c:pt idx="612">
                  <c:v>6.8330000000000002</c:v>
                </c:pt>
                <c:pt idx="613">
                  <c:v>6.8330000000000002</c:v>
                </c:pt>
                <c:pt idx="614">
                  <c:v>6.8330000000000002</c:v>
                </c:pt>
                <c:pt idx="615">
                  <c:v>6.8330000000000002</c:v>
                </c:pt>
                <c:pt idx="616">
                  <c:v>6.6639999999999997</c:v>
                </c:pt>
                <c:pt idx="617">
                  <c:v>6.6639999999999997</c:v>
                </c:pt>
                <c:pt idx="618">
                  <c:v>6.6639999999999997</c:v>
                </c:pt>
                <c:pt idx="619">
                  <c:v>6.6639999999999997</c:v>
                </c:pt>
                <c:pt idx="620">
                  <c:v>6.6639999999999997</c:v>
                </c:pt>
                <c:pt idx="621">
                  <c:v>6.3339999999999996</c:v>
                </c:pt>
                <c:pt idx="622">
                  <c:v>6.3339999999999996</c:v>
                </c:pt>
                <c:pt idx="623">
                  <c:v>6.3339999999999996</c:v>
                </c:pt>
                <c:pt idx="624">
                  <c:v>6.3339999999999996</c:v>
                </c:pt>
                <c:pt idx="625">
                  <c:v>6.0339999999999998</c:v>
                </c:pt>
                <c:pt idx="626">
                  <c:v>6.0339999999999998</c:v>
                </c:pt>
                <c:pt idx="627">
                  <c:v>13.975</c:v>
                </c:pt>
                <c:pt idx="628">
                  <c:v>13.975</c:v>
                </c:pt>
                <c:pt idx="629">
                  <c:v>13.975</c:v>
                </c:pt>
                <c:pt idx="630">
                  <c:v>13.975</c:v>
                </c:pt>
                <c:pt idx="631">
                  <c:v>14.099</c:v>
                </c:pt>
                <c:pt idx="632">
                  <c:v>14.099</c:v>
                </c:pt>
                <c:pt idx="633">
                  <c:v>14.099</c:v>
                </c:pt>
                <c:pt idx="634">
                  <c:v>14.099</c:v>
                </c:pt>
                <c:pt idx="635">
                  <c:v>14.099</c:v>
                </c:pt>
                <c:pt idx="636">
                  <c:v>14.18</c:v>
                </c:pt>
                <c:pt idx="637">
                  <c:v>14.18</c:v>
                </c:pt>
                <c:pt idx="638">
                  <c:v>14.18</c:v>
                </c:pt>
                <c:pt idx="639">
                  <c:v>14.18</c:v>
                </c:pt>
                <c:pt idx="640">
                  <c:v>14.18</c:v>
                </c:pt>
                <c:pt idx="641">
                  <c:v>14.313000000000001</c:v>
                </c:pt>
                <c:pt idx="642">
                  <c:v>14.313000000000001</c:v>
                </c:pt>
                <c:pt idx="643">
                  <c:v>14.313000000000001</c:v>
                </c:pt>
                <c:pt idx="644">
                  <c:v>14.313000000000001</c:v>
                </c:pt>
                <c:pt idx="645">
                  <c:v>14.313000000000001</c:v>
                </c:pt>
                <c:pt idx="646">
                  <c:v>14.313000000000001</c:v>
                </c:pt>
                <c:pt idx="647">
                  <c:v>14.021000000000001</c:v>
                </c:pt>
                <c:pt idx="648">
                  <c:v>14.021000000000001</c:v>
                </c:pt>
                <c:pt idx="649">
                  <c:v>14.021000000000001</c:v>
                </c:pt>
                <c:pt idx="650">
                  <c:v>14.021000000000001</c:v>
                </c:pt>
                <c:pt idx="651">
                  <c:v>14.021000000000001</c:v>
                </c:pt>
                <c:pt idx="652">
                  <c:v>13.736000000000001</c:v>
                </c:pt>
                <c:pt idx="653">
                  <c:v>13.736000000000001</c:v>
                </c:pt>
                <c:pt idx="654">
                  <c:v>13.736000000000001</c:v>
                </c:pt>
                <c:pt idx="655">
                  <c:v>13.736000000000001</c:v>
                </c:pt>
                <c:pt idx="656">
                  <c:v>13.736000000000001</c:v>
                </c:pt>
                <c:pt idx="657">
                  <c:v>13.503</c:v>
                </c:pt>
                <c:pt idx="658">
                  <c:v>13.503</c:v>
                </c:pt>
                <c:pt idx="659">
                  <c:v>13.503</c:v>
                </c:pt>
                <c:pt idx="660">
                  <c:v>13.503</c:v>
                </c:pt>
                <c:pt idx="661">
                  <c:v>13.503</c:v>
                </c:pt>
                <c:pt idx="662">
                  <c:v>13.503</c:v>
                </c:pt>
                <c:pt idx="663">
                  <c:v>12.89</c:v>
                </c:pt>
                <c:pt idx="664">
                  <c:v>12.89</c:v>
                </c:pt>
                <c:pt idx="665">
                  <c:v>12.89</c:v>
                </c:pt>
                <c:pt idx="666">
                  <c:v>12.89</c:v>
                </c:pt>
                <c:pt idx="667">
                  <c:v>12.89</c:v>
                </c:pt>
                <c:pt idx="668">
                  <c:v>12.186999999999999</c:v>
                </c:pt>
                <c:pt idx="669">
                  <c:v>12.186999999999999</c:v>
                </c:pt>
                <c:pt idx="670">
                  <c:v>12.186999999999999</c:v>
                </c:pt>
                <c:pt idx="671">
                  <c:v>12.186999999999999</c:v>
                </c:pt>
                <c:pt idx="672">
                  <c:v>12.186999999999999</c:v>
                </c:pt>
                <c:pt idx="673">
                  <c:v>11.627000000000001</c:v>
                </c:pt>
                <c:pt idx="674">
                  <c:v>11.627000000000001</c:v>
                </c:pt>
                <c:pt idx="675">
                  <c:v>11.627000000000001</c:v>
                </c:pt>
                <c:pt idx="676">
                  <c:v>11.627000000000001</c:v>
                </c:pt>
                <c:pt idx="677">
                  <c:v>11.627000000000001</c:v>
                </c:pt>
                <c:pt idx="678">
                  <c:v>10.926</c:v>
                </c:pt>
                <c:pt idx="679">
                  <c:v>10.926</c:v>
                </c:pt>
                <c:pt idx="680">
                  <c:v>10.926</c:v>
                </c:pt>
                <c:pt idx="681">
                  <c:v>10.926</c:v>
                </c:pt>
                <c:pt idx="682">
                  <c:v>10.199</c:v>
                </c:pt>
                <c:pt idx="683">
                  <c:v>10.199</c:v>
                </c:pt>
                <c:pt idx="684">
                  <c:v>8.3160000000000007</c:v>
                </c:pt>
                <c:pt idx="685">
                  <c:v>8.3160000000000007</c:v>
                </c:pt>
                <c:pt idx="686">
                  <c:v>8.3160000000000007</c:v>
                </c:pt>
                <c:pt idx="687">
                  <c:v>8.3160000000000007</c:v>
                </c:pt>
                <c:pt idx="688">
                  <c:v>8.1069999999999993</c:v>
                </c:pt>
                <c:pt idx="689">
                  <c:v>8.1069999999999993</c:v>
                </c:pt>
                <c:pt idx="690">
                  <c:v>8.1069999999999993</c:v>
                </c:pt>
                <c:pt idx="691">
                  <c:v>8.1069999999999993</c:v>
                </c:pt>
                <c:pt idx="692">
                  <c:v>8.1069999999999993</c:v>
                </c:pt>
                <c:pt idx="693">
                  <c:v>7.9509999999999996</c:v>
                </c:pt>
                <c:pt idx="694">
                  <c:v>7.9509999999999996</c:v>
                </c:pt>
                <c:pt idx="695">
                  <c:v>7.9509999999999996</c:v>
                </c:pt>
                <c:pt idx="696">
                  <c:v>7.9509999999999996</c:v>
                </c:pt>
                <c:pt idx="697">
                  <c:v>7.9509999999999996</c:v>
                </c:pt>
                <c:pt idx="698">
                  <c:v>7.7949999999999999</c:v>
                </c:pt>
                <c:pt idx="699">
                  <c:v>7.7949999999999999</c:v>
                </c:pt>
                <c:pt idx="700">
                  <c:v>7.7949999999999999</c:v>
                </c:pt>
                <c:pt idx="701">
                  <c:v>7.7949999999999999</c:v>
                </c:pt>
                <c:pt idx="702">
                  <c:v>7.7949999999999999</c:v>
                </c:pt>
                <c:pt idx="703">
                  <c:v>7.7949999999999999</c:v>
                </c:pt>
                <c:pt idx="704">
                  <c:v>7.47</c:v>
                </c:pt>
                <c:pt idx="705">
                  <c:v>7.47</c:v>
                </c:pt>
                <c:pt idx="706">
                  <c:v>7.47</c:v>
                </c:pt>
                <c:pt idx="707">
                  <c:v>7.47</c:v>
                </c:pt>
                <c:pt idx="708">
                  <c:v>7.47</c:v>
                </c:pt>
                <c:pt idx="709">
                  <c:v>7.1929999999999996</c:v>
                </c:pt>
                <c:pt idx="710">
                  <c:v>7.1929999999999996</c:v>
                </c:pt>
                <c:pt idx="711">
                  <c:v>7.1929999999999996</c:v>
                </c:pt>
                <c:pt idx="712">
                  <c:v>7.1929999999999996</c:v>
                </c:pt>
                <c:pt idx="713">
                  <c:v>7.1929999999999996</c:v>
                </c:pt>
                <c:pt idx="714">
                  <c:v>6.8769999999999998</c:v>
                </c:pt>
                <c:pt idx="715">
                  <c:v>6.8769999999999998</c:v>
                </c:pt>
                <c:pt idx="716">
                  <c:v>6.8769999999999998</c:v>
                </c:pt>
                <c:pt idx="717">
                  <c:v>6.8769999999999998</c:v>
                </c:pt>
                <c:pt idx="718">
                  <c:v>6.8769999999999998</c:v>
                </c:pt>
                <c:pt idx="719">
                  <c:v>6.8769999999999998</c:v>
                </c:pt>
                <c:pt idx="720">
                  <c:v>6.3920000000000003</c:v>
                </c:pt>
                <c:pt idx="721">
                  <c:v>6.3920000000000003</c:v>
                </c:pt>
                <c:pt idx="722">
                  <c:v>6.3920000000000003</c:v>
                </c:pt>
                <c:pt idx="723">
                  <c:v>6.3920000000000003</c:v>
                </c:pt>
                <c:pt idx="724">
                  <c:v>6.3920000000000003</c:v>
                </c:pt>
                <c:pt idx="725">
                  <c:v>6.1040000000000001</c:v>
                </c:pt>
                <c:pt idx="726">
                  <c:v>6.1040000000000001</c:v>
                </c:pt>
                <c:pt idx="727">
                  <c:v>6.1040000000000001</c:v>
                </c:pt>
                <c:pt idx="728">
                  <c:v>6.1040000000000001</c:v>
                </c:pt>
                <c:pt idx="729">
                  <c:v>6.1040000000000001</c:v>
                </c:pt>
                <c:pt idx="730">
                  <c:v>5.9649999999999999</c:v>
                </c:pt>
                <c:pt idx="731">
                  <c:v>5.9649999999999999</c:v>
                </c:pt>
                <c:pt idx="732">
                  <c:v>5.9649999999999999</c:v>
                </c:pt>
                <c:pt idx="733">
                  <c:v>5.9649999999999999</c:v>
                </c:pt>
                <c:pt idx="734">
                  <c:v>5.9649999999999999</c:v>
                </c:pt>
                <c:pt idx="735">
                  <c:v>5.7649999999999997</c:v>
                </c:pt>
                <c:pt idx="736">
                  <c:v>5.7649999999999997</c:v>
                </c:pt>
                <c:pt idx="737">
                  <c:v>5.7649999999999997</c:v>
                </c:pt>
                <c:pt idx="738">
                  <c:v>5.7649999999999997</c:v>
                </c:pt>
                <c:pt idx="739">
                  <c:v>5.6210000000000004</c:v>
                </c:pt>
                <c:pt idx="740">
                  <c:v>5.6210000000000004</c:v>
                </c:pt>
                <c:pt idx="741">
                  <c:v>8.9920000000000009</c:v>
                </c:pt>
                <c:pt idx="742">
                  <c:v>8.9920000000000009</c:v>
                </c:pt>
                <c:pt idx="743">
                  <c:v>8.9920000000000009</c:v>
                </c:pt>
                <c:pt idx="744">
                  <c:v>8.9920000000000009</c:v>
                </c:pt>
                <c:pt idx="745">
                  <c:v>8.8989999999999991</c:v>
                </c:pt>
                <c:pt idx="746">
                  <c:v>8.8989999999999991</c:v>
                </c:pt>
                <c:pt idx="747">
                  <c:v>8.8989999999999991</c:v>
                </c:pt>
                <c:pt idx="748">
                  <c:v>8.8989999999999991</c:v>
                </c:pt>
                <c:pt idx="749">
                  <c:v>8.8989999999999991</c:v>
                </c:pt>
                <c:pt idx="750">
                  <c:v>8.7430000000000003</c:v>
                </c:pt>
                <c:pt idx="751">
                  <c:v>8.7430000000000003</c:v>
                </c:pt>
                <c:pt idx="752">
                  <c:v>8.7430000000000003</c:v>
                </c:pt>
                <c:pt idx="753">
                  <c:v>8.7430000000000003</c:v>
                </c:pt>
                <c:pt idx="754">
                  <c:v>8.7430000000000003</c:v>
                </c:pt>
                <c:pt idx="755">
                  <c:v>8.7240000000000002</c:v>
                </c:pt>
                <c:pt idx="756">
                  <c:v>8.7240000000000002</c:v>
                </c:pt>
                <c:pt idx="757">
                  <c:v>8.7240000000000002</c:v>
                </c:pt>
                <c:pt idx="758">
                  <c:v>8.7240000000000002</c:v>
                </c:pt>
                <c:pt idx="759">
                  <c:v>8.7240000000000002</c:v>
                </c:pt>
                <c:pt idx="760">
                  <c:v>8.7240000000000002</c:v>
                </c:pt>
                <c:pt idx="761">
                  <c:v>8.5489999999999995</c:v>
                </c:pt>
                <c:pt idx="762">
                  <c:v>8.5489999999999995</c:v>
                </c:pt>
                <c:pt idx="763">
                  <c:v>8.5489999999999995</c:v>
                </c:pt>
                <c:pt idx="764">
                  <c:v>8.5489999999999995</c:v>
                </c:pt>
                <c:pt idx="765">
                  <c:v>8.5489999999999995</c:v>
                </c:pt>
                <c:pt idx="766">
                  <c:v>8.5210000000000008</c:v>
                </c:pt>
                <c:pt idx="767">
                  <c:v>8.5210000000000008</c:v>
                </c:pt>
                <c:pt idx="768">
                  <c:v>8.5210000000000008</c:v>
                </c:pt>
                <c:pt idx="769">
                  <c:v>8.5210000000000008</c:v>
                </c:pt>
                <c:pt idx="770">
                  <c:v>8.5210000000000008</c:v>
                </c:pt>
                <c:pt idx="771">
                  <c:v>8.625</c:v>
                </c:pt>
                <c:pt idx="772">
                  <c:v>8.625</c:v>
                </c:pt>
                <c:pt idx="773">
                  <c:v>8.625</c:v>
                </c:pt>
                <c:pt idx="774">
                  <c:v>8.625</c:v>
                </c:pt>
                <c:pt idx="775">
                  <c:v>8.625</c:v>
                </c:pt>
                <c:pt idx="776">
                  <c:v>8.625</c:v>
                </c:pt>
                <c:pt idx="777">
                  <c:v>8.5229999999999997</c:v>
                </c:pt>
                <c:pt idx="778">
                  <c:v>8.5229999999999997</c:v>
                </c:pt>
                <c:pt idx="779">
                  <c:v>8.5229999999999997</c:v>
                </c:pt>
                <c:pt idx="780">
                  <c:v>8.5229999999999997</c:v>
                </c:pt>
                <c:pt idx="781">
                  <c:v>8.5229999999999997</c:v>
                </c:pt>
                <c:pt idx="782">
                  <c:v>8.4239999999999995</c:v>
                </c:pt>
                <c:pt idx="783">
                  <c:v>8.4239999999999995</c:v>
                </c:pt>
                <c:pt idx="784">
                  <c:v>8.4239999999999995</c:v>
                </c:pt>
                <c:pt idx="785">
                  <c:v>8.4239999999999995</c:v>
                </c:pt>
                <c:pt idx="786">
                  <c:v>8.4239999999999995</c:v>
                </c:pt>
                <c:pt idx="787">
                  <c:v>8.5670000000000002</c:v>
                </c:pt>
                <c:pt idx="788">
                  <c:v>8.5670000000000002</c:v>
                </c:pt>
                <c:pt idx="789">
                  <c:v>8.5670000000000002</c:v>
                </c:pt>
                <c:pt idx="790">
                  <c:v>8.5670000000000002</c:v>
                </c:pt>
                <c:pt idx="791">
                  <c:v>8.5670000000000002</c:v>
                </c:pt>
                <c:pt idx="792">
                  <c:v>8.6839999999999993</c:v>
                </c:pt>
                <c:pt idx="793">
                  <c:v>8.6839999999999993</c:v>
                </c:pt>
                <c:pt idx="794">
                  <c:v>8.6839999999999993</c:v>
                </c:pt>
                <c:pt idx="795">
                  <c:v>8.6839999999999993</c:v>
                </c:pt>
                <c:pt idx="796">
                  <c:v>8.6669999999999998</c:v>
                </c:pt>
                <c:pt idx="797">
                  <c:v>8.6669999999999998</c:v>
                </c:pt>
                <c:pt idx="798">
                  <c:v>8.35</c:v>
                </c:pt>
                <c:pt idx="799">
                  <c:v>8.35</c:v>
                </c:pt>
                <c:pt idx="800">
                  <c:v>8.35</c:v>
                </c:pt>
                <c:pt idx="801">
                  <c:v>8.35</c:v>
                </c:pt>
                <c:pt idx="802">
                  <c:v>8.1850000000000005</c:v>
                </c:pt>
                <c:pt idx="803">
                  <c:v>8.1850000000000005</c:v>
                </c:pt>
                <c:pt idx="804">
                  <c:v>8.1850000000000005</c:v>
                </c:pt>
                <c:pt idx="805">
                  <c:v>8.1850000000000005</c:v>
                </c:pt>
                <c:pt idx="806">
                  <c:v>8.1850000000000005</c:v>
                </c:pt>
                <c:pt idx="807">
                  <c:v>8.0990000000000002</c:v>
                </c:pt>
                <c:pt idx="808">
                  <c:v>8.0990000000000002</c:v>
                </c:pt>
                <c:pt idx="809">
                  <c:v>8.0990000000000002</c:v>
                </c:pt>
                <c:pt idx="810">
                  <c:v>8.0990000000000002</c:v>
                </c:pt>
                <c:pt idx="811">
                  <c:v>8.0990000000000002</c:v>
                </c:pt>
                <c:pt idx="812">
                  <c:v>8.0670000000000002</c:v>
                </c:pt>
                <c:pt idx="813">
                  <c:v>8.0670000000000002</c:v>
                </c:pt>
                <c:pt idx="814">
                  <c:v>8.0670000000000002</c:v>
                </c:pt>
                <c:pt idx="815">
                  <c:v>8.0670000000000002</c:v>
                </c:pt>
                <c:pt idx="816">
                  <c:v>8.0670000000000002</c:v>
                </c:pt>
                <c:pt idx="817">
                  <c:v>8.0670000000000002</c:v>
                </c:pt>
                <c:pt idx="818">
                  <c:v>7.7709999999999999</c:v>
                </c:pt>
                <c:pt idx="819">
                  <c:v>7.7709999999999999</c:v>
                </c:pt>
                <c:pt idx="820">
                  <c:v>7.7709999999999999</c:v>
                </c:pt>
                <c:pt idx="821">
                  <c:v>7.7709999999999999</c:v>
                </c:pt>
                <c:pt idx="822">
                  <c:v>7.7709999999999999</c:v>
                </c:pt>
                <c:pt idx="823">
                  <c:v>7.6580000000000004</c:v>
                </c:pt>
                <c:pt idx="824">
                  <c:v>7.6580000000000004</c:v>
                </c:pt>
                <c:pt idx="825">
                  <c:v>7.6580000000000004</c:v>
                </c:pt>
                <c:pt idx="826">
                  <c:v>7.6580000000000004</c:v>
                </c:pt>
                <c:pt idx="827">
                  <c:v>7.6580000000000004</c:v>
                </c:pt>
                <c:pt idx="828">
                  <c:v>7.806</c:v>
                </c:pt>
                <c:pt idx="829">
                  <c:v>7.806</c:v>
                </c:pt>
                <c:pt idx="830">
                  <c:v>7.806</c:v>
                </c:pt>
                <c:pt idx="831">
                  <c:v>7.806</c:v>
                </c:pt>
                <c:pt idx="832">
                  <c:v>7.806</c:v>
                </c:pt>
                <c:pt idx="833">
                  <c:v>7.806</c:v>
                </c:pt>
                <c:pt idx="834">
                  <c:v>7.8659999999999997</c:v>
                </c:pt>
                <c:pt idx="835">
                  <c:v>7.8659999999999997</c:v>
                </c:pt>
                <c:pt idx="836">
                  <c:v>7.8659999999999997</c:v>
                </c:pt>
                <c:pt idx="837">
                  <c:v>7.8659999999999997</c:v>
                </c:pt>
                <c:pt idx="838">
                  <c:v>7.8659999999999997</c:v>
                </c:pt>
                <c:pt idx="839">
                  <c:v>7.9429999999999996</c:v>
                </c:pt>
                <c:pt idx="840">
                  <c:v>7.9429999999999996</c:v>
                </c:pt>
                <c:pt idx="841">
                  <c:v>7.9429999999999996</c:v>
                </c:pt>
                <c:pt idx="842">
                  <c:v>7.9429999999999996</c:v>
                </c:pt>
                <c:pt idx="843">
                  <c:v>7.9429999999999996</c:v>
                </c:pt>
                <c:pt idx="844">
                  <c:v>8.15</c:v>
                </c:pt>
                <c:pt idx="845">
                  <c:v>8.15</c:v>
                </c:pt>
                <c:pt idx="846">
                  <c:v>8.15</c:v>
                </c:pt>
                <c:pt idx="847">
                  <c:v>8.15</c:v>
                </c:pt>
                <c:pt idx="848">
                  <c:v>8.15</c:v>
                </c:pt>
                <c:pt idx="849">
                  <c:v>8.1929999999999996</c:v>
                </c:pt>
                <c:pt idx="850">
                  <c:v>8.1929999999999996</c:v>
                </c:pt>
                <c:pt idx="851">
                  <c:v>8.1929999999999996</c:v>
                </c:pt>
                <c:pt idx="852">
                  <c:v>8.1929999999999996</c:v>
                </c:pt>
                <c:pt idx="853">
                  <c:v>7.992</c:v>
                </c:pt>
                <c:pt idx="854">
                  <c:v>7.992</c:v>
                </c:pt>
                <c:pt idx="855">
                  <c:v>7.0389999999999997</c:v>
                </c:pt>
                <c:pt idx="856">
                  <c:v>7.0389999999999997</c:v>
                </c:pt>
                <c:pt idx="857">
                  <c:v>7.0389999999999997</c:v>
                </c:pt>
                <c:pt idx="858">
                  <c:v>7.0389999999999997</c:v>
                </c:pt>
                <c:pt idx="859">
                  <c:v>6.8419999999999996</c:v>
                </c:pt>
                <c:pt idx="860">
                  <c:v>6.8419999999999996</c:v>
                </c:pt>
                <c:pt idx="861">
                  <c:v>6.8419999999999996</c:v>
                </c:pt>
                <c:pt idx="862">
                  <c:v>6.8419999999999996</c:v>
                </c:pt>
                <c:pt idx="863">
                  <c:v>6.8419999999999996</c:v>
                </c:pt>
                <c:pt idx="864">
                  <c:v>6.8680000000000003</c:v>
                </c:pt>
                <c:pt idx="865">
                  <c:v>6.8680000000000003</c:v>
                </c:pt>
                <c:pt idx="866">
                  <c:v>6.8680000000000003</c:v>
                </c:pt>
                <c:pt idx="867">
                  <c:v>6.8680000000000003</c:v>
                </c:pt>
                <c:pt idx="868">
                  <c:v>6.8680000000000003</c:v>
                </c:pt>
                <c:pt idx="869">
                  <c:v>6.9859999999999998</c:v>
                </c:pt>
                <c:pt idx="870">
                  <c:v>6.9859999999999998</c:v>
                </c:pt>
                <c:pt idx="871">
                  <c:v>6.9859999999999998</c:v>
                </c:pt>
                <c:pt idx="872">
                  <c:v>6.9859999999999998</c:v>
                </c:pt>
                <c:pt idx="873">
                  <c:v>6.9859999999999998</c:v>
                </c:pt>
                <c:pt idx="874">
                  <c:v>6.9859999999999998</c:v>
                </c:pt>
                <c:pt idx="875">
                  <c:v>6.6139999999999999</c:v>
                </c:pt>
                <c:pt idx="876">
                  <c:v>6.6139999999999999</c:v>
                </c:pt>
                <c:pt idx="877">
                  <c:v>6.6139999999999999</c:v>
                </c:pt>
                <c:pt idx="878">
                  <c:v>6.6139999999999999</c:v>
                </c:pt>
                <c:pt idx="879">
                  <c:v>6.6139999999999999</c:v>
                </c:pt>
                <c:pt idx="880">
                  <c:v>6.3390000000000004</c:v>
                </c:pt>
                <c:pt idx="881">
                  <c:v>6.3390000000000004</c:v>
                </c:pt>
                <c:pt idx="882">
                  <c:v>6.3390000000000004</c:v>
                </c:pt>
                <c:pt idx="883">
                  <c:v>6.3390000000000004</c:v>
                </c:pt>
                <c:pt idx="884">
                  <c:v>6.3390000000000004</c:v>
                </c:pt>
                <c:pt idx="885">
                  <c:v>6.3380000000000001</c:v>
                </c:pt>
                <c:pt idx="886">
                  <c:v>6.3380000000000001</c:v>
                </c:pt>
                <c:pt idx="887">
                  <c:v>6.3380000000000001</c:v>
                </c:pt>
                <c:pt idx="888">
                  <c:v>6.3380000000000001</c:v>
                </c:pt>
                <c:pt idx="889">
                  <c:v>6.3380000000000001</c:v>
                </c:pt>
                <c:pt idx="890">
                  <c:v>6.3380000000000001</c:v>
                </c:pt>
                <c:pt idx="891">
                  <c:v>6.2320000000000002</c:v>
                </c:pt>
                <c:pt idx="892">
                  <c:v>6.2320000000000002</c:v>
                </c:pt>
                <c:pt idx="893">
                  <c:v>6.2320000000000002</c:v>
                </c:pt>
                <c:pt idx="894">
                  <c:v>6.2320000000000002</c:v>
                </c:pt>
                <c:pt idx="895">
                  <c:v>6.2320000000000002</c:v>
                </c:pt>
                <c:pt idx="896">
                  <c:v>6.1619999999999999</c:v>
                </c:pt>
                <c:pt idx="897">
                  <c:v>6.1619999999999999</c:v>
                </c:pt>
                <c:pt idx="898">
                  <c:v>6.1619999999999999</c:v>
                </c:pt>
                <c:pt idx="899">
                  <c:v>6.1619999999999999</c:v>
                </c:pt>
                <c:pt idx="900">
                  <c:v>6.1619999999999999</c:v>
                </c:pt>
                <c:pt idx="901">
                  <c:v>6.1689999999999996</c:v>
                </c:pt>
                <c:pt idx="902">
                  <c:v>6.1689999999999996</c:v>
                </c:pt>
                <c:pt idx="903">
                  <c:v>6.1689999999999996</c:v>
                </c:pt>
                <c:pt idx="904">
                  <c:v>6.1689999999999996</c:v>
                </c:pt>
                <c:pt idx="905">
                  <c:v>6.1689999999999996</c:v>
                </c:pt>
                <c:pt idx="906">
                  <c:v>6.0609999999999999</c:v>
                </c:pt>
                <c:pt idx="907">
                  <c:v>6.0609999999999999</c:v>
                </c:pt>
                <c:pt idx="908">
                  <c:v>6.0609999999999999</c:v>
                </c:pt>
                <c:pt idx="909">
                  <c:v>6.0609999999999999</c:v>
                </c:pt>
                <c:pt idx="910">
                  <c:v>5.8470000000000004</c:v>
                </c:pt>
                <c:pt idx="911">
                  <c:v>5.8470000000000004</c:v>
                </c:pt>
                <c:pt idx="912">
                  <c:v>6.548</c:v>
                </c:pt>
                <c:pt idx="913">
                  <c:v>6.548</c:v>
                </c:pt>
                <c:pt idx="914">
                  <c:v>6.548</c:v>
                </c:pt>
                <c:pt idx="915">
                  <c:v>6.548</c:v>
                </c:pt>
                <c:pt idx="916">
                  <c:v>6.6349999999999998</c:v>
                </c:pt>
                <c:pt idx="917">
                  <c:v>6.6349999999999998</c:v>
                </c:pt>
                <c:pt idx="918">
                  <c:v>6.6349999999999998</c:v>
                </c:pt>
                <c:pt idx="919">
                  <c:v>6.6349999999999998</c:v>
                </c:pt>
                <c:pt idx="920">
                  <c:v>6.6349999999999998</c:v>
                </c:pt>
                <c:pt idx="921">
                  <c:v>6.6970000000000001</c:v>
                </c:pt>
                <c:pt idx="922">
                  <c:v>6.6970000000000001</c:v>
                </c:pt>
                <c:pt idx="923">
                  <c:v>6.6970000000000001</c:v>
                </c:pt>
                <c:pt idx="924">
                  <c:v>6.6970000000000001</c:v>
                </c:pt>
                <c:pt idx="925">
                  <c:v>6.6970000000000001</c:v>
                </c:pt>
                <c:pt idx="926">
                  <c:v>6.8849999999999998</c:v>
                </c:pt>
                <c:pt idx="927">
                  <c:v>6.8849999999999998</c:v>
                </c:pt>
                <c:pt idx="928">
                  <c:v>6.8849999999999998</c:v>
                </c:pt>
                <c:pt idx="929">
                  <c:v>6.8849999999999998</c:v>
                </c:pt>
                <c:pt idx="930">
                  <c:v>6.8849999999999998</c:v>
                </c:pt>
                <c:pt idx="931">
                  <c:v>6.8849999999999998</c:v>
                </c:pt>
                <c:pt idx="932">
                  <c:v>6.8659999999999997</c:v>
                </c:pt>
                <c:pt idx="933">
                  <c:v>6.8659999999999997</c:v>
                </c:pt>
                <c:pt idx="934">
                  <c:v>6.8659999999999997</c:v>
                </c:pt>
                <c:pt idx="935">
                  <c:v>6.8659999999999997</c:v>
                </c:pt>
                <c:pt idx="936">
                  <c:v>6.8659999999999997</c:v>
                </c:pt>
                <c:pt idx="937">
                  <c:v>6.774</c:v>
                </c:pt>
                <c:pt idx="938">
                  <c:v>6.774</c:v>
                </c:pt>
                <c:pt idx="939">
                  <c:v>6.774</c:v>
                </c:pt>
                <c:pt idx="940">
                  <c:v>6.774</c:v>
                </c:pt>
                <c:pt idx="941">
                  <c:v>6.774</c:v>
                </c:pt>
                <c:pt idx="942">
                  <c:v>6.7450000000000001</c:v>
                </c:pt>
                <c:pt idx="943">
                  <c:v>6.7450000000000001</c:v>
                </c:pt>
                <c:pt idx="944">
                  <c:v>6.7450000000000001</c:v>
                </c:pt>
                <c:pt idx="945">
                  <c:v>6.7450000000000001</c:v>
                </c:pt>
                <c:pt idx="946">
                  <c:v>6.7450000000000001</c:v>
                </c:pt>
                <c:pt idx="947">
                  <c:v>6.7450000000000001</c:v>
                </c:pt>
                <c:pt idx="948">
                  <c:v>6.617</c:v>
                </c:pt>
                <c:pt idx="949">
                  <c:v>6.617</c:v>
                </c:pt>
                <c:pt idx="950">
                  <c:v>6.617</c:v>
                </c:pt>
                <c:pt idx="951">
                  <c:v>6.617</c:v>
                </c:pt>
                <c:pt idx="952">
                  <c:v>6.617</c:v>
                </c:pt>
                <c:pt idx="953">
                  <c:v>6.4029999999999996</c:v>
                </c:pt>
                <c:pt idx="954">
                  <c:v>6.4029999999999996</c:v>
                </c:pt>
                <c:pt idx="955">
                  <c:v>6.4029999999999996</c:v>
                </c:pt>
                <c:pt idx="956">
                  <c:v>6.4029999999999996</c:v>
                </c:pt>
                <c:pt idx="957">
                  <c:v>6.4029999999999996</c:v>
                </c:pt>
                <c:pt idx="958">
                  <c:v>6.2350000000000003</c:v>
                </c:pt>
                <c:pt idx="959">
                  <c:v>6.2350000000000003</c:v>
                </c:pt>
                <c:pt idx="960">
                  <c:v>6.2350000000000003</c:v>
                </c:pt>
                <c:pt idx="961">
                  <c:v>6.2350000000000003</c:v>
                </c:pt>
                <c:pt idx="962">
                  <c:v>6.2350000000000003</c:v>
                </c:pt>
                <c:pt idx="963">
                  <c:v>5.9359999999999999</c:v>
                </c:pt>
                <c:pt idx="964">
                  <c:v>5.9359999999999999</c:v>
                </c:pt>
                <c:pt idx="965">
                  <c:v>5.9359999999999999</c:v>
                </c:pt>
                <c:pt idx="966">
                  <c:v>5.9359999999999999</c:v>
                </c:pt>
                <c:pt idx="967">
                  <c:v>5.5270000000000001</c:v>
                </c:pt>
                <c:pt idx="968">
                  <c:v>5.5270000000000001</c:v>
                </c:pt>
                <c:pt idx="969">
                  <c:v>9.202</c:v>
                </c:pt>
                <c:pt idx="970">
                  <c:v>9.202</c:v>
                </c:pt>
                <c:pt idx="971">
                  <c:v>9.202</c:v>
                </c:pt>
                <c:pt idx="972">
                  <c:v>9.202</c:v>
                </c:pt>
                <c:pt idx="973">
                  <c:v>9.2690000000000001</c:v>
                </c:pt>
                <c:pt idx="974">
                  <c:v>9.2690000000000001</c:v>
                </c:pt>
                <c:pt idx="975">
                  <c:v>9.2690000000000001</c:v>
                </c:pt>
                <c:pt idx="976">
                  <c:v>9.2690000000000001</c:v>
                </c:pt>
                <c:pt idx="977">
                  <c:v>9.2690000000000001</c:v>
                </c:pt>
                <c:pt idx="978">
                  <c:v>9.3420000000000005</c:v>
                </c:pt>
                <c:pt idx="979">
                  <c:v>9.3420000000000005</c:v>
                </c:pt>
                <c:pt idx="980">
                  <c:v>9.3420000000000005</c:v>
                </c:pt>
                <c:pt idx="981">
                  <c:v>9.3420000000000005</c:v>
                </c:pt>
                <c:pt idx="982">
                  <c:v>9.3420000000000005</c:v>
                </c:pt>
                <c:pt idx="983">
                  <c:v>9.3309999999999995</c:v>
                </c:pt>
                <c:pt idx="984">
                  <c:v>9.3309999999999995</c:v>
                </c:pt>
                <c:pt idx="985">
                  <c:v>9.3309999999999995</c:v>
                </c:pt>
                <c:pt idx="986">
                  <c:v>9.3309999999999995</c:v>
                </c:pt>
                <c:pt idx="987">
                  <c:v>9.3309999999999995</c:v>
                </c:pt>
                <c:pt idx="988">
                  <c:v>9.3309999999999995</c:v>
                </c:pt>
                <c:pt idx="989">
                  <c:v>9.1310000000000002</c:v>
                </c:pt>
                <c:pt idx="990">
                  <c:v>9.1310000000000002</c:v>
                </c:pt>
                <c:pt idx="991">
                  <c:v>9.1310000000000002</c:v>
                </c:pt>
                <c:pt idx="992">
                  <c:v>9.1310000000000002</c:v>
                </c:pt>
                <c:pt idx="993">
                  <c:v>9.1310000000000002</c:v>
                </c:pt>
                <c:pt idx="994">
                  <c:v>8.9749999999999996</c:v>
                </c:pt>
                <c:pt idx="995">
                  <c:v>8.9749999999999996</c:v>
                </c:pt>
                <c:pt idx="996">
                  <c:v>8.9749999999999996</c:v>
                </c:pt>
                <c:pt idx="997">
                  <c:v>8.9749999999999996</c:v>
                </c:pt>
                <c:pt idx="998">
                  <c:v>8.9749999999999996</c:v>
                </c:pt>
                <c:pt idx="999">
                  <c:v>8.89</c:v>
                </c:pt>
                <c:pt idx="1000">
                  <c:v>8.89</c:v>
                </c:pt>
                <c:pt idx="1001">
                  <c:v>8.89</c:v>
                </c:pt>
                <c:pt idx="1002">
                  <c:v>8.89</c:v>
                </c:pt>
                <c:pt idx="1003">
                  <c:v>8.89</c:v>
                </c:pt>
                <c:pt idx="1004">
                  <c:v>8.89</c:v>
                </c:pt>
                <c:pt idx="1005">
                  <c:v>8.4710000000000001</c:v>
                </c:pt>
                <c:pt idx="1006">
                  <c:v>8.4710000000000001</c:v>
                </c:pt>
                <c:pt idx="1007">
                  <c:v>8.4710000000000001</c:v>
                </c:pt>
                <c:pt idx="1008">
                  <c:v>8.4710000000000001</c:v>
                </c:pt>
                <c:pt idx="1009">
                  <c:v>8.4710000000000001</c:v>
                </c:pt>
                <c:pt idx="1010">
                  <c:v>8.0749999999999993</c:v>
                </c:pt>
                <c:pt idx="1011">
                  <c:v>8.0749999999999993</c:v>
                </c:pt>
                <c:pt idx="1012">
                  <c:v>8.0749999999999993</c:v>
                </c:pt>
                <c:pt idx="1013">
                  <c:v>8.0749999999999993</c:v>
                </c:pt>
                <c:pt idx="1014">
                  <c:v>8.0749999999999993</c:v>
                </c:pt>
                <c:pt idx="1015">
                  <c:v>8.3040000000000003</c:v>
                </c:pt>
                <c:pt idx="1016">
                  <c:v>8.3040000000000003</c:v>
                </c:pt>
                <c:pt idx="1017">
                  <c:v>8.3040000000000003</c:v>
                </c:pt>
                <c:pt idx="1018">
                  <c:v>8.3040000000000003</c:v>
                </c:pt>
                <c:pt idx="1019">
                  <c:v>8.3040000000000003</c:v>
                </c:pt>
                <c:pt idx="1020">
                  <c:v>8.5350000000000001</c:v>
                </c:pt>
                <c:pt idx="1021">
                  <c:v>8.5350000000000001</c:v>
                </c:pt>
                <c:pt idx="1022">
                  <c:v>8.5350000000000001</c:v>
                </c:pt>
                <c:pt idx="1023">
                  <c:v>8.5350000000000001</c:v>
                </c:pt>
                <c:pt idx="1024">
                  <c:v>8.2430000000000003</c:v>
                </c:pt>
                <c:pt idx="1025">
                  <c:v>8.2430000000000003</c:v>
                </c:pt>
                <c:pt idx="1026">
                  <c:v>8.35</c:v>
                </c:pt>
                <c:pt idx="1027">
                  <c:v>8.35</c:v>
                </c:pt>
                <c:pt idx="1028">
                  <c:v>8.35</c:v>
                </c:pt>
                <c:pt idx="1029">
                  <c:v>8.35</c:v>
                </c:pt>
                <c:pt idx="1030">
                  <c:v>8.1850000000000005</c:v>
                </c:pt>
                <c:pt idx="1031">
                  <c:v>8.1850000000000005</c:v>
                </c:pt>
                <c:pt idx="1032">
                  <c:v>8.1850000000000005</c:v>
                </c:pt>
                <c:pt idx="1033">
                  <c:v>8.1850000000000005</c:v>
                </c:pt>
                <c:pt idx="1034">
                  <c:v>8.1850000000000005</c:v>
                </c:pt>
                <c:pt idx="1035">
                  <c:v>8.0990000000000002</c:v>
                </c:pt>
                <c:pt idx="1036">
                  <c:v>8.0990000000000002</c:v>
                </c:pt>
                <c:pt idx="1037">
                  <c:v>8.0990000000000002</c:v>
                </c:pt>
                <c:pt idx="1038">
                  <c:v>8.0990000000000002</c:v>
                </c:pt>
                <c:pt idx="1039">
                  <c:v>8.0990000000000002</c:v>
                </c:pt>
                <c:pt idx="1040">
                  <c:v>8.0670000000000002</c:v>
                </c:pt>
                <c:pt idx="1041">
                  <c:v>8.0670000000000002</c:v>
                </c:pt>
                <c:pt idx="1042">
                  <c:v>8.0670000000000002</c:v>
                </c:pt>
                <c:pt idx="1043">
                  <c:v>8.0670000000000002</c:v>
                </c:pt>
                <c:pt idx="1044">
                  <c:v>8.0670000000000002</c:v>
                </c:pt>
                <c:pt idx="1045">
                  <c:v>8.0670000000000002</c:v>
                </c:pt>
                <c:pt idx="1046">
                  <c:v>7.7709999999999999</c:v>
                </c:pt>
                <c:pt idx="1047">
                  <c:v>7.7709999999999999</c:v>
                </c:pt>
                <c:pt idx="1048">
                  <c:v>7.7709999999999999</c:v>
                </c:pt>
                <c:pt idx="1049">
                  <c:v>7.7709999999999999</c:v>
                </c:pt>
                <c:pt idx="1050">
                  <c:v>7.7709999999999999</c:v>
                </c:pt>
                <c:pt idx="1051">
                  <c:v>7.6580000000000004</c:v>
                </c:pt>
                <c:pt idx="1052">
                  <c:v>7.6580000000000004</c:v>
                </c:pt>
                <c:pt idx="1053">
                  <c:v>7.6580000000000004</c:v>
                </c:pt>
                <c:pt idx="1054">
                  <c:v>7.6580000000000004</c:v>
                </c:pt>
                <c:pt idx="1055">
                  <c:v>7.6580000000000004</c:v>
                </c:pt>
                <c:pt idx="1056">
                  <c:v>7.806</c:v>
                </c:pt>
                <c:pt idx="1057">
                  <c:v>7.806</c:v>
                </c:pt>
                <c:pt idx="1058">
                  <c:v>7.806</c:v>
                </c:pt>
                <c:pt idx="1059">
                  <c:v>7.806</c:v>
                </c:pt>
                <c:pt idx="1060">
                  <c:v>7.806</c:v>
                </c:pt>
                <c:pt idx="1061">
                  <c:v>7.806</c:v>
                </c:pt>
                <c:pt idx="1062">
                  <c:v>7.8659999999999997</c:v>
                </c:pt>
                <c:pt idx="1063">
                  <c:v>7.8659999999999997</c:v>
                </c:pt>
                <c:pt idx="1064">
                  <c:v>7.8659999999999997</c:v>
                </c:pt>
                <c:pt idx="1065">
                  <c:v>7.8659999999999997</c:v>
                </c:pt>
                <c:pt idx="1066">
                  <c:v>7.8659999999999997</c:v>
                </c:pt>
                <c:pt idx="1067">
                  <c:v>7.9429999999999996</c:v>
                </c:pt>
                <c:pt idx="1068">
                  <c:v>7.9429999999999996</c:v>
                </c:pt>
                <c:pt idx="1069">
                  <c:v>7.9429999999999996</c:v>
                </c:pt>
                <c:pt idx="1070">
                  <c:v>7.9429999999999996</c:v>
                </c:pt>
                <c:pt idx="1071">
                  <c:v>7.9429999999999996</c:v>
                </c:pt>
                <c:pt idx="1072">
                  <c:v>8.15</c:v>
                </c:pt>
                <c:pt idx="1073">
                  <c:v>8.15</c:v>
                </c:pt>
                <c:pt idx="1074">
                  <c:v>8.15</c:v>
                </c:pt>
                <c:pt idx="1075">
                  <c:v>8.15</c:v>
                </c:pt>
                <c:pt idx="1076">
                  <c:v>8.15</c:v>
                </c:pt>
                <c:pt idx="1077">
                  <c:v>8.1929999999999996</c:v>
                </c:pt>
                <c:pt idx="1078">
                  <c:v>8.1929999999999996</c:v>
                </c:pt>
                <c:pt idx="1079">
                  <c:v>8.1929999999999996</c:v>
                </c:pt>
                <c:pt idx="1080">
                  <c:v>8.1929999999999996</c:v>
                </c:pt>
                <c:pt idx="1081">
                  <c:v>7.992</c:v>
                </c:pt>
                <c:pt idx="1082">
                  <c:v>7.992</c:v>
                </c:pt>
                <c:pt idx="1083">
                  <c:v>8.1869999999999994</c:v>
                </c:pt>
                <c:pt idx="1084">
                  <c:v>8.1869999999999994</c:v>
                </c:pt>
                <c:pt idx="1085">
                  <c:v>8.1869999999999994</c:v>
                </c:pt>
                <c:pt idx="1086">
                  <c:v>8.1869999999999994</c:v>
                </c:pt>
                <c:pt idx="1087">
                  <c:v>7.8559999999999999</c:v>
                </c:pt>
                <c:pt idx="1088">
                  <c:v>7.8559999999999999</c:v>
                </c:pt>
                <c:pt idx="1089">
                  <c:v>7.8559999999999999</c:v>
                </c:pt>
                <c:pt idx="1090">
                  <c:v>7.8559999999999999</c:v>
                </c:pt>
                <c:pt idx="1091">
                  <c:v>7.8559999999999999</c:v>
                </c:pt>
                <c:pt idx="1092">
                  <c:v>7.5270000000000001</c:v>
                </c:pt>
                <c:pt idx="1093">
                  <c:v>7.5270000000000001</c:v>
                </c:pt>
                <c:pt idx="1094">
                  <c:v>7.5270000000000001</c:v>
                </c:pt>
                <c:pt idx="1095">
                  <c:v>7.5270000000000001</c:v>
                </c:pt>
                <c:pt idx="1096">
                  <c:v>7.5270000000000001</c:v>
                </c:pt>
                <c:pt idx="1097">
                  <c:v>7.484</c:v>
                </c:pt>
                <c:pt idx="1098">
                  <c:v>7.484</c:v>
                </c:pt>
                <c:pt idx="1099">
                  <c:v>7.484</c:v>
                </c:pt>
                <c:pt idx="1100">
                  <c:v>7.484</c:v>
                </c:pt>
                <c:pt idx="1101">
                  <c:v>7.484</c:v>
                </c:pt>
                <c:pt idx="1102">
                  <c:v>7.484</c:v>
                </c:pt>
                <c:pt idx="1103">
                  <c:v>7.343</c:v>
                </c:pt>
                <c:pt idx="1104">
                  <c:v>7.343</c:v>
                </c:pt>
                <c:pt idx="1105">
                  <c:v>7.343</c:v>
                </c:pt>
                <c:pt idx="1106">
                  <c:v>7.343</c:v>
                </c:pt>
                <c:pt idx="1107">
                  <c:v>7.343</c:v>
                </c:pt>
                <c:pt idx="1108">
                  <c:v>7.2869999999999999</c:v>
                </c:pt>
                <c:pt idx="1109">
                  <c:v>7.2869999999999999</c:v>
                </c:pt>
                <c:pt idx="1110">
                  <c:v>7.2869999999999999</c:v>
                </c:pt>
                <c:pt idx="1111">
                  <c:v>7.2869999999999999</c:v>
                </c:pt>
                <c:pt idx="1112">
                  <c:v>7.2869999999999999</c:v>
                </c:pt>
                <c:pt idx="1113">
                  <c:v>7.274</c:v>
                </c:pt>
                <c:pt idx="1114">
                  <c:v>7.274</c:v>
                </c:pt>
                <c:pt idx="1115">
                  <c:v>7.274</c:v>
                </c:pt>
                <c:pt idx="1116">
                  <c:v>7.274</c:v>
                </c:pt>
                <c:pt idx="1117">
                  <c:v>7.274</c:v>
                </c:pt>
                <c:pt idx="1118">
                  <c:v>7.274</c:v>
                </c:pt>
                <c:pt idx="1119">
                  <c:v>7.0819999999999999</c:v>
                </c:pt>
                <c:pt idx="1120">
                  <c:v>7.0819999999999999</c:v>
                </c:pt>
                <c:pt idx="1121">
                  <c:v>7.0819999999999999</c:v>
                </c:pt>
                <c:pt idx="1122">
                  <c:v>7.0819999999999999</c:v>
                </c:pt>
                <c:pt idx="1123">
                  <c:v>7.0819999999999999</c:v>
                </c:pt>
                <c:pt idx="1124">
                  <c:v>6.9610000000000003</c:v>
                </c:pt>
                <c:pt idx="1125">
                  <c:v>6.9610000000000003</c:v>
                </c:pt>
                <c:pt idx="1126">
                  <c:v>6.9610000000000003</c:v>
                </c:pt>
                <c:pt idx="1127">
                  <c:v>6.9610000000000003</c:v>
                </c:pt>
                <c:pt idx="1128">
                  <c:v>6.9610000000000003</c:v>
                </c:pt>
                <c:pt idx="1129">
                  <c:v>7.1390000000000002</c:v>
                </c:pt>
                <c:pt idx="1130">
                  <c:v>7.1390000000000002</c:v>
                </c:pt>
                <c:pt idx="1131">
                  <c:v>7.1390000000000002</c:v>
                </c:pt>
                <c:pt idx="1132">
                  <c:v>7.1390000000000002</c:v>
                </c:pt>
                <c:pt idx="1133">
                  <c:v>7.1390000000000002</c:v>
                </c:pt>
                <c:pt idx="1134">
                  <c:v>7.28</c:v>
                </c:pt>
                <c:pt idx="1135">
                  <c:v>7.28</c:v>
                </c:pt>
                <c:pt idx="1136">
                  <c:v>7.28</c:v>
                </c:pt>
                <c:pt idx="1137">
                  <c:v>7.28</c:v>
                </c:pt>
                <c:pt idx="1138">
                  <c:v>7.2930000000000001</c:v>
                </c:pt>
                <c:pt idx="1139">
                  <c:v>7.2930000000000001</c:v>
                </c:pt>
                <c:pt idx="1140">
                  <c:v>8.3239999999999998</c:v>
                </c:pt>
                <c:pt idx="1141">
                  <c:v>8.3239999999999998</c:v>
                </c:pt>
                <c:pt idx="1142">
                  <c:v>8.3239999999999998</c:v>
                </c:pt>
                <c:pt idx="1143">
                  <c:v>8.3239999999999998</c:v>
                </c:pt>
                <c:pt idx="1144">
                  <c:v>8.1999999999999993</c:v>
                </c:pt>
                <c:pt idx="1145">
                  <c:v>8.1999999999999993</c:v>
                </c:pt>
                <c:pt idx="1146">
                  <c:v>8.1999999999999993</c:v>
                </c:pt>
                <c:pt idx="1147">
                  <c:v>8.1999999999999993</c:v>
                </c:pt>
                <c:pt idx="1148">
                  <c:v>8.1999999999999993</c:v>
                </c:pt>
                <c:pt idx="1149">
                  <c:v>8.0990000000000002</c:v>
                </c:pt>
                <c:pt idx="1150">
                  <c:v>8.0990000000000002</c:v>
                </c:pt>
                <c:pt idx="1151">
                  <c:v>8.0990000000000002</c:v>
                </c:pt>
                <c:pt idx="1152">
                  <c:v>8.0990000000000002</c:v>
                </c:pt>
                <c:pt idx="1153">
                  <c:v>8.0990000000000002</c:v>
                </c:pt>
                <c:pt idx="1154">
                  <c:v>8.1630000000000003</c:v>
                </c:pt>
                <c:pt idx="1155">
                  <c:v>8.1630000000000003</c:v>
                </c:pt>
                <c:pt idx="1156">
                  <c:v>8.1630000000000003</c:v>
                </c:pt>
                <c:pt idx="1157">
                  <c:v>8.1630000000000003</c:v>
                </c:pt>
                <c:pt idx="1158">
                  <c:v>8.1630000000000003</c:v>
                </c:pt>
                <c:pt idx="1159">
                  <c:v>8.1630000000000003</c:v>
                </c:pt>
                <c:pt idx="1160">
                  <c:v>8.0280000000000005</c:v>
                </c:pt>
                <c:pt idx="1161">
                  <c:v>8.0280000000000005</c:v>
                </c:pt>
                <c:pt idx="1162">
                  <c:v>8.0280000000000005</c:v>
                </c:pt>
                <c:pt idx="1163">
                  <c:v>8.0280000000000005</c:v>
                </c:pt>
                <c:pt idx="1164">
                  <c:v>8.0280000000000005</c:v>
                </c:pt>
                <c:pt idx="1165">
                  <c:v>7.931</c:v>
                </c:pt>
                <c:pt idx="1166">
                  <c:v>7.931</c:v>
                </c:pt>
                <c:pt idx="1167">
                  <c:v>7.931</c:v>
                </c:pt>
                <c:pt idx="1168">
                  <c:v>7.931</c:v>
                </c:pt>
                <c:pt idx="1169">
                  <c:v>7.931</c:v>
                </c:pt>
                <c:pt idx="1170">
                  <c:v>7.8520000000000003</c:v>
                </c:pt>
                <c:pt idx="1171">
                  <c:v>7.8520000000000003</c:v>
                </c:pt>
                <c:pt idx="1172">
                  <c:v>7.8520000000000003</c:v>
                </c:pt>
                <c:pt idx="1173">
                  <c:v>7.8520000000000003</c:v>
                </c:pt>
                <c:pt idx="1174">
                  <c:v>7.8520000000000003</c:v>
                </c:pt>
                <c:pt idx="1175">
                  <c:v>7.8520000000000003</c:v>
                </c:pt>
                <c:pt idx="1176">
                  <c:v>7.4409999999999998</c:v>
                </c:pt>
                <c:pt idx="1177">
                  <c:v>7.4409999999999998</c:v>
                </c:pt>
                <c:pt idx="1178">
                  <c:v>7.4409999999999998</c:v>
                </c:pt>
                <c:pt idx="1179">
                  <c:v>7.4409999999999998</c:v>
                </c:pt>
                <c:pt idx="1180">
                  <c:v>7.4409999999999998</c:v>
                </c:pt>
                <c:pt idx="1181">
                  <c:v>7.0570000000000004</c:v>
                </c:pt>
                <c:pt idx="1182">
                  <c:v>7.0570000000000004</c:v>
                </c:pt>
                <c:pt idx="1183">
                  <c:v>7.0570000000000004</c:v>
                </c:pt>
                <c:pt idx="1184">
                  <c:v>7.0570000000000004</c:v>
                </c:pt>
                <c:pt idx="1185">
                  <c:v>7.0570000000000004</c:v>
                </c:pt>
                <c:pt idx="1186">
                  <c:v>6.891</c:v>
                </c:pt>
                <c:pt idx="1187">
                  <c:v>6.891</c:v>
                </c:pt>
                <c:pt idx="1188">
                  <c:v>6.891</c:v>
                </c:pt>
                <c:pt idx="1189">
                  <c:v>6.891</c:v>
                </c:pt>
                <c:pt idx="1190">
                  <c:v>6.891</c:v>
                </c:pt>
                <c:pt idx="1191">
                  <c:v>6.5650000000000004</c:v>
                </c:pt>
                <c:pt idx="1192">
                  <c:v>6.5650000000000004</c:v>
                </c:pt>
                <c:pt idx="1193">
                  <c:v>6.5650000000000004</c:v>
                </c:pt>
                <c:pt idx="1194">
                  <c:v>6.5650000000000004</c:v>
                </c:pt>
                <c:pt idx="1195">
                  <c:v>6.17</c:v>
                </c:pt>
                <c:pt idx="1196">
                  <c:v>6.17</c:v>
                </c:pt>
                <c:pt idx="1197">
                  <c:v>8.2829999999999995</c:v>
                </c:pt>
                <c:pt idx="1198">
                  <c:v>8.2829999999999995</c:v>
                </c:pt>
                <c:pt idx="1199">
                  <c:v>8.2829999999999995</c:v>
                </c:pt>
                <c:pt idx="1200">
                  <c:v>8.2829999999999995</c:v>
                </c:pt>
                <c:pt idx="1201">
                  <c:v>8.3480000000000008</c:v>
                </c:pt>
                <c:pt idx="1202">
                  <c:v>8.3480000000000008</c:v>
                </c:pt>
                <c:pt idx="1203">
                  <c:v>8.3480000000000008</c:v>
                </c:pt>
                <c:pt idx="1204">
                  <c:v>8.3480000000000008</c:v>
                </c:pt>
                <c:pt idx="1205">
                  <c:v>8.3480000000000008</c:v>
                </c:pt>
                <c:pt idx="1206">
                  <c:v>8.4329999999999998</c:v>
                </c:pt>
                <c:pt idx="1207">
                  <c:v>8.4329999999999998</c:v>
                </c:pt>
                <c:pt idx="1208">
                  <c:v>8.4329999999999998</c:v>
                </c:pt>
                <c:pt idx="1209">
                  <c:v>8.4329999999999998</c:v>
                </c:pt>
                <c:pt idx="1210">
                  <c:v>8.4329999999999998</c:v>
                </c:pt>
                <c:pt idx="1211">
                  <c:v>8.5719999999999992</c:v>
                </c:pt>
                <c:pt idx="1212">
                  <c:v>8.5719999999999992</c:v>
                </c:pt>
                <c:pt idx="1213">
                  <c:v>8.5719999999999992</c:v>
                </c:pt>
                <c:pt idx="1214">
                  <c:v>8.5719999999999992</c:v>
                </c:pt>
                <c:pt idx="1215">
                  <c:v>8.5719999999999992</c:v>
                </c:pt>
                <c:pt idx="1216">
                  <c:v>8.5719999999999992</c:v>
                </c:pt>
                <c:pt idx="1217">
                  <c:v>8.4580000000000002</c:v>
                </c:pt>
                <c:pt idx="1218">
                  <c:v>8.4580000000000002</c:v>
                </c:pt>
                <c:pt idx="1219">
                  <c:v>8.4580000000000002</c:v>
                </c:pt>
                <c:pt idx="1220">
                  <c:v>8.4580000000000002</c:v>
                </c:pt>
                <c:pt idx="1221">
                  <c:v>8.4580000000000002</c:v>
                </c:pt>
                <c:pt idx="1222">
                  <c:v>8.2520000000000007</c:v>
                </c:pt>
                <c:pt idx="1223">
                  <c:v>8.2520000000000007</c:v>
                </c:pt>
                <c:pt idx="1224">
                  <c:v>8.2520000000000007</c:v>
                </c:pt>
                <c:pt idx="1225">
                  <c:v>8.2520000000000007</c:v>
                </c:pt>
                <c:pt idx="1226">
                  <c:v>8.2520000000000007</c:v>
                </c:pt>
                <c:pt idx="1227">
                  <c:v>8.0229999999999997</c:v>
                </c:pt>
                <c:pt idx="1228">
                  <c:v>8.0229999999999997</c:v>
                </c:pt>
                <c:pt idx="1229">
                  <c:v>8.0229999999999997</c:v>
                </c:pt>
                <c:pt idx="1230">
                  <c:v>8.0229999999999997</c:v>
                </c:pt>
                <c:pt idx="1231">
                  <c:v>8.0229999999999997</c:v>
                </c:pt>
                <c:pt idx="1232">
                  <c:v>8.0229999999999997</c:v>
                </c:pt>
                <c:pt idx="1233">
                  <c:v>7.7060000000000004</c:v>
                </c:pt>
                <c:pt idx="1234">
                  <c:v>7.7060000000000004</c:v>
                </c:pt>
                <c:pt idx="1235">
                  <c:v>7.7060000000000004</c:v>
                </c:pt>
                <c:pt idx="1236">
                  <c:v>7.7060000000000004</c:v>
                </c:pt>
                <c:pt idx="1237">
                  <c:v>7.7060000000000004</c:v>
                </c:pt>
                <c:pt idx="1238">
                  <c:v>7.5030000000000001</c:v>
                </c:pt>
                <c:pt idx="1239">
                  <c:v>7.5030000000000001</c:v>
                </c:pt>
                <c:pt idx="1240">
                  <c:v>7.5030000000000001</c:v>
                </c:pt>
                <c:pt idx="1241">
                  <c:v>7.5030000000000001</c:v>
                </c:pt>
                <c:pt idx="1242">
                  <c:v>7.5030000000000001</c:v>
                </c:pt>
                <c:pt idx="1243">
                  <c:v>7.6710000000000003</c:v>
                </c:pt>
                <c:pt idx="1244">
                  <c:v>7.6710000000000003</c:v>
                </c:pt>
                <c:pt idx="1245">
                  <c:v>7.6710000000000003</c:v>
                </c:pt>
                <c:pt idx="1246">
                  <c:v>7.6710000000000003</c:v>
                </c:pt>
                <c:pt idx="1247">
                  <c:v>7.6710000000000003</c:v>
                </c:pt>
                <c:pt idx="1248">
                  <c:v>7.7530000000000001</c:v>
                </c:pt>
                <c:pt idx="1249">
                  <c:v>7.7530000000000001</c:v>
                </c:pt>
                <c:pt idx="1250">
                  <c:v>7.7530000000000001</c:v>
                </c:pt>
                <c:pt idx="1251">
                  <c:v>7.7530000000000001</c:v>
                </c:pt>
                <c:pt idx="1252">
                  <c:v>7.5430000000000001</c:v>
                </c:pt>
                <c:pt idx="1253">
                  <c:v>7.5430000000000001</c:v>
                </c:pt>
                <c:pt idx="1254">
                  <c:v>5.8920000000000003</c:v>
                </c:pt>
                <c:pt idx="1255">
                  <c:v>5.8920000000000003</c:v>
                </c:pt>
                <c:pt idx="1256">
                  <c:v>5.8920000000000003</c:v>
                </c:pt>
                <c:pt idx="1257">
                  <c:v>5.8920000000000003</c:v>
                </c:pt>
                <c:pt idx="1258">
                  <c:v>5.4349999999999996</c:v>
                </c:pt>
                <c:pt idx="1259">
                  <c:v>5.4349999999999996</c:v>
                </c:pt>
                <c:pt idx="1260">
                  <c:v>5.4349999999999996</c:v>
                </c:pt>
                <c:pt idx="1261">
                  <c:v>5.4349999999999996</c:v>
                </c:pt>
                <c:pt idx="1262">
                  <c:v>5.4349999999999996</c:v>
                </c:pt>
                <c:pt idx="1263">
                  <c:v>5.3259999999999996</c:v>
                </c:pt>
                <c:pt idx="1264">
                  <c:v>5.3259999999999996</c:v>
                </c:pt>
                <c:pt idx="1265">
                  <c:v>5.3259999999999996</c:v>
                </c:pt>
                <c:pt idx="1266">
                  <c:v>5.3259999999999996</c:v>
                </c:pt>
                <c:pt idx="1267">
                  <c:v>5.3259999999999996</c:v>
                </c:pt>
                <c:pt idx="1268">
                  <c:v>5.2869999999999999</c:v>
                </c:pt>
                <c:pt idx="1269">
                  <c:v>5.2869999999999999</c:v>
                </c:pt>
                <c:pt idx="1270">
                  <c:v>5.2869999999999999</c:v>
                </c:pt>
                <c:pt idx="1271">
                  <c:v>5.2869999999999999</c:v>
                </c:pt>
                <c:pt idx="1272">
                  <c:v>5.2869999999999999</c:v>
                </c:pt>
                <c:pt idx="1273">
                  <c:v>5.2869999999999999</c:v>
                </c:pt>
                <c:pt idx="1274">
                  <c:v>5.1139999999999999</c:v>
                </c:pt>
                <c:pt idx="1275">
                  <c:v>5.1139999999999999</c:v>
                </c:pt>
                <c:pt idx="1276">
                  <c:v>5.1139999999999999</c:v>
                </c:pt>
                <c:pt idx="1277">
                  <c:v>5.1139999999999999</c:v>
                </c:pt>
                <c:pt idx="1278">
                  <c:v>5.1139999999999999</c:v>
                </c:pt>
                <c:pt idx="1279">
                  <c:v>4.7809999999999997</c:v>
                </c:pt>
                <c:pt idx="1280">
                  <c:v>4.7809999999999997</c:v>
                </c:pt>
                <c:pt idx="1281">
                  <c:v>4.7809999999999997</c:v>
                </c:pt>
                <c:pt idx="1282">
                  <c:v>4.7809999999999997</c:v>
                </c:pt>
                <c:pt idx="1283">
                  <c:v>4.7809999999999997</c:v>
                </c:pt>
                <c:pt idx="1284">
                  <c:v>4.5839999999999996</c:v>
                </c:pt>
                <c:pt idx="1285">
                  <c:v>4.5839999999999996</c:v>
                </c:pt>
                <c:pt idx="1286">
                  <c:v>4.5839999999999996</c:v>
                </c:pt>
                <c:pt idx="1287">
                  <c:v>4.5839999999999996</c:v>
                </c:pt>
                <c:pt idx="1288">
                  <c:v>4.5839999999999996</c:v>
                </c:pt>
                <c:pt idx="1289">
                  <c:v>4.5839999999999996</c:v>
                </c:pt>
                <c:pt idx="1290">
                  <c:v>4.42</c:v>
                </c:pt>
                <c:pt idx="1291">
                  <c:v>4.42</c:v>
                </c:pt>
                <c:pt idx="1292">
                  <c:v>4.42</c:v>
                </c:pt>
                <c:pt idx="1293">
                  <c:v>4.42</c:v>
                </c:pt>
                <c:pt idx="1294">
                  <c:v>4.42</c:v>
                </c:pt>
                <c:pt idx="1295">
                  <c:v>4.2610000000000001</c:v>
                </c:pt>
                <c:pt idx="1296">
                  <c:v>4.2610000000000001</c:v>
                </c:pt>
                <c:pt idx="1297">
                  <c:v>4.2610000000000001</c:v>
                </c:pt>
                <c:pt idx="1298">
                  <c:v>4.2610000000000001</c:v>
                </c:pt>
                <c:pt idx="1299">
                  <c:v>4.2610000000000001</c:v>
                </c:pt>
                <c:pt idx="1300">
                  <c:v>4.125</c:v>
                </c:pt>
                <c:pt idx="1301">
                  <c:v>4.125</c:v>
                </c:pt>
                <c:pt idx="1302">
                  <c:v>4.125</c:v>
                </c:pt>
                <c:pt idx="1303">
                  <c:v>4.125</c:v>
                </c:pt>
                <c:pt idx="1304">
                  <c:v>4.125</c:v>
                </c:pt>
                <c:pt idx="1305">
                  <c:v>4.1559999999999997</c:v>
                </c:pt>
                <c:pt idx="1306">
                  <c:v>4.1559999999999997</c:v>
                </c:pt>
                <c:pt idx="1307">
                  <c:v>4.1559999999999997</c:v>
                </c:pt>
                <c:pt idx="1308">
                  <c:v>4.1559999999999997</c:v>
                </c:pt>
                <c:pt idx="1309">
                  <c:v>4.1449999999999996</c:v>
                </c:pt>
                <c:pt idx="1310">
                  <c:v>4.1449999999999996</c:v>
                </c:pt>
                <c:pt idx="1311">
                  <c:v>8.3260000000000005</c:v>
                </c:pt>
                <c:pt idx="1312">
                  <c:v>8.3260000000000005</c:v>
                </c:pt>
                <c:pt idx="1313">
                  <c:v>8.3260000000000005</c:v>
                </c:pt>
                <c:pt idx="1314">
                  <c:v>8.3260000000000005</c:v>
                </c:pt>
                <c:pt idx="1315">
                  <c:v>8.2110000000000003</c:v>
                </c:pt>
                <c:pt idx="1316">
                  <c:v>8.2110000000000003</c:v>
                </c:pt>
                <c:pt idx="1317">
                  <c:v>8.2110000000000003</c:v>
                </c:pt>
                <c:pt idx="1318">
                  <c:v>8.2110000000000003</c:v>
                </c:pt>
                <c:pt idx="1319">
                  <c:v>8.2110000000000003</c:v>
                </c:pt>
                <c:pt idx="1320">
                  <c:v>8.1170000000000009</c:v>
                </c:pt>
                <c:pt idx="1321">
                  <c:v>8.1170000000000009</c:v>
                </c:pt>
                <c:pt idx="1322">
                  <c:v>8.1170000000000009</c:v>
                </c:pt>
                <c:pt idx="1323">
                  <c:v>8.1170000000000009</c:v>
                </c:pt>
                <c:pt idx="1324">
                  <c:v>8.1170000000000009</c:v>
                </c:pt>
                <c:pt idx="1325">
                  <c:v>8.2750000000000004</c:v>
                </c:pt>
                <c:pt idx="1326">
                  <c:v>8.2750000000000004</c:v>
                </c:pt>
                <c:pt idx="1327">
                  <c:v>8.2750000000000004</c:v>
                </c:pt>
                <c:pt idx="1328">
                  <c:v>8.2750000000000004</c:v>
                </c:pt>
                <c:pt idx="1329">
                  <c:v>8.2750000000000004</c:v>
                </c:pt>
                <c:pt idx="1330">
                  <c:v>8.2750000000000004</c:v>
                </c:pt>
                <c:pt idx="1331">
                  <c:v>8.2520000000000007</c:v>
                </c:pt>
                <c:pt idx="1332">
                  <c:v>8.2520000000000007</c:v>
                </c:pt>
                <c:pt idx="1333">
                  <c:v>8.2520000000000007</c:v>
                </c:pt>
                <c:pt idx="1334">
                  <c:v>8.2520000000000007</c:v>
                </c:pt>
                <c:pt idx="1335">
                  <c:v>8.2520000000000007</c:v>
                </c:pt>
                <c:pt idx="1336">
                  <c:v>8.2119999999999997</c:v>
                </c:pt>
                <c:pt idx="1337">
                  <c:v>8.2119999999999997</c:v>
                </c:pt>
                <c:pt idx="1338">
                  <c:v>8.2119999999999997</c:v>
                </c:pt>
                <c:pt idx="1339">
                  <c:v>8.2119999999999997</c:v>
                </c:pt>
                <c:pt idx="1340">
                  <c:v>8.2119999999999997</c:v>
                </c:pt>
                <c:pt idx="1341">
                  <c:v>8.3580000000000005</c:v>
                </c:pt>
                <c:pt idx="1342">
                  <c:v>8.3580000000000005</c:v>
                </c:pt>
                <c:pt idx="1343">
                  <c:v>8.3580000000000005</c:v>
                </c:pt>
                <c:pt idx="1344">
                  <c:v>8.3580000000000005</c:v>
                </c:pt>
                <c:pt idx="1345">
                  <c:v>8.3580000000000005</c:v>
                </c:pt>
                <c:pt idx="1346">
                  <c:v>8.3580000000000005</c:v>
                </c:pt>
                <c:pt idx="1347">
                  <c:v>8.4540000000000006</c:v>
                </c:pt>
                <c:pt idx="1348">
                  <c:v>8.4540000000000006</c:v>
                </c:pt>
                <c:pt idx="1349">
                  <c:v>8.4540000000000006</c:v>
                </c:pt>
                <c:pt idx="1350">
                  <c:v>8.4540000000000006</c:v>
                </c:pt>
                <c:pt idx="1351">
                  <c:v>8.4540000000000006</c:v>
                </c:pt>
                <c:pt idx="1352">
                  <c:v>8.6590000000000007</c:v>
                </c:pt>
                <c:pt idx="1353">
                  <c:v>8.6590000000000007</c:v>
                </c:pt>
                <c:pt idx="1354">
                  <c:v>8.6590000000000007</c:v>
                </c:pt>
                <c:pt idx="1355">
                  <c:v>8.6590000000000007</c:v>
                </c:pt>
                <c:pt idx="1356">
                  <c:v>8.6590000000000007</c:v>
                </c:pt>
                <c:pt idx="1357">
                  <c:v>8.9830000000000005</c:v>
                </c:pt>
                <c:pt idx="1358">
                  <c:v>8.9830000000000005</c:v>
                </c:pt>
                <c:pt idx="1359">
                  <c:v>8.9830000000000005</c:v>
                </c:pt>
                <c:pt idx="1360">
                  <c:v>8.9830000000000005</c:v>
                </c:pt>
                <c:pt idx="1361">
                  <c:v>8.9830000000000005</c:v>
                </c:pt>
                <c:pt idx="1362">
                  <c:v>8.9529999999999994</c:v>
                </c:pt>
                <c:pt idx="1363">
                  <c:v>8.9529999999999994</c:v>
                </c:pt>
                <c:pt idx="1364">
                  <c:v>8.9529999999999994</c:v>
                </c:pt>
                <c:pt idx="1365">
                  <c:v>8.9529999999999994</c:v>
                </c:pt>
                <c:pt idx="1366">
                  <c:v>8.6929999999999996</c:v>
                </c:pt>
                <c:pt idx="1367">
                  <c:v>8.6929999999999996</c:v>
                </c:pt>
                <c:pt idx="1368">
                  <c:v>8.1869999999999994</c:v>
                </c:pt>
                <c:pt idx="1369">
                  <c:v>8.1869999999999994</c:v>
                </c:pt>
                <c:pt idx="1370">
                  <c:v>8.1869999999999994</c:v>
                </c:pt>
                <c:pt idx="1371">
                  <c:v>8.1869999999999994</c:v>
                </c:pt>
                <c:pt idx="1372">
                  <c:v>7.8559999999999999</c:v>
                </c:pt>
                <c:pt idx="1373">
                  <c:v>7.8559999999999999</c:v>
                </c:pt>
                <c:pt idx="1374">
                  <c:v>7.8559999999999999</c:v>
                </c:pt>
                <c:pt idx="1375">
                  <c:v>7.8559999999999999</c:v>
                </c:pt>
                <c:pt idx="1376">
                  <c:v>7.8559999999999999</c:v>
                </c:pt>
                <c:pt idx="1377">
                  <c:v>7.5270000000000001</c:v>
                </c:pt>
                <c:pt idx="1378">
                  <c:v>7.5270000000000001</c:v>
                </c:pt>
                <c:pt idx="1379">
                  <c:v>7.5270000000000001</c:v>
                </c:pt>
                <c:pt idx="1380">
                  <c:v>7.5270000000000001</c:v>
                </c:pt>
                <c:pt idx="1381">
                  <c:v>7.5270000000000001</c:v>
                </c:pt>
                <c:pt idx="1382">
                  <c:v>7.484</c:v>
                </c:pt>
                <c:pt idx="1383">
                  <c:v>7.484</c:v>
                </c:pt>
                <c:pt idx="1384">
                  <c:v>7.484</c:v>
                </c:pt>
                <c:pt idx="1385">
                  <c:v>7.484</c:v>
                </c:pt>
                <c:pt idx="1386">
                  <c:v>7.484</c:v>
                </c:pt>
                <c:pt idx="1387">
                  <c:v>7.484</c:v>
                </c:pt>
                <c:pt idx="1388">
                  <c:v>7.343</c:v>
                </c:pt>
                <c:pt idx="1389">
                  <c:v>7.343</c:v>
                </c:pt>
                <c:pt idx="1390">
                  <c:v>7.343</c:v>
                </c:pt>
                <c:pt idx="1391">
                  <c:v>7.343</c:v>
                </c:pt>
                <c:pt idx="1392">
                  <c:v>7.343</c:v>
                </c:pt>
                <c:pt idx="1393">
                  <c:v>7.2869999999999999</c:v>
                </c:pt>
                <c:pt idx="1394">
                  <c:v>7.2869999999999999</c:v>
                </c:pt>
                <c:pt idx="1395">
                  <c:v>7.2869999999999999</c:v>
                </c:pt>
                <c:pt idx="1396">
                  <c:v>7.2869999999999999</c:v>
                </c:pt>
                <c:pt idx="1397">
                  <c:v>7.2869999999999999</c:v>
                </c:pt>
                <c:pt idx="1398">
                  <c:v>7.274</c:v>
                </c:pt>
                <c:pt idx="1399">
                  <c:v>7.274</c:v>
                </c:pt>
                <c:pt idx="1400">
                  <c:v>7.274</c:v>
                </c:pt>
                <c:pt idx="1401">
                  <c:v>7.274</c:v>
                </c:pt>
                <c:pt idx="1402">
                  <c:v>7.274</c:v>
                </c:pt>
                <c:pt idx="1403">
                  <c:v>7.274</c:v>
                </c:pt>
                <c:pt idx="1404">
                  <c:v>7.0819999999999999</c:v>
                </c:pt>
                <c:pt idx="1405">
                  <c:v>7.0819999999999999</c:v>
                </c:pt>
                <c:pt idx="1406">
                  <c:v>7.0819999999999999</c:v>
                </c:pt>
                <c:pt idx="1407">
                  <c:v>7.0819999999999999</c:v>
                </c:pt>
                <c:pt idx="1408">
                  <c:v>7.0819999999999999</c:v>
                </c:pt>
                <c:pt idx="1409">
                  <c:v>6.9610000000000003</c:v>
                </c:pt>
                <c:pt idx="1410">
                  <c:v>6.9610000000000003</c:v>
                </c:pt>
                <c:pt idx="1411">
                  <c:v>6.9610000000000003</c:v>
                </c:pt>
                <c:pt idx="1412">
                  <c:v>6.9610000000000003</c:v>
                </c:pt>
                <c:pt idx="1413">
                  <c:v>6.9610000000000003</c:v>
                </c:pt>
                <c:pt idx="1414">
                  <c:v>7.1390000000000002</c:v>
                </c:pt>
                <c:pt idx="1415">
                  <c:v>7.1390000000000002</c:v>
                </c:pt>
                <c:pt idx="1416">
                  <c:v>7.1390000000000002</c:v>
                </c:pt>
                <c:pt idx="1417">
                  <c:v>7.1390000000000002</c:v>
                </c:pt>
                <c:pt idx="1418">
                  <c:v>7.1390000000000002</c:v>
                </c:pt>
                <c:pt idx="1419">
                  <c:v>7.28</c:v>
                </c:pt>
                <c:pt idx="1420">
                  <c:v>7.28</c:v>
                </c:pt>
                <c:pt idx="1421">
                  <c:v>7.28</c:v>
                </c:pt>
                <c:pt idx="1422">
                  <c:v>7.28</c:v>
                </c:pt>
                <c:pt idx="1423">
                  <c:v>7.2930000000000001</c:v>
                </c:pt>
                <c:pt idx="1424">
                  <c:v>7.2930000000000001</c:v>
                </c:pt>
                <c:pt idx="1425">
                  <c:v>8.4879999999999995</c:v>
                </c:pt>
                <c:pt idx="1426">
                  <c:v>8.4879999999999995</c:v>
                </c:pt>
                <c:pt idx="1427">
                  <c:v>8.4879999999999995</c:v>
                </c:pt>
                <c:pt idx="1428">
                  <c:v>8.4879999999999995</c:v>
                </c:pt>
                <c:pt idx="1429">
                  <c:v>8.5120000000000005</c:v>
                </c:pt>
                <c:pt idx="1430">
                  <c:v>8.5120000000000005</c:v>
                </c:pt>
                <c:pt idx="1431">
                  <c:v>8.5120000000000005</c:v>
                </c:pt>
                <c:pt idx="1432">
                  <c:v>8.5120000000000005</c:v>
                </c:pt>
                <c:pt idx="1433">
                  <c:v>8.5120000000000005</c:v>
                </c:pt>
                <c:pt idx="1434">
                  <c:v>8.4450000000000003</c:v>
                </c:pt>
                <c:pt idx="1435">
                  <c:v>8.4450000000000003</c:v>
                </c:pt>
                <c:pt idx="1436">
                  <c:v>8.4450000000000003</c:v>
                </c:pt>
                <c:pt idx="1437">
                  <c:v>8.4450000000000003</c:v>
                </c:pt>
                <c:pt idx="1438">
                  <c:v>8.4450000000000003</c:v>
                </c:pt>
                <c:pt idx="1439">
                  <c:v>8.1489999999999991</c:v>
                </c:pt>
                <c:pt idx="1440">
                  <c:v>8.1489999999999991</c:v>
                </c:pt>
                <c:pt idx="1441">
                  <c:v>8.1489999999999991</c:v>
                </c:pt>
                <c:pt idx="1442">
                  <c:v>8.1489999999999991</c:v>
                </c:pt>
                <c:pt idx="1443">
                  <c:v>8.1489999999999991</c:v>
                </c:pt>
                <c:pt idx="1444">
                  <c:v>8.1489999999999991</c:v>
                </c:pt>
                <c:pt idx="1445">
                  <c:v>7.907</c:v>
                </c:pt>
                <c:pt idx="1446">
                  <c:v>7.907</c:v>
                </c:pt>
                <c:pt idx="1447">
                  <c:v>7.907</c:v>
                </c:pt>
                <c:pt idx="1448">
                  <c:v>7.907</c:v>
                </c:pt>
                <c:pt idx="1449">
                  <c:v>7.907</c:v>
                </c:pt>
                <c:pt idx="1450">
                  <c:v>7.8179999999999996</c:v>
                </c:pt>
                <c:pt idx="1451">
                  <c:v>7.8179999999999996</c:v>
                </c:pt>
                <c:pt idx="1452">
                  <c:v>7.8179999999999996</c:v>
                </c:pt>
                <c:pt idx="1453">
                  <c:v>7.8179999999999996</c:v>
                </c:pt>
                <c:pt idx="1454">
                  <c:v>7.8179999999999996</c:v>
                </c:pt>
                <c:pt idx="1455">
                  <c:v>7.7670000000000003</c:v>
                </c:pt>
                <c:pt idx="1456">
                  <c:v>7.7670000000000003</c:v>
                </c:pt>
                <c:pt idx="1457">
                  <c:v>7.7670000000000003</c:v>
                </c:pt>
                <c:pt idx="1458">
                  <c:v>7.7670000000000003</c:v>
                </c:pt>
                <c:pt idx="1459">
                  <c:v>7.7670000000000003</c:v>
                </c:pt>
                <c:pt idx="1460">
                  <c:v>7.7670000000000003</c:v>
                </c:pt>
                <c:pt idx="1461">
                  <c:v>7.5979999999999999</c:v>
                </c:pt>
                <c:pt idx="1462">
                  <c:v>7.5979999999999999</c:v>
                </c:pt>
                <c:pt idx="1463">
                  <c:v>7.5979999999999999</c:v>
                </c:pt>
                <c:pt idx="1464">
                  <c:v>7.5979999999999999</c:v>
                </c:pt>
                <c:pt idx="1465">
                  <c:v>7.5979999999999999</c:v>
                </c:pt>
                <c:pt idx="1466">
                  <c:v>7.4669999999999996</c:v>
                </c:pt>
                <c:pt idx="1467">
                  <c:v>7.4669999999999996</c:v>
                </c:pt>
                <c:pt idx="1468">
                  <c:v>7.4669999999999996</c:v>
                </c:pt>
                <c:pt idx="1469">
                  <c:v>7.4669999999999996</c:v>
                </c:pt>
                <c:pt idx="1470">
                  <c:v>7.4669999999999996</c:v>
                </c:pt>
                <c:pt idx="1471">
                  <c:v>7.4889999999999999</c:v>
                </c:pt>
                <c:pt idx="1472">
                  <c:v>7.4889999999999999</c:v>
                </c:pt>
                <c:pt idx="1473">
                  <c:v>7.4889999999999999</c:v>
                </c:pt>
                <c:pt idx="1474">
                  <c:v>7.4889999999999999</c:v>
                </c:pt>
                <c:pt idx="1475">
                  <c:v>7.4889999999999999</c:v>
                </c:pt>
                <c:pt idx="1476">
                  <c:v>7.4050000000000002</c:v>
                </c:pt>
                <c:pt idx="1477">
                  <c:v>7.4050000000000002</c:v>
                </c:pt>
                <c:pt idx="1478">
                  <c:v>7.4050000000000002</c:v>
                </c:pt>
                <c:pt idx="1479">
                  <c:v>7.4050000000000002</c:v>
                </c:pt>
                <c:pt idx="1480">
                  <c:v>7.1379999999999999</c:v>
                </c:pt>
                <c:pt idx="1481">
                  <c:v>7.1379999999999999</c:v>
                </c:pt>
                <c:pt idx="1482">
                  <c:v>8.2370000000000001</c:v>
                </c:pt>
                <c:pt idx="1483">
                  <c:v>8.2370000000000001</c:v>
                </c:pt>
                <c:pt idx="1484">
                  <c:v>8.2370000000000001</c:v>
                </c:pt>
                <c:pt idx="1485">
                  <c:v>8.2370000000000001</c:v>
                </c:pt>
                <c:pt idx="1486">
                  <c:v>8.0579999999999998</c:v>
                </c:pt>
                <c:pt idx="1487">
                  <c:v>8.0579999999999998</c:v>
                </c:pt>
                <c:pt idx="1488">
                  <c:v>8.0579999999999998</c:v>
                </c:pt>
                <c:pt idx="1489">
                  <c:v>8.0579999999999998</c:v>
                </c:pt>
                <c:pt idx="1490">
                  <c:v>8.0579999999999998</c:v>
                </c:pt>
                <c:pt idx="1491">
                  <c:v>7.9820000000000002</c:v>
                </c:pt>
                <c:pt idx="1492">
                  <c:v>7.9820000000000002</c:v>
                </c:pt>
                <c:pt idx="1493">
                  <c:v>7.9820000000000002</c:v>
                </c:pt>
                <c:pt idx="1494">
                  <c:v>7.9820000000000002</c:v>
                </c:pt>
                <c:pt idx="1495">
                  <c:v>7.9820000000000002</c:v>
                </c:pt>
                <c:pt idx="1496">
                  <c:v>8.0210000000000008</c:v>
                </c:pt>
                <c:pt idx="1497">
                  <c:v>8.0210000000000008</c:v>
                </c:pt>
                <c:pt idx="1498">
                  <c:v>8.0210000000000008</c:v>
                </c:pt>
                <c:pt idx="1499">
                  <c:v>8.0210000000000008</c:v>
                </c:pt>
                <c:pt idx="1500">
                  <c:v>8.0210000000000008</c:v>
                </c:pt>
                <c:pt idx="1501">
                  <c:v>8.0210000000000008</c:v>
                </c:pt>
                <c:pt idx="1502">
                  <c:v>7.827</c:v>
                </c:pt>
                <c:pt idx="1503">
                  <c:v>7.827</c:v>
                </c:pt>
                <c:pt idx="1504">
                  <c:v>7.827</c:v>
                </c:pt>
                <c:pt idx="1505">
                  <c:v>7.827</c:v>
                </c:pt>
                <c:pt idx="1506">
                  <c:v>7.827</c:v>
                </c:pt>
                <c:pt idx="1507">
                  <c:v>7.7249999999999996</c:v>
                </c:pt>
                <c:pt idx="1508">
                  <c:v>7.7249999999999996</c:v>
                </c:pt>
                <c:pt idx="1509">
                  <c:v>7.7249999999999996</c:v>
                </c:pt>
                <c:pt idx="1510">
                  <c:v>7.7249999999999996</c:v>
                </c:pt>
                <c:pt idx="1511">
                  <c:v>7.7249999999999996</c:v>
                </c:pt>
                <c:pt idx="1512">
                  <c:v>7.85</c:v>
                </c:pt>
                <c:pt idx="1513">
                  <c:v>7.85</c:v>
                </c:pt>
                <c:pt idx="1514">
                  <c:v>7.85</c:v>
                </c:pt>
                <c:pt idx="1515">
                  <c:v>7.85</c:v>
                </c:pt>
                <c:pt idx="1516">
                  <c:v>7.85</c:v>
                </c:pt>
                <c:pt idx="1517">
                  <c:v>7.85</c:v>
                </c:pt>
                <c:pt idx="1518">
                  <c:v>7.9059999999999997</c:v>
                </c:pt>
                <c:pt idx="1519">
                  <c:v>7.9059999999999997</c:v>
                </c:pt>
                <c:pt idx="1520">
                  <c:v>7.9059999999999997</c:v>
                </c:pt>
                <c:pt idx="1521">
                  <c:v>7.9059999999999997</c:v>
                </c:pt>
                <c:pt idx="1522">
                  <c:v>7.9059999999999997</c:v>
                </c:pt>
                <c:pt idx="1523">
                  <c:v>8.0090000000000003</c:v>
                </c:pt>
                <c:pt idx="1524">
                  <c:v>8.0090000000000003</c:v>
                </c:pt>
                <c:pt idx="1525">
                  <c:v>8.0090000000000003</c:v>
                </c:pt>
                <c:pt idx="1526">
                  <c:v>8.0090000000000003</c:v>
                </c:pt>
                <c:pt idx="1527">
                  <c:v>8.0090000000000003</c:v>
                </c:pt>
                <c:pt idx="1528">
                  <c:v>8.2530000000000001</c:v>
                </c:pt>
                <c:pt idx="1529">
                  <c:v>8.2530000000000001</c:v>
                </c:pt>
                <c:pt idx="1530">
                  <c:v>8.2530000000000001</c:v>
                </c:pt>
                <c:pt idx="1531">
                  <c:v>8.2530000000000001</c:v>
                </c:pt>
                <c:pt idx="1532">
                  <c:v>8.2530000000000001</c:v>
                </c:pt>
                <c:pt idx="1533">
                  <c:v>8.2390000000000008</c:v>
                </c:pt>
                <c:pt idx="1534">
                  <c:v>8.2390000000000008</c:v>
                </c:pt>
                <c:pt idx="1535">
                  <c:v>8.2390000000000008</c:v>
                </c:pt>
                <c:pt idx="1536">
                  <c:v>8.2390000000000008</c:v>
                </c:pt>
                <c:pt idx="1537">
                  <c:v>8</c:v>
                </c:pt>
                <c:pt idx="1538">
                  <c:v>8</c:v>
                </c:pt>
                <c:pt idx="1539">
                  <c:v>13.975</c:v>
                </c:pt>
                <c:pt idx="1540">
                  <c:v>13.975</c:v>
                </c:pt>
                <c:pt idx="1541">
                  <c:v>13.975</c:v>
                </c:pt>
                <c:pt idx="1542">
                  <c:v>13.975</c:v>
                </c:pt>
                <c:pt idx="1543">
                  <c:v>14.099</c:v>
                </c:pt>
                <c:pt idx="1544">
                  <c:v>14.099</c:v>
                </c:pt>
                <c:pt idx="1545">
                  <c:v>14.099</c:v>
                </c:pt>
                <c:pt idx="1546">
                  <c:v>14.099</c:v>
                </c:pt>
                <c:pt idx="1547">
                  <c:v>14.099</c:v>
                </c:pt>
                <c:pt idx="1548">
                  <c:v>14.18</c:v>
                </c:pt>
                <c:pt idx="1549">
                  <c:v>14.18</c:v>
                </c:pt>
                <c:pt idx="1550">
                  <c:v>14.18</c:v>
                </c:pt>
                <c:pt idx="1551">
                  <c:v>14.18</c:v>
                </c:pt>
                <c:pt idx="1552">
                  <c:v>14.18</c:v>
                </c:pt>
                <c:pt idx="1553">
                  <c:v>14.313000000000001</c:v>
                </c:pt>
                <c:pt idx="1554">
                  <c:v>14.313000000000001</c:v>
                </c:pt>
                <c:pt idx="1555">
                  <c:v>14.313000000000001</c:v>
                </c:pt>
                <c:pt idx="1556">
                  <c:v>14.313000000000001</c:v>
                </c:pt>
                <c:pt idx="1557">
                  <c:v>14.313000000000001</c:v>
                </c:pt>
                <c:pt idx="1558">
                  <c:v>14.313000000000001</c:v>
                </c:pt>
                <c:pt idx="1559">
                  <c:v>14.021000000000001</c:v>
                </c:pt>
                <c:pt idx="1560">
                  <c:v>14.021000000000001</c:v>
                </c:pt>
                <c:pt idx="1561">
                  <c:v>14.021000000000001</c:v>
                </c:pt>
                <c:pt idx="1562">
                  <c:v>14.021000000000001</c:v>
                </c:pt>
                <c:pt idx="1563">
                  <c:v>14.021000000000001</c:v>
                </c:pt>
                <c:pt idx="1564">
                  <c:v>13.736000000000001</c:v>
                </c:pt>
                <c:pt idx="1565">
                  <c:v>13.736000000000001</c:v>
                </c:pt>
                <c:pt idx="1566">
                  <c:v>13.736000000000001</c:v>
                </c:pt>
                <c:pt idx="1567">
                  <c:v>13.736000000000001</c:v>
                </c:pt>
                <c:pt idx="1568">
                  <c:v>13.736000000000001</c:v>
                </c:pt>
                <c:pt idx="1569">
                  <c:v>13.503</c:v>
                </c:pt>
                <c:pt idx="1570">
                  <c:v>13.503</c:v>
                </c:pt>
                <c:pt idx="1571">
                  <c:v>13.503</c:v>
                </c:pt>
                <c:pt idx="1572">
                  <c:v>13.503</c:v>
                </c:pt>
                <c:pt idx="1573">
                  <c:v>13.503</c:v>
                </c:pt>
                <c:pt idx="1574">
                  <c:v>13.503</c:v>
                </c:pt>
                <c:pt idx="1575">
                  <c:v>12.89</c:v>
                </c:pt>
                <c:pt idx="1576">
                  <c:v>12.89</c:v>
                </c:pt>
                <c:pt idx="1577">
                  <c:v>12.89</c:v>
                </c:pt>
                <c:pt idx="1578">
                  <c:v>12.89</c:v>
                </c:pt>
                <c:pt idx="1579">
                  <c:v>12.89</c:v>
                </c:pt>
                <c:pt idx="1580">
                  <c:v>12.186999999999999</c:v>
                </c:pt>
                <c:pt idx="1581">
                  <c:v>12.186999999999999</c:v>
                </c:pt>
                <c:pt idx="1582">
                  <c:v>12.186999999999999</c:v>
                </c:pt>
                <c:pt idx="1583">
                  <c:v>12.186999999999999</c:v>
                </c:pt>
                <c:pt idx="1584">
                  <c:v>12.186999999999999</c:v>
                </c:pt>
                <c:pt idx="1585">
                  <c:v>11.627000000000001</c:v>
                </c:pt>
                <c:pt idx="1586">
                  <c:v>11.627000000000001</c:v>
                </c:pt>
                <c:pt idx="1587">
                  <c:v>11.627000000000001</c:v>
                </c:pt>
                <c:pt idx="1588">
                  <c:v>11.627000000000001</c:v>
                </c:pt>
                <c:pt idx="1589">
                  <c:v>11.627000000000001</c:v>
                </c:pt>
                <c:pt idx="1590">
                  <c:v>10.926</c:v>
                </c:pt>
                <c:pt idx="1591">
                  <c:v>10.926</c:v>
                </c:pt>
                <c:pt idx="1592">
                  <c:v>10.926</c:v>
                </c:pt>
                <c:pt idx="1593">
                  <c:v>10.926</c:v>
                </c:pt>
                <c:pt idx="1594">
                  <c:v>10.199</c:v>
                </c:pt>
                <c:pt idx="1595">
                  <c:v>10.199</c:v>
                </c:pt>
                <c:pt idx="1596">
                  <c:v>10.064</c:v>
                </c:pt>
                <c:pt idx="1597">
                  <c:v>10.064</c:v>
                </c:pt>
                <c:pt idx="1598">
                  <c:v>10.064</c:v>
                </c:pt>
                <c:pt idx="1599">
                  <c:v>10.064</c:v>
                </c:pt>
                <c:pt idx="1600">
                  <c:v>10.16</c:v>
                </c:pt>
                <c:pt idx="1601">
                  <c:v>10.16</c:v>
                </c:pt>
                <c:pt idx="1602">
                  <c:v>10.16</c:v>
                </c:pt>
                <c:pt idx="1603">
                  <c:v>10.16</c:v>
                </c:pt>
                <c:pt idx="1604">
                  <c:v>10.16</c:v>
                </c:pt>
                <c:pt idx="1605">
                  <c:v>10.409000000000001</c:v>
                </c:pt>
                <c:pt idx="1606">
                  <c:v>10.409000000000001</c:v>
                </c:pt>
                <c:pt idx="1607">
                  <c:v>10.409000000000001</c:v>
                </c:pt>
                <c:pt idx="1608">
                  <c:v>10.409000000000001</c:v>
                </c:pt>
                <c:pt idx="1609">
                  <c:v>10.409000000000001</c:v>
                </c:pt>
                <c:pt idx="1610">
                  <c:v>10.523999999999999</c:v>
                </c:pt>
                <c:pt idx="1611">
                  <c:v>10.523999999999999</c:v>
                </c:pt>
                <c:pt idx="1612">
                  <c:v>10.523999999999999</c:v>
                </c:pt>
                <c:pt idx="1613">
                  <c:v>10.523999999999999</c:v>
                </c:pt>
                <c:pt idx="1614">
                  <c:v>10.523999999999999</c:v>
                </c:pt>
                <c:pt idx="1615">
                  <c:v>10.523999999999999</c:v>
                </c:pt>
                <c:pt idx="1616">
                  <c:v>10.256</c:v>
                </c:pt>
                <c:pt idx="1617">
                  <c:v>10.256</c:v>
                </c:pt>
                <c:pt idx="1618">
                  <c:v>10.256</c:v>
                </c:pt>
                <c:pt idx="1619">
                  <c:v>10.256</c:v>
                </c:pt>
                <c:pt idx="1620">
                  <c:v>10.256</c:v>
                </c:pt>
                <c:pt idx="1621">
                  <c:v>9.9659999999999993</c:v>
                </c:pt>
                <c:pt idx="1622">
                  <c:v>9.9659999999999993</c:v>
                </c:pt>
                <c:pt idx="1623">
                  <c:v>9.9659999999999993</c:v>
                </c:pt>
                <c:pt idx="1624">
                  <c:v>9.9659999999999993</c:v>
                </c:pt>
                <c:pt idx="1625">
                  <c:v>9.9659999999999993</c:v>
                </c:pt>
                <c:pt idx="1626">
                  <c:v>9.8629999999999995</c:v>
                </c:pt>
                <c:pt idx="1627">
                  <c:v>9.8629999999999995</c:v>
                </c:pt>
                <c:pt idx="1628">
                  <c:v>9.8629999999999995</c:v>
                </c:pt>
                <c:pt idx="1629">
                  <c:v>9.8629999999999995</c:v>
                </c:pt>
                <c:pt idx="1630">
                  <c:v>9.8629999999999995</c:v>
                </c:pt>
                <c:pt idx="1631">
                  <c:v>9.8629999999999995</c:v>
                </c:pt>
                <c:pt idx="1632">
                  <c:v>9.3569999999999993</c:v>
                </c:pt>
                <c:pt idx="1633">
                  <c:v>9.3569999999999993</c:v>
                </c:pt>
                <c:pt idx="1634">
                  <c:v>9.3569999999999993</c:v>
                </c:pt>
                <c:pt idx="1635">
                  <c:v>9.3569999999999993</c:v>
                </c:pt>
                <c:pt idx="1636">
                  <c:v>9.3569999999999993</c:v>
                </c:pt>
                <c:pt idx="1637">
                  <c:v>8.9879999999999995</c:v>
                </c:pt>
                <c:pt idx="1638">
                  <c:v>8.9879999999999995</c:v>
                </c:pt>
                <c:pt idx="1639">
                  <c:v>8.9879999999999995</c:v>
                </c:pt>
                <c:pt idx="1640">
                  <c:v>8.9879999999999995</c:v>
                </c:pt>
                <c:pt idx="1641">
                  <c:v>8.9879999999999995</c:v>
                </c:pt>
                <c:pt idx="1642">
                  <c:v>9.14</c:v>
                </c:pt>
                <c:pt idx="1643">
                  <c:v>9.14</c:v>
                </c:pt>
                <c:pt idx="1644">
                  <c:v>9.14</c:v>
                </c:pt>
                <c:pt idx="1645">
                  <c:v>9.14</c:v>
                </c:pt>
                <c:pt idx="1646">
                  <c:v>9.14</c:v>
                </c:pt>
                <c:pt idx="1647">
                  <c:v>9.4190000000000005</c:v>
                </c:pt>
                <c:pt idx="1648">
                  <c:v>9.4190000000000005</c:v>
                </c:pt>
                <c:pt idx="1649">
                  <c:v>9.4190000000000005</c:v>
                </c:pt>
                <c:pt idx="1650">
                  <c:v>9.4190000000000005</c:v>
                </c:pt>
                <c:pt idx="1651">
                  <c:v>9.1509999999999998</c:v>
                </c:pt>
                <c:pt idx="1652">
                  <c:v>9.1509999999999998</c:v>
                </c:pt>
                <c:pt idx="1653">
                  <c:v>8.3239999999999998</c:v>
                </c:pt>
                <c:pt idx="1654">
                  <c:v>8.3239999999999998</c:v>
                </c:pt>
                <c:pt idx="1655">
                  <c:v>8.3239999999999998</c:v>
                </c:pt>
                <c:pt idx="1656">
                  <c:v>8.3239999999999998</c:v>
                </c:pt>
                <c:pt idx="1657">
                  <c:v>8.1999999999999993</c:v>
                </c:pt>
                <c:pt idx="1658">
                  <c:v>8.1999999999999993</c:v>
                </c:pt>
                <c:pt idx="1659">
                  <c:v>8.1999999999999993</c:v>
                </c:pt>
                <c:pt idx="1660">
                  <c:v>8.1999999999999993</c:v>
                </c:pt>
                <c:pt idx="1661">
                  <c:v>8.1999999999999993</c:v>
                </c:pt>
                <c:pt idx="1662">
                  <c:v>8.0990000000000002</c:v>
                </c:pt>
                <c:pt idx="1663">
                  <c:v>8.0990000000000002</c:v>
                </c:pt>
                <c:pt idx="1664">
                  <c:v>8.0990000000000002</c:v>
                </c:pt>
                <c:pt idx="1665">
                  <c:v>8.0990000000000002</c:v>
                </c:pt>
                <c:pt idx="1666">
                  <c:v>8.0990000000000002</c:v>
                </c:pt>
                <c:pt idx="1667">
                  <c:v>8.1630000000000003</c:v>
                </c:pt>
                <c:pt idx="1668">
                  <c:v>8.1630000000000003</c:v>
                </c:pt>
                <c:pt idx="1669">
                  <c:v>8.1630000000000003</c:v>
                </c:pt>
                <c:pt idx="1670">
                  <c:v>8.1630000000000003</c:v>
                </c:pt>
                <c:pt idx="1671">
                  <c:v>8.1630000000000003</c:v>
                </c:pt>
                <c:pt idx="1672">
                  <c:v>8.1630000000000003</c:v>
                </c:pt>
                <c:pt idx="1673">
                  <c:v>8.0280000000000005</c:v>
                </c:pt>
                <c:pt idx="1674">
                  <c:v>8.0280000000000005</c:v>
                </c:pt>
                <c:pt idx="1675">
                  <c:v>8.0280000000000005</c:v>
                </c:pt>
                <c:pt idx="1676">
                  <c:v>8.0280000000000005</c:v>
                </c:pt>
                <c:pt idx="1677">
                  <c:v>8.0280000000000005</c:v>
                </c:pt>
                <c:pt idx="1678">
                  <c:v>7.931</c:v>
                </c:pt>
                <c:pt idx="1679">
                  <c:v>7.931</c:v>
                </c:pt>
                <c:pt idx="1680">
                  <c:v>7.931</c:v>
                </c:pt>
                <c:pt idx="1681">
                  <c:v>7.931</c:v>
                </c:pt>
                <c:pt idx="1682">
                  <c:v>7.931</c:v>
                </c:pt>
                <c:pt idx="1683">
                  <c:v>7.8520000000000003</c:v>
                </c:pt>
                <c:pt idx="1684">
                  <c:v>7.8520000000000003</c:v>
                </c:pt>
                <c:pt idx="1685">
                  <c:v>7.8520000000000003</c:v>
                </c:pt>
                <c:pt idx="1686">
                  <c:v>7.8520000000000003</c:v>
                </c:pt>
                <c:pt idx="1687">
                  <c:v>7.8520000000000003</c:v>
                </c:pt>
                <c:pt idx="1688">
                  <c:v>7.8520000000000003</c:v>
                </c:pt>
                <c:pt idx="1689">
                  <c:v>7.4409999999999998</c:v>
                </c:pt>
                <c:pt idx="1690">
                  <c:v>7.4409999999999998</c:v>
                </c:pt>
                <c:pt idx="1691">
                  <c:v>7.4409999999999998</c:v>
                </c:pt>
                <c:pt idx="1692">
                  <c:v>7.4409999999999998</c:v>
                </c:pt>
                <c:pt idx="1693">
                  <c:v>7.4409999999999998</c:v>
                </c:pt>
                <c:pt idx="1694">
                  <c:v>7.0570000000000004</c:v>
                </c:pt>
                <c:pt idx="1695">
                  <c:v>7.0570000000000004</c:v>
                </c:pt>
                <c:pt idx="1696">
                  <c:v>7.0570000000000004</c:v>
                </c:pt>
                <c:pt idx="1697">
                  <c:v>7.0570000000000004</c:v>
                </c:pt>
                <c:pt idx="1698">
                  <c:v>7.0570000000000004</c:v>
                </c:pt>
                <c:pt idx="1699">
                  <c:v>6.891</c:v>
                </c:pt>
                <c:pt idx="1700">
                  <c:v>6.891</c:v>
                </c:pt>
                <c:pt idx="1701">
                  <c:v>6.891</c:v>
                </c:pt>
                <c:pt idx="1702">
                  <c:v>6.891</c:v>
                </c:pt>
                <c:pt idx="1703">
                  <c:v>6.891</c:v>
                </c:pt>
                <c:pt idx="1704">
                  <c:v>6.5650000000000004</c:v>
                </c:pt>
                <c:pt idx="1705">
                  <c:v>6.5650000000000004</c:v>
                </c:pt>
                <c:pt idx="1706">
                  <c:v>6.5650000000000004</c:v>
                </c:pt>
                <c:pt idx="1707">
                  <c:v>6.5650000000000004</c:v>
                </c:pt>
                <c:pt idx="1708">
                  <c:v>6.17</c:v>
                </c:pt>
                <c:pt idx="1709">
                  <c:v>6.17</c:v>
                </c:pt>
                <c:pt idx="1710">
                  <c:v>8.3239999999999998</c:v>
                </c:pt>
                <c:pt idx="1711">
                  <c:v>8.3239999999999998</c:v>
                </c:pt>
                <c:pt idx="1712">
                  <c:v>8.3239999999999998</c:v>
                </c:pt>
                <c:pt idx="1713">
                  <c:v>8.3239999999999998</c:v>
                </c:pt>
                <c:pt idx="1714">
                  <c:v>8.1999999999999993</c:v>
                </c:pt>
                <c:pt idx="1715">
                  <c:v>8.1999999999999993</c:v>
                </c:pt>
                <c:pt idx="1716">
                  <c:v>8.1999999999999993</c:v>
                </c:pt>
                <c:pt idx="1717">
                  <c:v>8.1999999999999993</c:v>
                </c:pt>
                <c:pt idx="1718">
                  <c:v>8.1999999999999993</c:v>
                </c:pt>
                <c:pt idx="1719">
                  <c:v>8.0990000000000002</c:v>
                </c:pt>
                <c:pt idx="1720">
                  <c:v>8.0990000000000002</c:v>
                </c:pt>
                <c:pt idx="1721">
                  <c:v>8.0990000000000002</c:v>
                </c:pt>
                <c:pt idx="1722">
                  <c:v>8.0990000000000002</c:v>
                </c:pt>
                <c:pt idx="1723">
                  <c:v>8.0990000000000002</c:v>
                </c:pt>
                <c:pt idx="1724">
                  <c:v>8.1630000000000003</c:v>
                </c:pt>
                <c:pt idx="1725">
                  <c:v>8.1630000000000003</c:v>
                </c:pt>
                <c:pt idx="1726">
                  <c:v>8.1630000000000003</c:v>
                </c:pt>
                <c:pt idx="1727">
                  <c:v>8.1630000000000003</c:v>
                </c:pt>
                <c:pt idx="1728">
                  <c:v>8.1630000000000003</c:v>
                </c:pt>
                <c:pt idx="1729">
                  <c:v>8.1630000000000003</c:v>
                </c:pt>
                <c:pt idx="1730">
                  <c:v>8.0280000000000005</c:v>
                </c:pt>
                <c:pt idx="1731">
                  <c:v>8.0280000000000005</c:v>
                </c:pt>
                <c:pt idx="1732">
                  <c:v>8.0280000000000005</c:v>
                </c:pt>
                <c:pt idx="1733">
                  <c:v>8.0280000000000005</c:v>
                </c:pt>
                <c:pt idx="1734">
                  <c:v>8.0280000000000005</c:v>
                </c:pt>
                <c:pt idx="1735">
                  <c:v>7.931</c:v>
                </c:pt>
                <c:pt idx="1736">
                  <c:v>7.931</c:v>
                </c:pt>
                <c:pt idx="1737">
                  <c:v>7.931</c:v>
                </c:pt>
                <c:pt idx="1738">
                  <c:v>7.931</c:v>
                </c:pt>
                <c:pt idx="1739">
                  <c:v>7.931</c:v>
                </c:pt>
                <c:pt idx="1740">
                  <c:v>7.8520000000000003</c:v>
                </c:pt>
                <c:pt idx="1741">
                  <c:v>7.8520000000000003</c:v>
                </c:pt>
                <c:pt idx="1742">
                  <c:v>7.8520000000000003</c:v>
                </c:pt>
                <c:pt idx="1743">
                  <c:v>7.8520000000000003</c:v>
                </c:pt>
                <c:pt idx="1744">
                  <c:v>7.8520000000000003</c:v>
                </c:pt>
                <c:pt idx="1745">
                  <c:v>7.8520000000000003</c:v>
                </c:pt>
                <c:pt idx="1746">
                  <c:v>7.4409999999999998</c:v>
                </c:pt>
                <c:pt idx="1747">
                  <c:v>7.4409999999999998</c:v>
                </c:pt>
                <c:pt idx="1748">
                  <c:v>7.4409999999999998</c:v>
                </c:pt>
                <c:pt idx="1749">
                  <c:v>7.4409999999999998</c:v>
                </c:pt>
                <c:pt idx="1750">
                  <c:v>7.4409999999999998</c:v>
                </c:pt>
                <c:pt idx="1751">
                  <c:v>7.0570000000000004</c:v>
                </c:pt>
                <c:pt idx="1752">
                  <c:v>7.0570000000000004</c:v>
                </c:pt>
                <c:pt idx="1753">
                  <c:v>7.0570000000000004</c:v>
                </c:pt>
                <c:pt idx="1754">
                  <c:v>7.0570000000000004</c:v>
                </c:pt>
                <c:pt idx="1755">
                  <c:v>7.0570000000000004</c:v>
                </c:pt>
                <c:pt idx="1756">
                  <c:v>6.891</c:v>
                </c:pt>
                <c:pt idx="1757">
                  <c:v>6.891</c:v>
                </c:pt>
                <c:pt idx="1758">
                  <c:v>6.891</c:v>
                </c:pt>
                <c:pt idx="1759">
                  <c:v>6.891</c:v>
                </c:pt>
                <c:pt idx="1760">
                  <c:v>6.891</c:v>
                </c:pt>
                <c:pt idx="1761">
                  <c:v>6.5650000000000004</c:v>
                </c:pt>
                <c:pt idx="1762">
                  <c:v>6.5650000000000004</c:v>
                </c:pt>
                <c:pt idx="1763">
                  <c:v>6.5650000000000004</c:v>
                </c:pt>
                <c:pt idx="1764">
                  <c:v>6.5650000000000004</c:v>
                </c:pt>
                <c:pt idx="1765">
                  <c:v>6.17</c:v>
                </c:pt>
                <c:pt idx="1766">
                  <c:v>6.17</c:v>
                </c:pt>
                <c:pt idx="1767">
                  <c:v>9.0139999999999993</c:v>
                </c:pt>
                <c:pt idx="1768">
                  <c:v>9.0139999999999993</c:v>
                </c:pt>
                <c:pt idx="1769">
                  <c:v>9.0139999999999993</c:v>
                </c:pt>
                <c:pt idx="1770">
                  <c:v>9.0139999999999993</c:v>
                </c:pt>
                <c:pt idx="1771">
                  <c:v>8.9629999999999992</c:v>
                </c:pt>
                <c:pt idx="1772">
                  <c:v>8.9629999999999992</c:v>
                </c:pt>
                <c:pt idx="1773">
                  <c:v>8.9629999999999992</c:v>
                </c:pt>
                <c:pt idx="1774">
                  <c:v>8.9629999999999992</c:v>
                </c:pt>
                <c:pt idx="1775">
                  <c:v>8.9629999999999992</c:v>
                </c:pt>
                <c:pt idx="1776">
                  <c:v>9.0169999999999995</c:v>
                </c:pt>
                <c:pt idx="1777">
                  <c:v>9.0169999999999995</c:v>
                </c:pt>
                <c:pt idx="1778">
                  <c:v>9.0169999999999995</c:v>
                </c:pt>
                <c:pt idx="1779">
                  <c:v>9.0169999999999995</c:v>
                </c:pt>
                <c:pt idx="1780">
                  <c:v>9.0169999999999995</c:v>
                </c:pt>
                <c:pt idx="1781">
                  <c:v>9.1370000000000005</c:v>
                </c:pt>
                <c:pt idx="1782">
                  <c:v>9.1370000000000005</c:v>
                </c:pt>
                <c:pt idx="1783">
                  <c:v>9.1370000000000005</c:v>
                </c:pt>
                <c:pt idx="1784">
                  <c:v>9.1370000000000005</c:v>
                </c:pt>
                <c:pt idx="1785">
                  <c:v>9.1370000000000005</c:v>
                </c:pt>
                <c:pt idx="1786">
                  <c:v>9.1370000000000005</c:v>
                </c:pt>
                <c:pt idx="1787">
                  <c:v>8.8179999999999996</c:v>
                </c:pt>
                <c:pt idx="1788">
                  <c:v>8.8179999999999996</c:v>
                </c:pt>
                <c:pt idx="1789">
                  <c:v>8.8179999999999996</c:v>
                </c:pt>
                <c:pt idx="1790">
                  <c:v>8.8179999999999996</c:v>
                </c:pt>
                <c:pt idx="1791">
                  <c:v>8.8179999999999996</c:v>
                </c:pt>
                <c:pt idx="1792">
                  <c:v>8.5950000000000006</c:v>
                </c:pt>
                <c:pt idx="1793">
                  <c:v>8.5950000000000006</c:v>
                </c:pt>
                <c:pt idx="1794">
                  <c:v>8.5950000000000006</c:v>
                </c:pt>
                <c:pt idx="1795">
                  <c:v>8.5950000000000006</c:v>
                </c:pt>
                <c:pt idx="1796">
                  <c:v>8.5950000000000006</c:v>
                </c:pt>
                <c:pt idx="1797">
                  <c:v>8.6219999999999999</c:v>
                </c:pt>
                <c:pt idx="1798">
                  <c:v>8.6219999999999999</c:v>
                </c:pt>
                <c:pt idx="1799">
                  <c:v>8.6219999999999999</c:v>
                </c:pt>
                <c:pt idx="1800">
                  <c:v>8.6219999999999999</c:v>
                </c:pt>
                <c:pt idx="1801">
                  <c:v>8.6219999999999999</c:v>
                </c:pt>
                <c:pt idx="1802">
                  <c:v>8.6219999999999999</c:v>
                </c:pt>
                <c:pt idx="1803">
                  <c:v>8.5129999999999999</c:v>
                </c:pt>
                <c:pt idx="1804">
                  <c:v>8.5129999999999999</c:v>
                </c:pt>
                <c:pt idx="1805">
                  <c:v>8.5129999999999999</c:v>
                </c:pt>
                <c:pt idx="1806">
                  <c:v>8.5129999999999999</c:v>
                </c:pt>
                <c:pt idx="1807">
                  <c:v>8.5129999999999999</c:v>
                </c:pt>
                <c:pt idx="1808">
                  <c:v>8.2560000000000002</c:v>
                </c:pt>
                <c:pt idx="1809">
                  <c:v>8.2560000000000002</c:v>
                </c:pt>
                <c:pt idx="1810">
                  <c:v>8.2560000000000002</c:v>
                </c:pt>
                <c:pt idx="1811">
                  <c:v>8.2560000000000002</c:v>
                </c:pt>
                <c:pt idx="1812">
                  <c:v>8.2560000000000002</c:v>
                </c:pt>
                <c:pt idx="1813">
                  <c:v>8.09</c:v>
                </c:pt>
                <c:pt idx="1814">
                  <c:v>8.09</c:v>
                </c:pt>
                <c:pt idx="1815">
                  <c:v>8.09</c:v>
                </c:pt>
                <c:pt idx="1816">
                  <c:v>8.09</c:v>
                </c:pt>
                <c:pt idx="1817">
                  <c:v>8.09</c:v>
                </c:pt>
                <c:pt idx="1818">
                  <c:v>7.8719999999999999</c:v>
                </c:pt>
                <c:pt idx="1819">
                  <c:v>7.8719999999999999</c:v>
                </c:pt>
                <c:pt idx="1820">
                  <c:v>7.8719999999999999</c:v>
                </c:pt>
                <c:pt idx="1821">
                  <c:v>7.8719999999999999</c:v>
                </c:pt>
                <c:pt idx="1822">
                  <c:v>7.5570000000000004</c:v>
                </c:pt>
                <c:pt idx="1823">
                  <c:v>7.5570000000000004</c:v>
                </c:pt>
                <c:pt idx="1824">
                  <c:v>10.115</c:v>
                </c:pt>
                <c:pt idx="1825">
                  <c:v>10.115</c:v>
                </c:pt>
                <c:pt idx="1826">
                  <c:v>10.115</c:v>
                </c:pt>
                <c:pt idx="1827">
                  <c:v>10.115</c:v>
                </c:pt>
                <c:pt idx="1828">
                  <c:v>9.8490000000000002</c:v>
                </c:pt>
                <c:pt idx="1829">
                  <c:v>9.8490000000000002</c:v>
                </c:pt>
                <c:pt idx="1830">
                  <c:v>9.8490000000000002</c:v>
                </c:pt>
                <c:pt idx="1831">
                  <c:v>9.8490000000000002</c:v>
                </c:pt>
                <c:pt idx="1832">
                  <c:v>9.8490000000000002</c:v>
                </c:pt>
                <c:pt idx="1833">
                  <c:v>9.4949999999999992</c:v>
                </c:pt>
                <c:pt idx="1834">
                  <c:v>9.4949999999999992</c:v>
                </c:pt>
                <c:pt idx="1835">
                  <c:v>9.4949999999999992</c:v>
                </c:pt>
                <c:pt idx="1836">
                  <c:v>9.4949999999999992</c:v>
                </c:pt>
                <c:pt idx="1837">
                  <c:v>9.4949999999999992</c:v>
                </c:pt>
                <c:pt idx="1838">
                  <c:v>9.2650000000000006</c:v>
                </c:pt>
                <c:pt idx="1839">
                  <c:v>9.2650000000000006</c:v>
                </c:pt>
                <c:pt idx="1840">
                  <c:v>9.2650000000000006</c:v>
                </c:pt>
                <c:pt idx="1841">
                  <c:v>9.2650000000000006</c:v>
                </c:pt>
                <c:pt idx="1842">
                  <c:v>9.2650000000000006</c:v>
                </c:pt>
                <c:pt idx="1843">
                  <c:v>9.2650000000000006</c:v>
                </c:pt>
                <c:pt idx="1844">
                  <c:v>8.9510000000000005</c:v>
                </c:pt>
                <c:pt idx="1845">
                  <c:v>8.9510000000000005</c:v>
                </c:pt>
                <c:pt idx="1846">
                  <c:v>8.9510000000000005</c:v>
                </c:pt>
                <c:pt idx="1847">
                  <c:v>8.9510000000000005</c:v>
                </c:pt>
                <c:pt idx="1848">
                  <c:v>8.9510000000000005</c:v>
                </c:pt>
                <c:pt idx="1849">
                  <c:v>8.6869999999999994</c:v>
                </c:pt>
                <c:pt idx="1850">
                  <c:v>8.6869999999999994</c:v>
                </c:pt>
                <c:pt idx="1851">
                  <c:v>8.6869999999999994</c:v>
                </c:pt>
                <c:pt idx="1852">
                  <c:v>8.6869999999999994</c:v>
                </c:pt>
                <c:pt idx="1853">
                  <c:v>8.6869999999999994</c:v>
                </c:pt>
                <c:pt idx="1854">
                  <c:v>8.4420000000000002</c:v>
                </c:pt>
                <c:pt idx="1855">
                  <c:v>8.4420000000000002</c:v>
                </c:pt>
                <c:pt idx="1856">
                  <c:v>8.4420000000000002</c:v>
                </c:pt>
                <c:pt idx="1857">
                  <c:v>8.4420000000000002</c:v>
                </c:pt>
                <c:pt idx="1858">
                  <c:v>8.4420000000000002</c:v>
                </c:pt>
                <c:pt idx="1859">
                  <c:v>8.4420000000000002</c:v>
                </c:pt>
                <c:pt idx="1860">
                  <c:v>8.01</c:v>
                </c:pt>
                <c:pt idx="1861">
                  <c:v>8.01</c:v>
                </c:pt>
                <c:pt idx="1862">
                  <c:v>8.01</c:v>
                </c:pt>
                <c:pt idx="1863">
                  <c:v>8.01</c:v>
                </c:pt>
                <c:pt idx="1864">
                  <c:v>8.01</c:v>
                </c:pt>
                <c:pt idx="1865">
                  <c:v>7.6029999999999998</c:v>
                </c:pt>
                <c:pt idx="1866">
                  <c:v>7.6029999999999998</c:v>
                </c:pt>
                <c:pt idx="1867">
                  <c:v>7.6029999999999998</c:v>
                </c:pt>
                <c:pt idx="1868">
                  <c:v>7.6029999999999998</c:v>
                </c:pt>
                <c:pt idx="1869">
                  <c:v>7.6029999999999998</c:v>
                </c:pt>
                <c:pt idx="1870">
                  <c:v>7.3959999999999999</c:v>
                </c:pt>
                <c:pt idx="1871">
                  <c:v>7.3959999999999999</c:v>
                </c:pt>
                <c:pt idx="1872">
                  <c:v>7.3959999999999999</c:v>
                </c:pt>
                <c:pt idx="1873">
                  <c:v>7.3959999999999999</c:v>
                </c:pt>
                <c:pt idx="1874">
                  <c:v>7.3959999999999999</c:v>
                </c:pt>
                <c:pt idx="1875">
                  <c:v>7.1470000000000002</c:v>
                </c:pt>
                <c:pt idx="1876">
                  <c:v>7.1470000000000002</c:v>
                </c:pt>
                <c:pt idx="1877">
                  <c:v>7.1470000000000002</c:v>
                </c:pt>
                <c:pt idx="1878">
                  <c:v>7.1470000000000002</c:v>
                </c:pt>
                <c:pt idx="1879">
                  <c:v>6.8949999999999996</c:v>
                </c:pt>
                <c:pt idx="1880">
                  <c:v>6.8949999999999996</c:v>
                </c:pt>
                <c:pt idx="1881">
                  <c:v>9.5210000000000008</c:v>
                </c:pt>
                <c:pt idx="1882">
                  <c:v>9.5210000000000008</c:v>
                </c:pt>
                <c:pt idx="1883">
                  <c:v>9.5210000000000008</c:v>
                </c:pt>
                <c:pt idx="1884">
                  <c:v>9.5210000000000008</c:v>
                </c:pt>
                <c:pt idx="1885">
                  <c:v>9.593</c:v>
                </c:pt>
                <c:pt idx="1886">
                  <c:v>9.593</c:v>
                </c:pt>
                <c:pt idx="1887">
                  <c:v>9.593</c:v>
                </c:pt>
                <c:pt idx="1888">
                  <c:v>9.593</c:v>
                </c:pt>
                <c:pt idx="1889">
                  <c:v>9.593</c:v>
                </c:pt>
                <c:pt idx="1890">
                  <c:v>9.8160000000000007</c:v>
                </c:pt>
                <c:pt idx="1891">
                  <c:v>9.8160000000000007</c:v>
                </c:pt>
                <c:pt idx="1892">
                  <c:v>9.8160000000000007</c:v>
                </c:pt>
                <c:pt idx="1893">
                  <c:v>9.8160000000000007</c:v>
                </c:pt>
                <c:pt idx="1894">
                  <c:v>9.8160000000000007</c:v>
                </c:pt>
                <c:pt idx="1895">
                  <c:v>10.210000000000001</c:v>
                </c:pt>
                <c:pt idx="1896">
                  <c:v>10.210000000000001</c:v>
                </c:pt>
                <c:pt idx="1897">
                  <c:v>10.210000000000001</c:v>
                </c:pt>
                <c:pt idx="1898">
                  <c:v>10.210000000000001</c:v>
                </c:pt>
                <c:pt idx="1899">
                  <c:v>10.210000000000001</c:v>
                </c:pt>
                <c:pt idx="1900">
                  <c:v>10.210000000000001</c:v>
                </c:pt>
                <c:pt idx="1901">
                  <c:v>10.398</c:v>
                </c:pt>
                <c:pt idx="1902">
                  <c:v>10.398</c:v>
                </c:pt>
                <c:pt idx="1903">
                  <c:v>10.398</c:v>
                </c:pt>
                <c:pt idx="1904">
                  <c:v>10.398</c:v>
                </c:pt>
                <c:pt idx="1905">
                  <c:v>10.398</c:v>
                </c:pt>
                <c:pt idx="1906">
                  <c:v>10.581</c:v>
                </c:pt>
                <c:pt idx="1907">
                  <c:v>10.581</c:v>
                </c:pt>
                <c:pt idx="1908">
                  <c:v>10.581</c:v>
                </c:pt>
                <c:pt idx="1909">
                  <c:v>10.581</c:v>
                </c:pt>
                <c:pt idx="1910">
                  <c:v>10.581</c:v>
                </c:pt>
                <c:pt idx="1911">
                  <c:v>10.641</c:v>
                </c:pt>
                <c:pt idx="1912">
                  <c:v>10.641</c:v>
                </c:pt>
                <c:pt idx="1913">
                  <c:v>10.641</c:v>
                </c:pt>
                <c:pt idx="1914">
                  <c:v>10.641</c:v>
                </c:pt>
                <c:pt idx="1915">
                  <c:v>10.641</c:v>
                </c:pt>
                <c:pt idx="1916">
                  <c:v>10.641</c:v>
                </c:pt>
                <c:pt idx="1917">
                  <c:v>10.148</c:v>
                </c:pt>
                <c:pt idx="1918">
                  <c:v>10.148</c:v>
                </c:pt>
                <c:pt idx="1919">
                  <c:v>10.148</c:v>
                </c:pt>
                <c:pt idx="1920">
                  <c:v>10.148</c:v>
                </c:pt>
                <c:pt idx="1921">
                  <c:v>10.148</c:v>
                </c:pt>
                <c:pt idx="1922">
                  <c:v>9.6530000000000005</c:v>
                </c:pt>
                <c:pt idx="1923">
                  <c:v>9.6530000000000005</c:v>
                </c:pt>
                <c:pt idx="1924">
                  <c:v>9.6530000000000005</c:v>
                </c:pt>
                <c:pt idx="1925">
                  <c:v>9.6530000000000005</c:v>
                </c:pt>
                <c:pt idx="1926">
                  <c:v>9.6530000000000005</c:v>
                </c:pt>
                <c:pt idx="1927">
                  <c:v>9.5749999999999993</c:v>
                </c:pt>
                <c:pt idx="1928">
                  <c:v>9.5749999999999993</c:v>
                </c:pt>
                <c:pt idx="1929">
                  <c:v>9.5749999999999993</c:v>
                </c:pt>
                <c:pt idx="1930">
                  <c:v>9.5749999999999993</c:v>
                </c:pt>
                <c:pt idx="1931">
                  <c:v>9.5749999999999993</c:v>
                </c:pt>
                <c:pt idx="1932">
                  <c:v>9.2850000000000001</c:v>
                </c:pt>
                <c:pt idx="1933">
                  <c:v>9.2850000000000001</c:v>
                </c:pt>
                <c:pt idx="1934">
                  <c:v>9.2850000000000001</c:v>
                </c:pt>
                <c:pt idx="1935">
                  <c:v>9.2850000000000001</c:v>
                </c:pt>
                <c:pt idx="1936">
                  <c:v>8.8390000000000004</c:v>
                </c:pt>
                <c:pt idx="1937">
                  <c:v>8.8390000000000004</c:v>
                </c:pt>
                <c:pt idx="1938">
                  <c:v>9.2620000000000005</c:v>
                </c:pt>
                <c:pt idx="1939">
                  <c:v>9.2620000000000005</c:v>
                </c:pt>
                <c:pt idx="1940">
                  <c:v>9.2620000000000005</c:v>
                </c:pt>
                <c:pt idx="1941">
                  <c:v>9.2620000000000005</c:v>
                </c:pt>
                <c:pt idx="1942">
                  <c:v>9.0510000000000002</c:v>
                </c:pt>
                <c:pt idx="1943">
                  <c:v>9.0510000000000002</c:v>
                </c:pt>
                <c:pt idx="1944">
                  <c:v>9.0510000000000002</c:v>
                </c:pt>
                <c:pt idx="1945">
                  <c:v>9.0510000000000002</c:v>
                </c:pt>
                <c:pt idx="1946">
                  <c:v>9.0510000000000002</c:v>
                </c:pt>
                <c:pt idx="1947">
                  <c:v>8.8610000000000007</c:v>
                </c:pt>
                <c:pt idx="1948">
                  <c:v>8.8610000000000007</c:v>
                </c:pt>
                <c:pt idx="1949">
                  <c:v>8.8610000000000007</c:v>
                </c:pt>
                <c:pt idx="1950">
                  <c:v>8.8610000000000007</c:v>
                </c:pt>
                <c:pt idx="1951">
                  <c:v>8.8610000000000007</c:v>
                </c:pt>
                <c:pt idx="1952">
                  <c:v>8.7629999999999999</c:v>
                </c:pt>
                <c:pt idx="1953">
                  <c:v>8.7629999999999999</c:v>
                </c:pt>
                <c:pt idx="1954">
                  <c:v>8.7629999999999999</c:v>
                </c:pt>
                <c:pt idx="1955">
                  <c:v>8.7629999999999999</c:v>
                </c:pt>
                <c:pt idx="1956">
                  <c:v>8.7629999999999999</c:v>
                </c:pt>
                <c:pt idx="1957">
                  <c:v>8.7629999999999999</c:v>
                </c:pt>
                <c:pt idx="1958">
                  <c:v>8.5489999999999995</c:v>
                </c:pt>
                <c:pt idx="1959">
                  <c:v>8.5489999999999995</c:v>
                </c:pt>
                <c:pt idx="1960">
                  <c:v>8.5489999999999995</c:v>
                </c:pt>
                <c:pt idx="1961">
                  <c:v>8.5489999999999995</c:v>
                </c:pt>
                <c:pt idx="1962">
                  <c:v>8.5489999999999995</c:v>
                </c:pt>
                <c:pt idx="1963">
                  <c:v>8.5120000000000005</c:v>
                </c:pt>
                <c:pt idx="1964">
                  <c:v>8.5120000000000005</c:v>
                </c:pt>
                <c:pt idx="1965">
                  <c:v>8.5120000000000005</c:v>
                </c:pt>
                <c:pt idx="1966">
                  <c:v>8.5120000000000005</c:v>
                </c:pt>
                <c:pt idx="1967">
                  <c:v>8.5120000000000005</c:v>
                </c:pt>
                <c:pt idx="1968">
                  <c:v>8.6839999999999993</c:v>
                </c:pt>
                <c:pt idx="1969">
                  <c:v>8.6839999999999993</c:v>
                </c:pt>
                <c:pt idx="1970">
                  <c:v>8.6839999999999993</c:v>
                </c:pt>
                <c:pt idx="1971">
                  <c:v>8.6839999999999993</c:v>
                </c:pt>
                <c:pt idx="1972">
                  <c:v>8.6839999999999993</c:v>
                </c:pt>
                <c:pt idx="1973">
                  <c:v>8.6839999999999993</c:v>
                </c:pt>
                <c:pt idx="1974">
                  <c:v>8.7449999999999992</c:v>
                </c:pt>
                <c:pt idx="1975">
                  <c:v>8.7449999999999992</c:v>
                </c:pt>
                <c:pt idx="1976">
                  <c:v>8.7449999999999992</c:v>
                </c:pt>
                <c:pt idx="1977">
                  <c:v>8.7449999999999992</c:v>
                </c:pt>
                <c:pt idx="1978">
                  <c:v>8.7449999999999992</c:v>
                </c:pt>
                <c:pt idx="1979">
                  <c:v>8.7439999999999998</c:v>
                </c:pt>
                <c:pt idx="1980">
                  <c:v>8.7439999999999998</c:v>
                </c:pt>
                <c:pt idx="1981">
                  <c:v>8.7439999999999998</c:v>
                </c:pt>
                <c:pt idx="1982">
                  <c:v>8.7439999999999998</c:v>
                </c:pt>
                <c:pt idx="1983">
                  <c:v>8.7439999999999998</c:v>
                </c:pt>
                <c:pt idx="1984">
                  <c:v>8.8759999999999994</c:v>
                </c:pt>
                <c:pt idx="1985">
                  <c:v>8.8759999999999994</c:v>
                </c:pt>
                <c:pt idx="1986">
                  <c:v>8.8759999999999994</c:v>
                </c:pt>
                <c:pt idx="1987">
                  <c:v>8.8759999999999994</c:v>
                </c:pt>
                <c:pt idx="1988">
                  <c:v>8.8759999999999994</c:v>
                </c:pt>
                <c:pt idx="1989">
                  <c:v>8.8390000000000004</c:v>
                </c:pt>
                <c:pt idx="1990">
                  <c:v>8.8390000000000004</c:v>
                </c:pt>
                <c:pt idx="1991">
                  <c:v>8.8390000000000004</c:v>
                </c:pt>
                <c:pt idx="1992">
                  <c:v>8.8390000000000004</c:v>
                </c:pt>
                <c:pt idx="1993">
                  <c:v>8.6649999999999991</c:v>
                </c:pt>
                <c:pt idx="1994">
                  <c:v>8.6649999999999991</c:v>
                </c:pt>
                <c:pt idx="1995">
                  <c:v>8.5540000000000003</c:v>
                </c:pt>
                <c:pt idx="1996">
                  <c:v>8.5540000000000003</c:v>
                </c:pt>
                <c:pt idx="1997">
                  <c:v>8.5540000000000003</c:v>
                </c:pt>
                <c:pt idx="1998">
                  <c:v>8.5540000000000003</c:v>
                </c:pt>
                <c:pt idx="1999">
                  <c:v>8.4640000000000004</c:v>
                </c:pt>
                <c:pt idx="2000">
                  <c:v>8.4640000000000004</c:v>
                </c:pt>
                <c:pt idx="2001">
                  <c:v>8.4640000000000004</c:v>
                </c:pt>
                <c:pt idx="2002">
                  <c:v>8.4640000000000004</c:v>
                </c:pt>
                <c:pt idx="2003">
                  <c:v>8.4640000000000004</c:v>
                </c:pt>
                <c:pt idx="2004">
                  <c:v>8.36</c:v>
                </c:pt>
                <c:pt idx="2005">
                  <c:v>8.36</c:v>
                </c:pt>
                <c:pt idx="2006">
                  <c:v>8.36</c:v>
                </c:pt>
                <c:pt idx="2007">
                  <c:v>8.36</c:v>
                </c:pt>
                <c:pt idx="2008">
                  <c:v>8.36</c:v>
                </c:pt>
                <c:pt idx="2009">
                  <c:v>8.4760000000000009</c:v>
                </c:pt>
                <c:pt idx="2010">
                  <c:v>8.4760000000000009</c:v>
                </c:pt>
                <c:pt idx="2011">
                  <c:v>8.4760000000000009</c:v>
                </c:pt>
                <c:pt idx="2012">
                  <c:v>8.4760000000000009</c:v>
                </c:pt>
                <c:pt idx="2013">
                  <c:v>8.4760000000000009</c:v>
                </c:pt>
                <c:pt idx="2014">
                  <c:v>8.4760000000000009</c:v>
                </c:pt>
                <c:pt idx="2015">
                  <c:v>8.3949999999999996</c:v>
                </c:pt>
                <c:pt idx="2016">
                  <c:v>8.3949999999999996</c:v>
                </c:pt>
                <c:pt idx="2017">
                  <c:v>8.3949999999999996</c:v>
                </c:pt>
                <c:pt idx="2018">
                  <c:v>8.3949999999999996</c:v>
                </c:pt>
                <c:pt idx="2019">
                  <c:v>8.3949999999999996</c:v>
                </c:pt>
                <c:pt idx="2020">
                  <c:v>8.3000000000000007</c:v>
                </c:pt>
                <c:pt idx="2021">
                  <c:v>8.3000000000000007</c:v>
                </c:pt>
                <c:pt idx="2022">
                  <c:v>8.3000000000000007</c:v>
                </c:pt>
                <c:pt idx="2023">
                  <c:v>8.3000000000000007</c:v>
                </c:pt>
                <c:pt idx="2024">
                  <c:v>8.3000000000000007</c:v>
                </c:pt>
                <c:pt idx="2025">
                  <c:v>8.1769999999999996</c:v>
                </c:pt>
                <c:pt idx="2026">
                  <c:v>8.1769999999999996</c:v>
                </c:pt>
                <c:pt idx="2027">
                  <c:v>8.1769999999999996</c:v>
                </c:pt>
                <c:pt idx="2028">
                  <c:v>8.1769999999999996</c:v>
                </c:pt>
                <c:pt idx="2029">
                  <c:v>8.1769999999999996</c:v>
                </c:pt>
                <c:pt idx="2030">
                  <c:v>8.1769999999999996</c:v>
                </c:pt>
                <c:pt idx="2031">
                  <c:v>7.7160000000000002</c:v>
                </c:pt>
                <c:pt idx="2032">
                  <c:v>7.7160000000000002</c:v>
                </c:pt>
                <c:pt idx="2033">
                  <c:v>7.7160000000000002</c:v>
                </c:pt>
                <c:pt idx="2034">
                  <c:v>7.7160000000000002</c:v>
                </c:pt>
                <c:pt idx="2035">
                  <c:v>7.7160000000000002</c:v>
                </c:pt>
                <c:pt idx="2036">
                  <c:v>7.2439999999999998</c:v>
                </c:pt>
                <c:pt idx="2037">
                  <c:v>7.2439999999999998</c:v>
                </c:pt>
                <c:pt idx="2038">
                  <c:v>7.2439999999999998</c:v>
                </c:pt>
                <c:pt idx="2039">
                  <c:v>7.2439999999999998</c:v>
                </c:pt>
                <c:pt idx="2040">
                  <c:v>7.2439999999999998</c:v>
                </c:pt>
                <c:pt idx="2041">
                  <c:v>6.9889999999999999</c:v>
                </c:pt>
                <c:pt idx="2042">
                  <c:v>6.9889999999999999</c:v>
                </c:pt>
                <c:pt idx="2043">
                  <c:v>6.9889999999999999</c:v>
                </c:pt>
                <c:pt idx="2044">
                  <c:v>6.9889999999999999</c:v>
                </c:pt>
                <c:pt idx="2045">
                  <c:v>6.9889999999999999</c:v>
                </c:pt>
                <c:pt idx="2046">
                  <c:v>6.6230000000000002</c:v>
                </c:pt>
                <c:pt idx="2047">
                  <c:v>6.6230000000000002</c:v>
                </c:pt>
                <c:pt idx="2048">
                  <c:v>6.6230000000000002</c:v>
                </c:pt>
                <c:pt idx="2049">
                  <c:v>6.6230000000000002</c:v>
                </c:pt>
                <c:pt idx="2050">
                  <c:v>6.2279999999999998</c:v>
                </c:pt>
                <c:pt idx="2051">
                  <c:v>6.2279999999999998</c:v>
                </c:pt>
                <c:pt idx="2052">
                  <c:v>8.5540000000000003</c:v>
                </c:pt>
                <c:pt idx="2053">
                  <c:v>8.5540000000000003</c:v>
                </c:pt>
                <c:pt idx="2054">
                  <c:v>8.5540000000000003</c:v>
                </c:pt>
                <c:pt idx="2055">
                  <c:v>8.5540000000000003</c:v>
                </c:pt>
                <c:pt idx="2056">
                  <c:v>8.4640000000000004</c:v>
                </c:pt>
                <c:pt idx="2057">
                  <c:v>8.4640000000000004</c:v>
                </c:pt>
                <c:pt idx="2058">
                  <c:v>8.4640000000000004</c:v>
                </c:pt>
                <c:pt idx="2059">
                  <c:v>8.4640000000000004</c:v>
                </c:pt>
                <c:pt idx="2060">
                  <c:v>8.4640000000000004</c:v>
                </c:pt>
                <c:pt idx="2061">
                  <c:v>8.36</c:v>
                </c:pt>
                <c:pt idx="2062">
                  <c:v>8.36</c:v>
                </c:pt>
                <c:pt idx="2063">
                  <c:v>8.36</c:v>
                </c:pt>
                <c:pt idx="2064">
                  <c:v>8.36</c:v>
                </c:pt>
                <c:pt idx="2065">
                  <c:v>8.36</c:v>
                </c:pt>
                <c:pt idx="2066">
                  <c:v>8.4760000000000009</c:v>
                </c:pt>
                <c:pt idx="2067">
                  <c:v>8.4760000000000009</c:v>
                </c:pt>
                <c:pt idx="2068">
                  <c:v>8.4760000000000009</c:v>
                </c:pt>
                <c:pt idx="2069">
                  <c:v>8.4760000000000009</c:v>
                </c:pt>
                <c:pt idx="2070">
                  <c:v>8.4760000000000009</c:v>
                </c:pt>
                <c:pt idx="2071">
                  <c:v>8.4760000000000009</c:v>
                </c:pt>
                <c:pt idx="2072">
                  <c:v>8.3949999999999996</c:v>
                </c:pt>
                <c:pt idx="2073">
                  <c:v>8.3949999999999996</c:v>
                </c:pt>
                <c:pt idx="2074">
                  <c:v>8.3949999999999996</c:v>
                </c:pt>
                <c:pt idx="2075">
                  <c:v>8.3949999999999996</c:v>
                </c:pt>
                <c:pt idx="2076">
                  <c:v>8.3949999999999996</c:v>
                </c:pt>
                <c:pt idx="2077">
                  <c:v>8.3000000000000007</c:v>
                </c:pt>
                <c:pt idx="2078">
                  <c:v>8.3000000000000007</c:v>
                </c:pt>
                <c:pt idx="2079">
                  <c:v>8.3000000000000007</c:v>
                </c:pt>
                <c:pt idx="2080">
                  <c:v>8.3000000000000007</c:v>
                </c:pt>
                <c:pt idx="2081">
                  <c:v>8.3000000000000007</c:v>
                </c:pt>
                <c:pt idx="2082">
                  <c:v>8.1769999999999996</c:v>
                </c:pt>
                <c:pt idx="2083">
                  <c:v>8.1769999999999996</c:v>
                </c:pt>
                <c:pt idx="2084">
                  <c:v>8.1769999999999996</c:v>
                </c:pt>
                <c:pt idx="2085">
                  <c:v>8.1769999999999996</c:v>
                </c:pt>
                <c:pt idx="2086">
                  <c:v>8.1769999999999996</c:v>
                </c:pt>
                <c:pt idx="2087">
                  <c:v>8.1769999999999996</c:v>
                </c:pt>
                <c:pt idx="2088">
                  <c:v>7.7160000000000002</c:v>
                </c:pt>
                <c:pt idx="2089">
                  <c:v>7.7160000000000002</c:v>
                </c:pt>
                <c:pt idx="2090">
                  <c:v>7.7160000000000002</c:v>
                </c:pt>
                <c:pt idx="2091">
                  <c:v>7.7160000000000002</c:v>
                </c:pt>
                <c:pt idx="2092">
                  <c:v>7.7160000000000002</c:v>
                </c:pt>
                <c:pt idx="2093">
                  <c:v>7.2439999999999998</c:v>
                </c:pt>
                <c:pt idx="2094">
                  <c:v>7.2439999999999998</c:v>
                </c:pt>
                <c:pt idx="2095">
                  <c:v>7.2439999999999998</c:v>
                </c:pt>
                <c:pt idx="2096">
                  <c:v>7.2439999999999998</c:v>
                </c:pt>
                <c:pt idx="2097">
                  <c:v>7.2439999999999998</c:v>
                </c:pt>
                <c:pt idx="2098">
                  <c:v>6.9889999999999999</c:v>
                </c:pt>
                <c:pt idx="2099">
                  <c:v>6.9889999999999999</c:v>
                </c:pt>
                <c:pt idx="2100">
                  <c:v>6.9889999999999999</c:v>
                </c:pt>
                <c:pt idx="2101">
                  <c:v>6.9889999999999999</c:v>
                </c:pt>
                <c:pt idx="2102">
                  <c:v>6.9889999999999999</c:v>
                </c:pt>
                <c:pt idx="2103">
                  <c:v>6.6230000000000002</c:v>
                </c:pt>
                <c:pt idx="2104">
                  <c:v>6.6230000000000002</c:v>
                </c:pt>
                <c:pt idx="2105">
                  <c:v>6.6230000000000002</c:v>
                </c:pt>
                <c:pt idx="2106">
                  <c:v>6.6230000000000002</c:v>
                </c:pt>
                <c:pt idx="2107">
                  <c:v>6.2279999999999998</c:v>
                </c:pt>
                <c:pt idx="2108">
                  <c:v>6.2279999999999998</c:v>
                </c:pt>
                <c:pt idx="2109">
                  <c:v>13.975</c:v>
                </c:pt>
                <c:pt idx="2110">
                  <c:v>13.975</c:v>
                </c:pt>
                <c:pt idx="2111">
                  <c:v>13.975</c:v>
                </c:pt>
                <c:pt idx="2112">
                  <c:v>13.975</c:v>
                </c:pt>
                <c:pt idx="2113">
                  <c:v>14.099</c:v>
                </c:pt>
                <c:pt idx="2114">
                  <c:v>14.099</c:v>
                </c:pt>
                <c:pt idx="2115">
                  <c:v>14.099</c:v>
                </c:pt>
                <c:pt idx="2116">
                  <c:v>14.099</c:v>
                </c:pt>
                <c:pt idx="2117">
                  <c:v>14.099</c:v>
                </c:pt>
                <c:pt idx="2118">
                  <c:v>14.18</c:v>
                </c:pt>
                <c:pt idx="2119">
                  <c:v>14.18</c:v>
                </c:pt>
                <c:pt idx="2120">
                  <c:v>14.18</c:v>
                </c:pt>
                <c:pt idx="2121">
                  <c:v>14.18</c:v>
                </c:pt>
                <c:pt idx="2122">
                  <c:v>14.18</c:v>
                </c:pt>
                <c:pt idx="2123">
                  <c:v>14.313000000000001</c:v>
                </c:pt>
                <c:pt idx="2124">
                  <c:v>14.313000000000001</c:v>
                </c:pt>
                <c:pt idx="2125">
                  <c:v>14.313000000000001</c:v>
                </c:pt>
                <c:pt idx="2126">
                  <c:v>14.313000000000001</c:v>
                </c:pt>
                <c:pt idx="2127">
                  <c:v>14.313000000000001</c:v>
                </c:pt>
                <c:pt idx="2128">
                  <c:v>14.313000000000001</c:v>
                </c:pt>
                <c:pt idx="2129">
                  <c:v>14.021000000000001</c:v>
                </c:pt>
                <c:pt idx="2130">
                  <c:v>14.021000000000001</c:v>
                </c:pt>
                <c:pt idx="2131">
                  <c:v>14.021000000000001</c:v>
                </c:pt>
                <c:pt idx="2132">
                  <c:v>14.021000000000001</c:v>
                </c:pt>
                <c:pt idx="2133">
                  <c:v>14.021000000000001</c:v>
                </c:pt>
                <c:pt idx="2134">
                  <c:v>13.736000000000001</c:v>
                </c:pt>
                <c:pt idx="2135">
                  <c:v>13.736000000000001</c:v>
                </c:pt>
                <c:pt idx="2136">
                  <c:v>13.736000000000001</c:v>
                </c:pt>
                <c:pt idx="2137">
                  <c:v>13.736000000000001</c:v>
                </c:pt>
                <c:pt idx="2138">
                  <c:v>13.736000000000001</c:v>
                </c:pt>
                <c:pt idx="2139">
                  <c:v>13.503</c:v>
                </c:pt>
                <c:pt idx="2140">
                  <c:v>13.503</c:v>
                </c:pt>
                <c:pt idx="2141">
                  <c:v>13.503</c:v>
                </c:pt>
                <c:pt idx="2142">
                  <c:v>13.503</c:v>
                </c:pt>
                <c:pt idx="2143">
                  <c:v>13.503</c:v>
                </c:pt>
                <c:pt idx="2144">
                  <c:v>13.503</c:v>
                </c:pt>
                <c:pt idx="2145">
                  <c:v>12.89</c:v>
                </c:pt>
                <c:pt idx="2146">
                  <c:v>12.89</c:v>
                </c:pt>
                <c:pt idx="2147">
                  <c:v>12.89</c:v>
                </c:pt>
                <c:pt idx="2148">
                  <c:v>12.89</c:v>
                </c:pt>
                <c:pt idx="2149">
                  <c:v>12.89</c:v>
                </c:pt>
                <c:pt idx="2150">
                  <c:v>12.186999999999999</c:v>
                </c:pt>
                <c:pt idx="2151">
                  <c:v>12.186999999999999</c:v>
                </c:pt>
                <c:pt idx="2152">
                  <c:v>12.186999999999999</c:v>
                </c:pt>
                <c:pt idx="2153">
                  <c:v>12.186999999999999</c:v>
                </c:pt>
                <c:pt idx="2154">
                  <c:v>12.186999999999999</c:v>
                </c:pt>
                <c:pt idx="2155">
                  <c:v>11.627000000000001</c:v>
                </c:pt>
                <c:pt idx="2156">
                  <c:v>11.627000000000001</c:v>
                </c:pt>
                <c:pt idx="2157">
                  <c:v>11.627000000000001</c:v>
                </c:pt>
                <c:pt idx="2158">
                  <c:v>11.627000000000001</c:v>
                </c:pt>
                <c:pt idx="2159">
                  <c:v>11.627000000000001</c:v>
                </c:pt>
                <c:pt idx="2160">
                  <c:v>10.926</c:v>
                </c:pt>
                <c:pt idx="2161">
                  <c:v>10.926</c:v>
                </c:pt>
                <c:pt idx="2162">
                  <c:v>10.926</c:v>
                </c:pt>
                <c:pt idx="2163">
                  <c:v>10.926</c:v>
                </c:pt>
                <c:pt idx="2164">
                  <c:v>10.199</c:v>
                </c:pt>
                <c:pt idx="2165">
                  <c:v>10.199</c:v>
                </c:pt>
                <c:pt idx="2166">
                  <c:v>8.5540000000000003</c:v>
                </c:pt>
                <c:pt idx="2167">
                  <c:v>8.5540000000000003</c:v>
                </c:pt>
                <c:pt idx="2168">
                  <c:v>8.5540000000000003</c:v>
                </c:pt>
                <c:pt idx="2169">
                  <c:v>8.5540000000000003</c:v>
                </c:pt>
                <c:pt idx="2170">
                  <c:v>8.4640000000000004</c:v>
                </c:pt>
                <c:pt idx="2171">
                  <c:v>8.4640000000000004</c:v>
                </c:pt>
                <c:pt idx="2172">
                  <c:v>8.4640000000000004</c:v>
                </c:pt>
                <c:pt idx="2173">
                  <c:v>8.4640000000000004</c:v>
                </c:pt>
                <c:pt idx="2174">
                  <c:v>8.4640000000000004</c:v>
                </c:pt>
                <c:pt idx="2175">
                  <c:v>8.36</c:v>
                </c:pt>
                <c:pt idx="2176">
                  <c:v>8.36</c:v>
                </c:pt>
                <c:pt idx="2177">
                  <c:v>8.36</c:v>
                </c:pt>
                <c:pt idx="2178">
                  <c:v>8.36</c:v>
                </c:pt>
                <c:pt idx="2179">
                  <c:v>8.36</c:v>
                </c:pt>
                <c:pt idx="2180">
                  <c:v>8.4760000000000009</c:v>
                </c:pt>
                <c:pt idx="2181">
                  <c:v>8.4760000000000009</c:v>
                </c:pt>
                <c:pt idx="2182">
                  <c:v>8.4760000000000009</c:v>
                </c:pt>
                <c:pt idx="2183">
                  <c:v>8.4760000000000009</c:v>
                </c:pt>
                <c:pt idx="2184">
                  <c:v>8.4760000000000009</c:v>
                </c:pt>
                <c:pt idx="2185">
                  <c:v>8.4760000000000009</c:v>
                </c:pt>
                <c:pt idx="2186">
                  <c:v>8.3949999999999996</c:v>
                </c:pt>
                <c:pt idx="2187">
                  <c:v>8.3949999999999996</c:v>
                </c:pt>
                <c:pt idx="2188">
                  <c:v>8.3949999999999996</c:v>
                </c:pt>
                <c:pt idx="2189">
                  <c:v>8.3949999999999996</c:v>
                </c:pt>
                <c:pt idx="2190">
                  <c:v>8.3949999999999996</c:v>
                </c:pt>
                <c:pt idx="2191">
                  <c:v>8.3000000000000007</c:v>
                </c:pt>
                <c:pt idx="2192">
                  <c:v>8.3000000000000007</c:v>
                </c:pt>
                <c:pt idx="2193">
                  <c:v>8.3000000000000007</c:v>
                </c:pt>
                <c:pt idx="2194">
                  <c:v>8.3000000000000007</c:v>
                </c:pt>
                <c:pt idx="2195">
                  <c:v>8.3000000000000007</c:v>
                </c:pt>
                <c:pt idx="2196">
                  <c:v>8.1769999999999996</c:v>
                </c:pt>
                <c:pt idx="2197">
                  <c:v>8.1769999999999996</c:v>
                </c:pt>
                <c:pt idx="2198">
                  <c:v>8.1769999999999996</c:v>
                </c:pt>
                <c:pt idx="2199">
                  <c:v>8.1769999999999996</c:v>
                </c:pt>
                <c:pt idx="2200">
                  <c:v>8.1769999999999996</c:v>
                </c:pt>
                <c:pt idx="2201">
                  <c:v>8.1769999999999996</c:v>
                </c:pt>
                <c:pt idx="2202">
                  <c:v>7.7160000000000002</c:v>
                </c:pt>
                <c:pt idx="2203">
                  <c:v>7.7160000000000002</c:v>
                </c:pt>
                <c:pt idx="2204">
                  <c:v>7.7160000000000002</c:v>
                </c:pt>
                <c:pt idx="2205">
                  <c:v>7.7160000000000002</c:v>
                </c:pt>
                <c:pt idx="2206">
                  <c:v>7.7160000000000002</c:v>
                </c:pt>
                <c:pt idx="2207">
                  <c:v>7.2439999999999998</c:v>
                </c:pt>
                <c:pt idx="2208">
                  <c:v>7.2439999999999998</c:v>
                </c:pt>
                <c:pt idx="2209">
                  <c:v>7.2439999999999998</c:v>
                </c:pt>
                <c:pt idx="2210">
                  <c:v>7.2439999999999998</c:v>
                </c:pt>
                <c:pt idx="2211">
                  <c:v>7.2439999999999998</c:v>
                </c:pt>
                <c:pt idx="2212">
                  <c:v>6.9889999999999999</c:v>
                </c:pt>
                <c:pt idx="2213">
                  <c:v>6.9889999999999999</c:v>
                </c:pt>
                <c:pt idx="2214">
                  <c:v>6.9889999999999999</c:v>
                </c:pt>
                <c:pt idx="2215">
                  <c:v>6.9889999999999999</c:v>
                </c:pt>
                <c:pt idx="2216">
                  <c:v>6.9889999999999999</c:v>
                </c:pt>
                <c:pt idx="2217">
                  <c:v>6.6230000000000002</c:v>
                </c:pt>
                <c:pt idx="2218">
                  <c:v>6.6230000000000002</c:v>
                </c:pt>
                <c:pt idx="2219">
                  <c:v>6.6230000000000002</c:v>
                </c:pt>
                <c:pt idx="2220">
                  <c:v>6.6230000000000002</c:v>
                </c:pt>
                <c:pt idx="2221">
                  <c:v>6.2279999999999998</c:v>
                </c:pt>
                <c:pt idx="2222">
                  <c:v>6.2279999999999998</c:v>
                </c:pt>
                <c:pt idx="2223">
                  <c:v>5.8920000000000003</c:v>
                </c:pt>
                <c:pt idx="2224">
                  <c:v>5.8920000000000003</c:v>
                </c:pt>
                <c:pt idx="2225">
                  <c:v>5.8920000000000003</c:v>
                </c:pt>
                <c:pt idx="2226">
                  <c:v>5.8920000000000003</c:v>
                </c:pt>
                <c:pt idx="2227">
                  <c:v>5.4349999999999996</c:v>
                </c:pt>
                <c:pt idx="2228">
                  <c:v>5.4349999999999996</c:v>
                </c:pt>
                <c:pt idx="2229">
                  <c:v>5.4349999999999996</c:v>
                </c:pt>
                <c:pt idx="2230">
                  <c:v>5.4349999999999996</c:v>
                </c:pt>
                <c:pt idx="2231">
                  <c:v>5.4349999999999996</c:v>
                </c:pt>
                <c:pt idx="2232">
                  <c:v>5.3259999999999996</c:v>
                </c:pt>
                <c:pt idx="2233">
                  <c:v>5.3259999999999996</c:v>
                </c:pt>
                <c:pt idx="2234">
                  <c:v>5.3259999999999996</c:v>
                </c:pt>
                <c:pt idx="2235">
                  <c:v>5.3259999999999996</c:v>
                </c:pt>
                <c:pt idx="2236">
                  <c:v>5.3259999999999996</c:v>
                </c:pt>
                <c:pt idx="2237">
                  <c:v>5.2869999999999999</c:v>
                </c:pt>
                <c:pt idx="2238">
                  <c:v>5.2869999999999999</c:v>
                </c:pt>
                <c:pt idx="2239">
                  <c:v>5.2869999999999999</c:v>
                </c:pt>
                <c:pt idx="2240">
                  <c:v>5.2869999999999999</c:v>
                </c:pt>
                <c:pt idx="2241">
                  <c:v>5.2869999999999999</c:v>
                </c:pt>
                <c:pt idx="2242">
                  <c:v>5.2869999999999999</c:v>
                </c:pt>
                <c:pt idx="2243">
                  <c:v>5.1139999999999999</c:v>
                </c:pt>
                <c:pt idx="2244">
                  <c:v>5.1139999999999999</c:v>
                </c:pt>
                <c:pt idx="2245">
                  <c:v>5.1139999999999999</c:v>
                </c:pt>
                <c:pt idx="2246">
                  <c:v>5.1139999999999999</c:v>
                </c:pt>
                <c:pt idx="2247">
                  <c:v>5.1139999999999999</c:v>
                </c:pt>
                <c:pt idx="2248">
                  <c:v>4.7809999999999997</c:v>
                </c:pt>
                <c:pt idx="2249">
                  <c:v>4.7809999999999997</c:v>
                </c:pt>
                <c:pt idx="2250">
                  <c:v>4.7809999999999997</c:v>
                </c:pt>
                <c:pt idx="2251">
                  <c:v>4.7809999999999997</c:v>
                </c:pt>
                <c:pt idx="2252">
                  <c:v>4.7809999999999997</c:v>
                </c:pt>
                <c:pt idx="2253">
                  <c:v>4.5839999999999996</c:v>
                </c:pt>
                <c:pt idx="2254">
                  <c:v>4.5839999999999996</c:v>
                </c:pt>
                <c:pt idx="2255">
                  <c:v>4.5839999999999996</c:v>
                </c:pt>
                <c:pt idx="2256">
                  <c:v>4.5839999999999996</c:v>
                </c:pt>
                <c:pt idx="2257">
                  <c:v>4.5839999999999996</c:v>
                </c:pt>
                <c:pt idx="2258">
                  <c:v>4.5839999999999996</c:v>
                </c:pt>
                <c:pt idx="2259">
                  <c:v>4.42</c:v>
                </c:pt>
                <c:pt idx="2260">
                  <c:v>4.42</c:v>
                </c:pt>
                <c:pt idx="2261">
                  <c:v>4.42</c:v>
                </c:pt>
                <c:pt idx="2262">
                  <c:v>4.42</c:v>
                </c:pt>
                <c:pt idx="2263">
                  <c:v>4.42</c:v>
                </c:pt>
                <c:pt idx="2264">
                  <c:v>4.2610000000000001</c:v>
                </c:pt>
                <c:pt idx="2265">
                  <c:v>4.2610000000000001</c:v>
                </c:pt>
                <c:pt idx="2266">
                  <c:v>4.2610000000000001</c:v>
                </c:pt>
                <c:pt idx="2267">
                  <c:v>4.2610000000000001</c:v>
                </c:pt>
                <c:pt idx="2268">
                  <c:v>4.2610000000000001</c:v>
                </c:pt>
                <c:pt idx="2269">
                  <c:v>4.125</c:v>
                </c:pt>
                <c:pt idx="2270">
                  <c:v>4.125</c:v>
                </c:pt>
                <c:pt idx="2271">
                  <c:v>4.125</c:v>
                </c:pt>
                <c:pt idx="2272">
                  <c:v>4.125</c:v>
                </c:pt>
                <c:pt idx="2273">
                  <c:v>4.125</c:v>
                </c:pt>
                <c:pt idx="2274">
                  <c:v>4.1559999999999997</c:v>
                </c:pt>
                <c:pt idx="2275">
                  <c:v>4.1559999999999997</c:v>
                </c:pt>
                <c:pt idx="2276">
                  <c:v>4.1559999999999997</c:v>
                </c:pt>
                <c:pt idx="2277">
                  <c:v>4.1559999999999997</c:v>
                </c:pt>
                <c:pt idx="2278">
                  <c:v>4.1449999999999996</c:v>
                </c:pt>
                <c:pt idx="2279">
                  <c:v>4.1449999999999996</c:v>
                </c:pt>
                <c:pt idx="2280">
                  <c:v>7.5410000000000004</c:v>
                </c:pt>
                <c:pt idx="2281">
                  <c:v>7.5410000000000004</c:v>
                </c:pt>
                <c:pt idx="2282">
                  <c:v>7.5410000000000004</c:v>
                </c:pt>
                <c:pt idx="2283">
                  <c:v>7.5410000000000004</c:v>
                </c:pt>
                <c:pt idx="2284">
                  <c:v>7.3630000000000004</c:v>
                </c:pt>
                <c:pt idx="2285">
                  <c:v>7.3630000000000004</c:v>
                </c:pt>
                <c:pt idx="2286">
                  <c:v>7.3630000000000004</c:v>
                </c:pt>
                <c:pt idx="2287">
                  <c:v>7.3630000000000004</c:v>
                </c:pt>
                <c:pt idx="2288">
                  <c:v>7.3630000000000004</c:v>
                </c:pt>
                <c:pt idx="2289">
                  <c:v>7.335</c:v>
                </c:pt>
                <c:pt idx="2290">
                  <c:v>7.335</c:v>
                </c:pt>
                <c:pt idx="2291">
                  <c:v>7.335</c:v>
                </c:pt>
                <c:pt idx="2292">
                  <c:v>7.335</c:v>
                </c:pt>
                <c:pt idx="2293">
                  <c:v>7.335</c:v>
                </c:pt>
                <c:pt idx="2294">
                  <c:v>7.508</c:v>
                </c:pt>
                <c:pt idx="2295">
                  <c:v>7.508</c:v>
                </c:pt>
                <c:pt idx="2296">
                  <c:v>7.508</c:v>
                </c:pt>
                <c:pt idx="2297">
                  <c:v>7.508</c:v>
                </c:pt>
                <c:pt idx="2298">
                  <c:v>7.508</c:v>
                </c:pt>
                <c:pt idx="2299">
                  <c:v>7.508</c:v>
                </c:pt>
                <c:pt idx="2300">
                  <c:v>7.2409999999999997</c:v>
                </c:pt>
                <c:pt idx="2301">
                  <c:v>7.2409999999999997</c:v>
                </c:pt>
                <c:pt idx="2302">
                  <c:v>7.2409999999999997</c:v>
                </c:pt>
                <c:pt idx="2303">
                  <c:v>7.2409999999999997</c:v>
                </c:pt>
                <c:pt idx="2304">
                  <c:v>7.2409999999999997</c:v>
                </c:pt>
                <c:pt idx="2305">
                  <c:v>6.9340000000000002</c:v>
                </c:pt>
                <c:pt idx="2306">
                  <c:v>6.9340000000000002</c:v>
                </c:pt>
                <c:pt idx="2307">
                  <c:v>6.9340000000000002</c:v>
                </c:pt>
                <c:pt idx="2308">
                  <c:v>6.9340000000000002</c:v>
                </c:pt>
                <c:pt idx="2309">
                  <c:v>6.9340000000000002</c:v>
                </c:pt>
                <c:pt idx="2310">
                  <c:v>6.9009999999999998</c:v>
                </c:pt>
                <c:pt idx="2311">
                  <c:v>6.9009999999999998</c:v>
                </c:pt>
                <c:pt idx="2312">
                  <c:v>6.9009999999999998</c:v>
                </c:pt>
                <c:pt idx="2313">
                  <c:v>6.9009999999999998</c:v>
                </c:pt>
                <c:pt idx="2314">
                  <c:v>6.9009999999999998</c:v>
                </c:pt>
                <c:pt idx="2315">
                  <c:v>6.9009999999999998</c:v>
                </c:pt>
                <c:pt idx="2316">
                  <c:v>6.7590000000000003</c:v>
                </c:pt>
                <c:pt idx="2317">
                  <c:v>6.7590000000000003</c:v>
                </c:pt>
                <c:pt idx="2318">
                  <c:v>6.7590000000000003</c:v>
                </c:pt>
                <c:pt idx="2319">
                  <c:v>6.7590000000000003</c:v>
                </c:pt>
                <c:pt idx="2320">
                  <c:v>6.7590000000000003</c:v>
                </c:pt>
                <c:pt idx="2321">
                  <c:v>6.5890000000000004</c:v>
                </c:pt>
                <c:pt idx="2322">
                  <c:v>6.5890000000000004</c:v>
                </c:pt>
                <c:pt idx="2323">
                  <c:v>6.5890000000000004</c:v>
                </c:pt>
                <c:pt idx="2324">
                  <c:v>6.5890000000000004</c:v>
                </c:pt>
                <c:pt idx="2325">
                  <c:v>6.5890000000000004</c:v>
                </c:pt>
                <c:pt idx="2326">
                  <c:v>6.5469999999999997</c:v>
                </c:pt>
                <c:pt idx="2327">
                  <c:v>6.5469999999999997</c:v>
                </c:pt>
                <c:pt idx="2328">
                  <c:v>6.5469999999999997</c:v>
                </c:pt>
                <c:pt idx="2329">
                  <c:v>6.5469999999999997</c:v>
                </c:pt>
                <c:pt idx="2330">
                  <c:v>6.5469999999999997</c:v>
                </c:pt>
                <c:pt idx="2331">
                  <c:v>6.4320000000000004</c:v>
                </c:pt>
                <c:pt idx="2332">
                  <c:v>6.4320000000000004</c:v>
                </c:pt>
                <c:pt idx="2333">
                  <c:v>6.4320000000000004</c:v>
                </c:pt>
                <c:pt idx="2334">
                  <c:v>6.4320000000000004</c:v>
                </c:pt>
                <c:pt idx="2335">
                  <c:v>6.1950000000000003</c:v>
                </c:pt>
                <c:pt idx="2336">
                  <c:v>6.1950000000000003</c:v>
                </c:pt>
                <c:pt idx="2337">
                  <c:v>9.7650000000000006</c:v>
                </c:pt>
                <c:pt idx="2338">
                  <c:v>9.7650000000000006</c:v>
                </c:pt>
                <c:pt idx="2339">
                  <c:v>9.7650000000000006</c:v>
                </c:pt>
                <c:pt idx="2340">
                  <c:v>9.7650000000000006</c:v>
                </c:pt>
                <c:pt idx="2341">
                  <c:v>9.5239999999999991</c:v>
                </c:pt>
                <c:pt idx="2342">
                  <c:v>9.5239999999999991</c:v>
                </c:pt>
                <c:pt idx="2343">
                  <c:v>9.5239999999999991</c:v>
                </c:pt>
                <c:pt idx="2344">
                  <c:v>9.5239999999999991</c:v>
                </c:pt>
                <c:pt idx="2345">
                  <c:v>9.5239999999999991</c:v>
                </c:pt>
                <c:pt idx="2346">
                  <c:v>9.1989999999999998</c:v>
                </c:pt>
                <c:pt idx="2347">
                  <c:v>9.1989999999999998</c:v>
                </c:pt>
                <c:pt idx="2348">
                  <c:v>9.1989999999999998</c:v>
                </c:pt>
                <c:pt idx="2349">
                  <c:v>9.1989999999999998</c:v>
                </c:pt>
                <c:pt idx="2350">
                  <c:v>9.1989999999999998</c:v>
                </c:pt>
                <c:pt idx="2351">
                  <c:v>9.0030000000000001</c:v>
                </c:pt>
                <c:pt idx="2352">
                  <c:v>9.0030000000000001</c:v>
                </c:pt>
                <c:pt idx="2353">
                  <c:v>9.0030000000000001</c:v>
                </c:pt>
                <c:pt idx="2354">
                  <c:v>9.0030000000000001</c:v>
                </c:pt>
                <c:pt idx="2355">
                  <c:v>9.0030000000000001</c:v>
                </c:pt>
                <c:pt idx="2356">
                  <c:v>9.0030000000000001</c:v>
                </c:pt>
                <c:pt idx="2357">
                  <c:v>8.7439999999999998</c:v>
                </c:pt>
                <c:pt idx="2358">
                  <c:v>8.7439999999999998</c:v>
                </c:pt>
                <c:pt idx="2359">
                  <c:v>8.7439999999999998</c:v>
                </c:pt>
                <c:pt idx="2360">
                  <c:v>8.7439999999999998</c:v>
                </c:pt>
                <c:pt idx="2361">
                  <c:v>8.7439999999999998</c:v>
                </c:pt>
                <c:pt idx="2362">
                  <c:v>8.4939999999999998</c:v>
                </c:pt>
                <c:pt idx="2363">
                  <c:v>8.4939999999999998</c:v>
                </c:pt>
                <c:pt idx="2364">
                  <c:v>8.4939999999999998</c:v>
                </c:pt>
                <c:pt idx="2365">
                  <c:v>8.4939999999999998</c:v>
                </c:pt>
                <c:pt idx="2366">
                  <c:v>8.4939999999999998</c:v>
                </c:pt>
                <c:pt idx="2367">
                  <c:v>8.2569999999999997</c:v>
                </c:pt>
                <c:pt idx="2368">
                  <c:v>8.2569999999999997</c:v>
                </c:pt>
                <c:pt idx="2369">
                  <c:v>8.2569999999999997</c:v>
                </c:pt>
                <c:pt idx="2370">
                  <c:v>8.2569999999999997</c:v>
                </c:pt>
                <c:pt idx="2371">
                  <c:v>8.2569999999999997</c:v>
                </c:pt>
                <c:pt idx="2372">
                  <c:v>8.2569999999999997</c:v>
                </c:pt>
                <c:pt idx="2373">
                  <c:v>7.8739999999999997</c:v>
                </c:pt>
                <c:pt idx="2374">
                  <c:v>7.8739999999999997</c:v>
                </c:pt>
                <c:pt idx="2375">
                  <c:v>7.8739999999999997</c:v>
                </c:pt>
                <c:pt idx="2376">
                  <c:v>7.8739999999999997</c:v>
                </c:pt>
                <c:pt idx="2377">
                  <c:v>7.8739999999999997</c:v>
                </c:pt>
                <c:pt idx="2378">
                  <c:v>7.5449999999999999</c:v>
                </c:pt>
                <c:pt idx="2379">
                  <c:v>7.5449999999999999</c:v>
                </c:pt>
                <c:pt idx="2380">
                  <c:v>7.5449999999999999</c:v>
                </c:pt>
                <c:pt idx="2381">
                  <c:v>7.5449999999999999</c:v>
                </c:pt>
                <c:pt idx="2382">
                  <c:v>7.5449999999999999</c:v>
                </c:pt>
                <c:pt idx="2383">
                  <c:v>7.3819999999999997</c:v>
                </c:pt>
                <c:pt idx="2384">
                  <c:v>7.3819999999999997</c:v>
                </c:pt>
                <c:pt idx="2385">
                  <c:v>7.3819999999999997</c:v>
                </c:pt>
                <c:pt idx="2386">
                  <c:v>7.3819999999999997</c:v>
                </c:pt>
                <c:pt idx="2387">
                  <c:v>7.3819999999999997</c:v>
                </c:pt>
                <c:pt idx="2388">
                  <c:v>7.17</c:v>
                </c:pt>
                <c:pt idx="2389">
                  <c:v>7.17</c:v>
                </c:pt>
                <c:pt idx="2390">
                  <c:v>7.17</c:v>
                </c:pt>
                <c:pt idx="2391">
                  <c:v>7.17</c:v>
                </c:pt>
                <c:pt idx="2392">
                  <c:v>6.9429999999999996</c:v>
                </c:pt>
                <c:pt idx="2393">
                  <c:v>6.9429999999999996</c:v>
                </c:pt>
                <c:pt idx="2394">
                  <c:v>9.5210000000000008</c:v>
                </c:pt>
                <c:pt idx="2395">
                  <c:v>9.5210000000000008</c:v>
                </c:pt>
                <c:pt idx="2396">
                  <c:v>9.5210000000000008</c:v>
                </c:pt>
                <c:pt idx="2397">
                  <c:v>9.5210000000000008</c:v>
                </c:pt>
                <c:pt idx="2398">
                  <c:v>9.593</c:v>
                </c:pt>
                <c:pt idx="2399">
                  <c:v>9.593</c:v>
                </c:pt>
                <c:pt idx="2400">
                  <c:v>9.593</c:v>
                </c:pt>
                <c:pt idx="2401">
                  <c:v>9.593</c:v>
                </c:pt>
                <c:pt idx="2402">
                  <c:v>9.593</c:v>
                </c:pt>
                <c:pt idx="2403">
                  <c:v>9.8160000000000007</c:v>
                </c:pt>
                <c:pt idx="2404">
                  <c:v>9.8160000000000007</c:v>
                </c:pt>
                <c:pt idx="2405">
                  <c:v>9.8160000000000007</c:v>
                </c:pt>
                <c:pt idx="2406">
                  <c:v>9.8160000000000007</c:v>
                </c:pt>
                <c:pt idx="2407">
                  <c:v>9.8160000000000007</c:v>
                </c:pt>
                <c:pt idx="2408">
                  <c:v>10.210000000000001</c:v>
                </c:pt>
                <c:pt idx="2409">
                  <c:v>10.210000000000001</c:v>
                </c:pt>
                <c:pt idx="2410">
                  <c:v>10.210000000000001</c:v>
                </c:pt>
                <c:pt idx="2411">
                  <c:v>10.210000000000001</c:v>
                </c:pt>
                <c:pt idx="2412">
                  <c:v>10.210000000000001</c:v>
                </c:pt>
                <c:pt idx="2413">
                  <c:v>10.210000000000001</c:v>
                </c:pt>
                <c:pt idx="2414">
                  <c:v>10.398</c:v>
                </c:pt>
                <c:pt idx="2415">
                  <c:v>10.398</c:v>
                </c:pt>
                <c:pt idx="2416">
                  <c:v>10.398</c:v>
                </c:pt>
                <c:pt idx="2417">
                  <c:v>10.398</c:v>
                </c:pt>
                <c:pt idx="2418">
                  <c:v>10.398</c:v>
                </c:pt>
                <c:pt idx="2419">
                  <c:v>10.581</c:v>
                </c:pt>
                <c:pt idx="2420">
                  <c:v>10.581</c:v>
                </c:pt>
                <c:pt idx="2421">
                  <c:v>10.581</c:v>
                </c:pt>
                <c:pt idx="2422">
                  <c:v>10.581</c:v>
                </c:pt>
                <c:pt idx="2423">
                  <c:v>10.581</c:v>
                </c:pt>
                <c:pt idx="2424">
                  <c:v>10.641</c:v>
                </c:pt>
                <c:pt idx="2425">
                  <c:v>10.641</c:v>
                </c:pt>
                <c:pt idx="2426">
                  <c:v>10.641</c:v>
                </c:pt>
                <c:pt idx="2427">
                  <c:v>10.641</c:v>
                </c:pt>
                <c:pt idx="2428">
                  <c:v>10.641</c:v>
                </c:pt>
                <c:pt idx="2429">
                  <c:v>10.641</c:v>
                </c:pt>
                <c:pt idx="2430">
                  <c:v>10.148</c:v>
                </c:pt>
                <c:pt idx="2431">
                  <c:v>10.148</c:v>
                </c:pt>
                <c:pt idx="2432">
                  <c:v>10.148</c:v>
                </c:pt>
                <c:pt idx="2433">
                  <c:v>10.148</c:v>
                </c:pt>
                <c:pt idx="2434">
                  <c:v>10.148</c:v>
                </c:pt>
                <c:pt idx="2435">
                  <c:v>9.6530000000000005</c:v>
                </c:pt>
                <c:pt idx="2436">
                  <c:v>9.6530000000000005</c:v>
                </c:pt>
                <c:pt idx="2437">
                  <c:v>9.6530000000000005</c:v>
                </c:pt>
                <c:pt idx="2438">
                  <c:v>9.6530000000000005</c:v>
                </c:pt>
                <c:pt idx="2439">
                  <c:v>9.6530000000000005</c:v>
                </c:pt>
                <c:pt idx="2440">
                  <c:v>9.5749999999999993</c:v>
                </c:pt>
                <c:pt idx="2441">
                  <c:v>9.5749999999999993</c:v>
                </c:pt>
                <c:pt idx="2442">
                  <c:v>9.5749999999999993</c:v>
                </c:pt>
                <c:pt idx="2443">
                  <c:v>9.5749999999999993</c:v>
                </c:pt>
                <c:pt idx="2444">
                  <c:v>9.5749999999999993</c:v>
                </c:pt>
                <c:pt idx="2445">
                  <c:v>9.2850000000000001</c:v>
                </c:pt>
                <c:pt idx="2446">
                  <c:v>9.2850000000000001</c:v>
                </c:pt>
                <c:pt idx="2447">
                  <c:v>9.2850000000000001</c:v>
                </c:pt>
                <c:pt idx="2448">
                  <c:v>9.2850000000000001</c:v>
                </c:pt>
                <c:pt idx="2449">
                  <c:v>8.8390000000000004</c:v>
                </c:pt>
                <c:pt idx="2450">
                  <c:v>8.8390000000000004</c:v>
                </c:pt>
                <c:pt idx="2451">
                  <c:v>8.1189999999999998</c:v>
                </c:pt>
                <c:pt idx="2452">
                  <c:v>8.1189999999999998</c:v>
                </c:pt>
                <c:pt idx="2453">
                  <c:v>8.1189999999999998</c:v>
                </c:pt>
                <c:pt idx="2454">
                  <c:v>8.1189999999999998</c:v>
                </c:pt>
                <c:pt idx="2455">
                  <c:v>7.9720000000000004</c:v>
                </c:pt>
                <c:pt idx="2456">
                  <c:v>7.9720000000000004</c:v>
                </c:pt>
                <c:pt idx="2457">
                  <c:v>7.9720000000000004</c:v>
                </c:pt>
                <c:pt idx="2458">
                  <c:v>7.9720000000000004</c:v>
                </c:pt>
                <c:pt idx="2459">
                  <c:v>7.9720000000000004</c:v>
                </c:pt>
                <c:pt idx="2460">
                  <c:v>7.8040000000000003</c:v>
                </c:pt>
                <c:pt idx="2461">
                  <c:v>7.8040000000000003</c:v>
                </c:pt>
                <c:pt idx="2462">
                  <c:v>7.8040000000000003</c:v>
                </c:pt>
                <c:pt idx="2463">
                  <c:v>7.8040000000000003</c:v>
                </c:pt>
                <c:pt idx="2464">
                  <c:v>7.8040000000000003</c:v>
                </c:pt>
                <c:pt idx="2465">
                  <c:v>7.61</c:v>
                </c:pt>
                <c:pt idx="2466">
                  <c:v>7.61</c:v>
                </c:pt>
                <c:pt idx="2467">
                  <c:v>7.61</c:v>
                </c:pt>
                <c:pt idx="2468">
                  <c:v>7.61</c:v>
                </c:pt>
                <c:pt idx="2469">
                  <c:v>7.61</c:v>
                </c:pt>
                <c:pt idx="2470">
                  <c:v>7.61</c:v>
                </c:pt>
                <c:pt idx="2471">
                  <c:v>7.2240000000000002</c:v>
                </c:pt>
                <c:pt idx="2472">
                  <c:v>7.2240000000000002</c:v>
                </c:pt>
                <c:pt idx="2473">
                  <c:v>7.2240000000000002</c:v>
                </c:pt>
                <c:pt idx="2474">
                  <c:v>7.2240000000000002</c:v>
                </c:pt>
                <c:pt idx="2475">
                  <c:v>7.2240000000000002</c:v>
                </c:pt>
                <c:pt idx="2476">
                  <c:v>6.9059999999999997</c:v>
                </c:pt>
                <c:pt idx="2477">
                  <c:v>6.9059999999999997</c:v>
                </c:pt>
                <c:pt idx="2478">
                  <c:v>6.9059999999999997</c:v>
                </c:pt>
                <c:pt idx="2479">
                  <c:v>6.9059999999999997</c:v>
                </c:pt>
                <c:pt idx="2480">
                  <c:v>6.9059999999999997</c:v>
                </c:pt>
                <c:pt idx="2481">
                  <c:v>6.56</c:v>
                </c:pt>
                <c:pt idx="2482">
                  <c:v>6.56</c:v>
                </c:pt>
                <c:pt idx="2483">
                  <c:v>6.56</c:v>
                </c:pt>
                <c:pt idx="2484">
                  <c:v>6.56</c:v>
                </c:pt>
                <c:pt idx="2485">
                  <c:v>6.56</c:v>
                </c:pt>
                <c:pt idx="2486">
                  <c:v>6.56</c:v>
                </c:pt>
                <c:pt idx="2487">
                  <c:v>6.0780000000000003</c:v>
                </c:pt>
                <c:pt idx="2488">
                  <c:v>6.0780000000000003</c:v>
                </c:pt>
                <c:pt idx="2489">
                  <c:v>6.0780000000000003</c:v>
                </c:pt>
                <c:pt idx="2490">
                  <c:v>6.0780000000000003</c:v>
                </c:pt>
                <c:pt idx="2491">
                  <c:v>6.0780000000000003</c:v>
                </c:pt>
                <c:pt idx="2492">
                  <c:v>5.774</c:v>
                </c:pt>
                <c:pt idx="2493">
                  <c:v>5.774</c:v>
                </c:pt>
                <c:pt idx="2494">
                  <c:v>5.774</c:v>
                </c:pt>
                <c:pt idx="2495">
                  <c:v>5.774</c:v>
                </c:pt>
                <c:pt idx="2496">
                  <c:v>5.774</c:v>
                </c:pt>
                <c:pt idx="2497">
                  <c:v>5.6210000000000004</c:v>
                </c:pt>
                <c:pt idx="2498">
                  <c:v>5.6210000000000004</c:v>
                </c:pt>
                <c:pt idx="2499">
                  <c:v>5.6210000000000004</c:v>
                </c:pt>
                <c:pt idx="2500">
                  <c:v>5.6210000000000004</c:v>
                </c:pt>
                <c:pt idx="2501">
                  <c:v>5.6210000000000004</c:v>
                </c:pt>
                <c:pt idx="2502">
                  <c:v>5.407</c:v>
                </c:pt>
                <c:pt idx="2503">
                  <c:v>5.407</c:v>
                </c:pt>
                <c:pt idx="2504">
                  <c:v>5.407</c:v>
                </c:pt>
                <c:pt idx="2505">
                  <c:v>5.407</c:v>
                </c:pt>
                <c:pt idx="2506">
                  <c:v>5.2169999999999996</c:v>
                </c:pt>
                <c:pt idx="2507">
                  <c:v>5.2169999999999996</c:v>
                </c:pt>
                <c:pt idx="2508">
                  <c:v>8.9920000000000009</c:v>
                </c:pt>
                <c:pt idx="2509">
                  <c:v>8.9920000000000009</c:v>
                </c:pt>
                <c:pt idx="2510">
                  <c:v>8.9920000000000009</c:v>
                </c:pt>
                <c:pt idx="2511">
                  <c:v>8.9920000000000009</c:v>
                </c:pt>
                <c:pt idx="2512">
                  <c:v>8.8989999999999991</c:v>
                </c:pt>
                <c:pt idx="2513">
                  <c:v>8.8989999999999991</c:v>
                </c:pt>
                <c:pt idx="2514">
                  <c:v>8.8989999999999991</c:v>
                </c:pt>
                <c:pt idx="2515">
                  <c:v>8.8989999999999991</c:v>
                </c:pt>
                <c:pt idx="2516">
                  <c:v>8.8989999999999991</c:v>
                </c:pt>
                <c:pt idx="2517">
                  <c:v>8.7430000000000003</c:v>
                </c:pt>
                <c:pt idx="2518">
                  <c:v>8.7430000000000003</c:v>
                </c:pt>
                <c:pt idx="2519">
                  <c:v>8.7430000000000003</c:v>
                </c:pt>
                <c:pt idx="2520">
                  <c:v>8.7430000000000003</c:v>
                </c:pt>
                <c:pt idx="2521">
                  <c:v>8.7430000000000003</c:v>
                </c:pt>
                <c:pt idx="2522">
                  <c:v>8.7240000000000002</c:v>
                </c:pt>
                <c:pt idx="2523">
                  <c:v>8.7240000000000002</c:v>
                </c:pt>
                <c:pt idx="2524">
                  <c:v>8.7240000000000002</c:v>
                </c:pt>
                <c:pt idx="2525">
                  <c:v>8.7240000000000002</c:v>
                </c:pt>
                <c:pt idx="2526">
                  <c:v>8.7240000000000002</c:v>
                </c:pt>
                <c:pt idx="2527">
                  <c:v>8.7240000000000002</c:v>
                </c:pt>
                <c:pt idx="2528">
                  <c:v>8.5489999999999995</c:v>
                </c:pt>
                <c:pt idx="2529">
                  <c:v>8.5489999999999995</c:v>
                </c:pt>
                <c:pt idx="2530">
                  <c:v>8.5489999999999995</c:v>
                </c:pt>
                <c:pt idx="2531">
                  <c:v>8.5489999999999995</c:v>
                </c:pt>
                <c:pt idx="2532">
                  <c:v>8.5489999999999995</c:v>
                </c:pt>
                <c:pt idx="2533">
                  <c:v>8.5210000000000008</c:v>
                </c:pt>
                <c:pt idx="2534">
                  <c:v>8.5210000000000008</c:v>
                </c:pt>
                <c:pt idx="2535">
                  <c:v>8.5210000000000008</c:v>
                </c:pt>
                <c:pt idx="2536">
                  <c:v>8.5210000000000008</c:v>
                </c:pt>
                <c:pt idx="2537">
                  <c:v>8.5210000000000008</c:v>
                </c:pt>
                <c:pt idx="2538">
                  <c:v>8.625</c:v>
                </c:pt>
                <c:pt idx="2539">
                  <c:v>8.625</c:v>
                </c:pt>
                <c:pt idx="2540">
                  <c:v>8.625</c:v>
                </c:pt>
                <c:pt idx="2541">
                  <c:v>8.625</c:v>
                </c:pt>
                <c:pt idx="2542">
                  <c:v>8.625</c:v>
                </c:pt>
                <c:pt idx="2543">
                  <c:v>8.625</c:v>
                </c:pt>
                <c:pt idx="2544">
                  <c:v>8.5229999999999997</c:v>
                </c:pt>
                <c:pt idx="2545">
                  <c:v>8.5229999999999997</c:v>
                </c:pt>
                <c:pt idx="2546">
                  <c:v>8.5229999999999997</c:v>
                </c:pt>
                <c:pt idx="2547">
                  <c:v>8.5229999999999997</c:v>
                </c:pt>
                <c:pt idx="2548">
                  <c:v>8.5229999999999997</c:v>
                </c:pt>
                <c:pt idx="2549">
                  <c:v>8.4239999999999995</c:v>
                </c:pt>
                <c:pt idx="2550">
                  <c:v>8.4239999999999995</c:v>
                </c:pt>
                <c:pt idx="2551">
                  <c:v>8.4239999999999995</c:v>
                </c:pt>
                <c:pt idx="2552">
                  <c:v>8.4239999999999995</c:v>
                </c:pt>
                <c:pt idx="2553">
                  <c:v>8.4239999999999995</c:v>
                </c:pt>
                <c:pt idx="2554">
                  <c:v>8.5670000000000002</c:v>
                </c:pt>
                <c:pt idx="2555">
                  <c:v>8.5670000000000002</c:v>
                </c:pt>
                <c:pt idx="2556">
                  <c:v>8.5670000000000002</c:v>
                </c:pt>
                <c:pt idx="2557">
                  <c:v>8.5670000000000002</c:v>
                </c:pt>
                <c:pt idx="2558">
                  <c:v>8.5670000000000002</c:v>
                </c:pt>
                <c:pt idx="2559">
                  <c:v>8.6839999999999993</c:v>
                </c:pt>
                <c:pt idx="2560">
                  <c:v>8.6839999999999993</c:v>
                </c:pt>
                <c:pt idx="2561">
                  <c:v>8.6839999999999993</c:v>
                </c:pt>
                <c:pt idx="2562">
                  <c:v>8.6839999999999993</c:v>
                </c:pt>
                <c:pt idx="2563">
                  <c:v>8.6669999999999998</c:v>
                </c:pt>
                <c:pt idx="2564">
                  <c:v>8.6669999999999998</c:v>
                </c:pt>
              </c:numCache>
            </c:numRef>
          </c:xVal>
          <c:y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C-4005-9EC3-C2E5140E9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346367"/>
        <c:axId val="626175328"/>
      </c:scatterChart>
      <c:valAx>
        <c:axId val="1017346367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175328"/>
        <c:crosses val="autoZero"/>
        <c:crossBetween val="midCat"/>
      </c:valAx>
      <c:valAx>
        <c:axId val="6261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34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Vendas 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Diagnóstica!$AD$1</c:f>
              <c:strCache>
                <c:ptCount val="1"/>
                <c:pt idx="0">
                  <c:v>Soma de Weekly_Sales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Diagnóstica!$AC$2:$AC$4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Diagnóstica!$AD$2:$AD$4</c:f>
              <c:numCache>
                <c:formatCode>"R$"\ #,##0.00</c:formatCode>
                <c:ptCount val="3"/>
                <c:pt idx="0">
                  <c:v>957867839.53000093</c:v>
                </c:pt>
                <c:pt idx="1">
                  <c:v>991658991.79999995</c:v>
                </c:pt>
                <c:pt idx="2">
                  <c:v>769044726.67999995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C-43B0-83D2-B5FBD02C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723135"/>
        <c:axId val="111723615"/>
      </c:barChart>
      <c:catAx>
        <c:axId val="1117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3615"/>
        <c:crosses val="autoZero"/>
        <c:auto val="1"/>
        <c:lblAlgn val="ctr"/>
        <c:lblOffset val="100"/>
        <c:noMultiLvlLbl val="0"/>
      </c:catAx>
      <c:valAx>
        <c:axId val="11172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Diagnóstica!$AC$8:$AC$19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Diagnóstica!$AD$8:$AD$19</c:f>
              <c:numCache>
                <c:formatCode>"R$"\ #,##0.00</c:formatCode>
                <c:ptCount val="12"/>
                <c:pt idx="0">
                  <c:v>181559036.28000015</c:v>
                </c:pt>
                <c:pt idx="1">
                  <c:v>240969530.48999986</c:v>
                </c:pt>
                <c:pt idx="2">
                  <c:v>239446787.31999996</c:v>
                </c:pt>
                <c:pt idx="3">
                  <c:v>239102000.21000001</c:v>
                </c:pt>
                <c:pt idx="4">
                  <c:v>237986298.96999991</c:v>
                </c:pt>
                <c:pt idx="5">
                  <c:v>244777717.1100001</c:v>
                </c:pt>
                <c:pt idx="6">
                  <c:v>186820778.95999998</c:v>
                </c:pt>
                <c:pt idx="7">
                  <c:v>188500876.59000003</c:v>
                </c:pt>
                <c:pt idx="8">
                  <c:v>245069649.15000004</c:v>
                </c:pt>
                <c:pt idx="9">
                  <c:v>246383761.85000005</c:v>
                </c:pt>
                <c:pt idx="10">
                  <c:v>235190162.64999986</c:v>
                </c:pt>
                <c:pt idx="11">
                  <c:v>232764958.4299998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FF-424E-934F-EF46789D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42815"/>
        <c:axId val="122539455"/>
      </c:lineChart>
      <c:catAx>
        <c:axId val="1225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39455"/>
        <c:crosses val="autoZero"/>
        <c:auto val="1"/>
        <c:lblAlgn val="ctr"/>
        <c:lblOffset val="100"/>
        <c:noMultiLvlLbl val="0"/>
      </c:catAx>
      <c:valAx>
        <c:axId val="1225394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4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Vendas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Diagnóstica!$AC$25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Diagnóstica!$AD$25</c:f>
              <c:numCache>
                <c:formatCode>"R$"\ #,##0.00</c:formatCode>
                <c:ptCount val="1"/>
                <c:pt idx="0">
                  <c:v>91305173.030000016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D-4370-8CCB-276143030A0B}"/>
            </c:ext>
          </c:extLst>
        </c:ser>
        <c:ser>
          <c:idx val="1"/>
          <c:order val="1"/>
          <c:tx>
            <c:strRef>
              <c:f>Diagnóstica!$AC$26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Diagnóstica!$AD$26</c:f>
              <c:numCache>
                <c:formatCode>"R$"\ #,##0.00</c:formatCode>
                <c:ptCount val="1"/>
                <c:pt idx="0">
                  <c:v>111261408.29000002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D-4370-8CCB-276143030A0B}"/>
            </c:ext>
          </c:extLst>
        </c:ser>
        <c:ser>
          <c:idx val="2"/>
          <c:order val="2"/>
          <c:tx>
            <c:strRef>
              <c:f>Diagnóstica!$AC$27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Diagnóstica!$AD$27</c:f>
              <c:numCache>
                <c:formatCode>"R$"\ #,##0.00</c:formatCode>
                <c:ptCount val="1"/>
                <c:pt idx="0">
                  <c:v>23548991.5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D-4370-8CCB-276143030A0B}"/>
            </c:ext>
          </c:extLst>
        </c:ser>
        <c:ser>
          <c:idx val="3"/>
          <c:order val="3"/>
          <c:tx>
            <c:strRef>
              <c:f>Diagnóstica!$AC$28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Diagnóstica!$AD$28</c:f>
              <c:numCache>
                <c:formatCode>"R$"\ #,##0.00</c:formatCode>
                <c:ptCount val="1"/>
                <c:pt idx="0">
                  <c:v>119047758.56999999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D-4370-8CCB-276143030A0B}"/>
            </c:ext>
          </c:extLst>
        </c:ser>
        <c:ser>
          <c:idx val="4"/>
          <c:order val="4"/>
          <c:tx>
            <c:strRef>
              <c:f>Diagnóstica!$AC$29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Diagnóstica!$AD$29</c:f>
              <c:numCache>
                <c:formatCode>"R$"\ #,##0.00</c:formatCode>
                <c:ptCount val="1"/>
                <c:pt idx="0">
                  <c:v>18493210.620000001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D-4370-8CCB-276143030A0B}"/>
            </c:ext>
          </c:extLst>
        </c:ser>
        <c:ser>
          <c:idx val="5"/>
          <c:order val="5"/>
          <c:tx>
            <c:strRef>
              <c:f>Diagnóstica!$AC$30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Diagnóstica!$AD$30</c:f>
              <c:numCache>
                <c:formatCode>"R$"\ #,##0.00</c:formatCode>
                <c:ptCount val="1"/>
                <c:pt idx="0">
                  <c:v>90568529.220000044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AD-4370-8CCB-276143030A0B}"/>
            </c:ext>
          </c:extLst>
        </c:ser>
        <c:ser>
          <c:idx val="6"/>
          <c:order val="6"/>
          <c:tx>
            <c:strRef>
              <c:f>Diagnóstica!$AC$31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Diagnóstica!$AD$31</c:f>
              <c:numCache>
                <c:formatCode>"R$"\ #,##0.00</c:formatCode>
                <c:ptCount val="1"/>
                <c:pt idx="0">
                  <c:v>32341729.079999994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AD-4370-8CCB-276143030A0B}"/>
            </c:ext>
          </c:extLst>
        </c:ser>
        <c:ser>
          <c:idx val="7"/>
          <c:order val="7"/>
          <c:tx>
            <c:strRef>
              <c:f>Diagnóstica!$AC$32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Diagnóstica!$AD$32</c:f>
              <c:numCache>
                <c:formatCode>"R$"\ #,##0.00</c:formatCode>
                <c:ptCount val="1"/>
                <c:pt idx="0">
                  <c:v>52619595.950000003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AD-4370-8CCB-276143030A0B}"/>
            </c:ext>
          </c:extLst>
        </c:ser>
        <c:ser>
          <c:idx val="8"/>
          <c:order val="8"/>
          <c:tx>
            <c:strRef>
              <c:f>Diagnóstica!$AC$33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Diagnóstica!$AD$33</c:f>
              <c:numCache>
                <c:formatCode>"R$"\ #,##0.00</c:formatCode>
                <c:ptCount val="1"/>
                <c:pt idx="0">
                  <c:v>31487839.230000004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AD-4370-8CCB-276143030A0B}"/>
            </c:ext>
          </c:extLst>
        </c:ser>
        <c:ser>
          <c:idx val="9"/>
          <c:order val="9"/>
          <c:tx>
            <c:strRef>
              <c:f>Diagnóstica!$AC$34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Diagnóstica!$AD$34</c:f>
              <c:numCache>
                <c:formatCode>"R$"\ #,##0.00</c:formatCode>
                <c:ptCount val="1"/>
                <c:pt idx="0">
                  <c:v>108599830.23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AD-4370-8CCB-276143030A0B}"/>
            </c:ext>
          </c:extLst>
        </c:ser>
        <c:ser>
          <c:idx val="10"/>
          <c:order val="10"/>
          <c:tx>
            <c:strRef>
              <c:f>Diagnóstica!$AC$35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Diagnóstica!$AD$35</c:f>
              <c:numCache>
                <c:formatCode>"R$"\ #,##0.00</c:formatCode>
                <c:ptCount val="1"/>
                <c:pt idx="0">
                  <c:v>78231038.799999997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AD-4370-8CCB-276143030A0B}"/>
            </c:ext>
          </c:extLst>
        </c:ser>
        <c:ser>
          <c:idx val="11"/>
          <c:order val="11"/>
          <c:tx>
            <c:strRef>
              <c:f>Diagnóstica!$AC$36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Diagnóstica!$AD$36</c:f>
              <c:numCache>
                <c:formatCode>"R$"\ #,##0.00</c:formatCode>
                <c:ptCount val="1"/>
                <c:pt idx="0">
                  <c:v>58024045.580000006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AAD-4370-8CCB-276143030A0B}"/>
            </c:ext>
          </c:extLst>
        </c:ser>
        <c:ser>
          <c:idx val="12"/>
          <c:order val="12"/>
          <c:tx>
            <c:strRef>
              <c:f>Diagnóstica!$AC$37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Diagnóstica!$AD$37</c:f>
              <c:numCache>
                <c:formatCode>"R$"\ #,##0.00</c:formatCode>
                <c:ptCount val="1"/>
                <c:pt idx="0">
                  <c:v>113895600.75000001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AD-4370-8CCB-276143030A0B}"/>
            </c:ext>
          </c:extLst>
        </c:ser>
        <c:ser>
          <c:idx val="13"/>
          <c:order val="13"/>
          <c:tx>
            <c:strRef>
              <c:f>Diagnóstica!$AC$38</c:f>
              <c:strCache>
                <c:ptCount val="1"/>
                <c:pt idx="0">
                  <c:v>14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Diagnóstica!$AD$38</c:f>
              <c:numCache>
                <c:formatCode>"R$"\ #,##0.00</c:formatCode>
                <c:ptCount val="1"/>
                <c:pt idx="0">
                  <c:v>118285799.76999997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AAD-4370-8CCB-276143030A0B}"/>
            </c:ext>
          </c:extLst>
        </c:ser>
        <c:ser>
          <c:idx val="14"/>
          <c:order val="14"/>
          <c:tx>
            <c:strRef>
              <c:f>Diagnóstica!$AC$39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Diagnóstica!$AD$39</c:f>
              <c:numCache>
                <c:formatCode>"R$"\ #,##0.00</c:formatCode>
                <c:ptCount val="1"/>
                <c:pt idx="0">
                  <c:v>35503840.100000009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AAD-4370-8CCB-276143030A0B}"/>
            </c:ext>
          </c:extLst>
        </c:ser>
        <c:ser>
          <c:idx val="15"/>
          <c:order val="15"/>
          <c:tx>
            <c:strRef>
              <c:f>Diagnóstica!$AC$40</c:f>
              <c:strCache>
                <c:ptCount val="1"/>
                <c:pt idx="0">
                  <c:v>16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Diagnóstica!$AD$40</c:f>
              <c:numCache>
                <c:formatCode>"R$"\ #,##0.00</c:formatCode>
                <c:ptCount val="1"/>
                <c:pt idx="0">
                  <c:v>29374670.950000003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AAD-4370-8CCB-276143030A0B}"/>
            </c:ext>
          </c:extLst>
        </c:ser>
        <c:ser>
          <c:idx val="16"/>
          <c:order val="16"/>
          <c:tx>
            <c:strRef>
              <c:f>Diagnóstica!$AC$41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Diagnóstica!$AD$41</c:f>
              <c:numCache>
                <c:formatCode>"R$"\ #,##0.00</c:formatCode>
                <c:ptCount val="1"/>
                <c:pt idx="0">
                  <c:v>51347414.190000005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AAD-4370-8CCB-276143030A0B}"/>
            </c:ext>
          </c:extLst>
        </c:ser>
        <c:ser>
          <c:idx val="17"/>
          <c:order val="17"/>
          <c:tx>
            <c:strRef>
              <c:f>Diagnóstica!$AC$42</c:f>
              <c:strCache>
                <c:ptCount val="1"/>
                <c:pt idx="0">
                  <c:v>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Diagnóstica!$AD$42</c:f>
              <c:numCache>
                <c:formatCode>"R$"\ #,##0.00</c:formatCode>
                <c:ptCount val="1"/>
                <c:pt idx="0">
                  <c:v>62482538.569999993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AAD-4370-8CCB-276143030A0B}"/>
            </c:ext>
          </c:extLst>
        </c:ser>
        <c:ser>
          <c:idx val="18"/>
          <c:order val="18"/>
          <c:tx>
            <c:strRef>
              <c:f>Diagnóstica!$AC$43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Diagnóstica!$AD$43</c:f>
              <c:numCache>
                <c:formatCode>"R$"\ #,##0.00</c:formatCode>
                <c:ptCount val="1"/>
                <c:pt idx="0">
                  <c:v>83715436.999999985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AAD-4370-8CCB-276143030A0B}"/>
            </c:ext>
          </c:extLst>
        </c:ser>
        <c:ser>
          <c:idx val="19"/>
          <c:order val="19"/>
          <c:tx>
            <c:strRef>
              <c:f>Diagnóstica!$AC$44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Diagnóstica!$AD$44</c:f>
              <c:numCache>
                <c:formatCode>"R$"\ #,##0.00</c:formatCode>
                <c:ptCount val="1"/>
                <c:pt idx="0">
                  <c:v>123654115.52000001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AAD-4370-8CCB-276143030A0B}"/>
            </c:ext>
          </c:extLst>
        </c:ser>
        <c:ser>
          <c:idx val="20"/>
          <c:order val="20"/>
          <c:tx>
            <c:strRef>
              <c:f>Diagnóstica!$AC$45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Diagnóstica!$AD$45</c:f>
              <c:numCache>
                <c:formatCode>"R$"\ #,##0.00</c:formatCode>
                <c:ptCount val="1"/>
                <c:pt idx="0">
                  <c:v>41859207.719999991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AAD-4370-8CCB-276143030A0B}"/>
            </c:ext>
          </c:extLst>
        </c:ser>
        <c:ser>
          <c:idx val="21"/>
          <c:order val="21"/>
          <c:tx>
            <c:strRef>
              <c:f>Diagnóstica!$AC$46</c:f>
              <c:strCache>
                <c:ptCount val="1"/>
                <c:pt idx="0">
                  <c:v>22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Diagnóstica!$AD$46</c:f>
              <c:numCache>
                <c:formatCode>"R$"\ #,##0.00</c:formatCode>
                <c:ptCount val="1"/>
                <c:pt idx="0">
                  <c:v>59076630.18999999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AAD-4370-8CCB-276143030A0B}"/>
            </c:ext>
          </c:extLst>
        </c:ser>
        <c:ser>
          <c:idx val="22"/>
          <c:order val="22"/>
          <c:tx>
            <c:strRef>
              <c:f>Diagnóstica!$AC$47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Diagnóstica!$AD$47</c:f>
              <c:numCache>
                <c:formatCode>"R$"\ #,##0.00</c:formatCode>
                <c:ptCount val="1"/>
                <c:pt idx="0">
                  <c:v>79390179.800000027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AAD-4370-8CCB-276143030A0B}"/>
            </c:ext>
          </c:extLst>
        </c:ser>
        <c:ser>
          <c:idx val="23"/>
          <c:order val="23"/>
          <c:tx>
            <c:strRef>
              <c:f>Diagnóstica!$AC$48</c:f>
              <c:strCache>
                <c:ptCount val="1"/>
                <c:pt idx="0">
                  <c:v>24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Diagnóstica!$AD$48</c:f>
              <c:numCache>
                <c:formatCode>"R$"\ #,##0.00</c:formatCode>
                <c:ptCount val="1"/>
                <c:pt idx="0">
                  <c:v>79516727.180000007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AAD-4370-8CCB-276143030A0B}"/>
            </c:ext>
          </c:extLst>
        </c:ser>
        <c:ser>
          <c:idx val="24"/>
          <c:order val="24"/>
          <c:tx>
            <c:strRef>
              <c:f>Diagnóstica!$AC$49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Diagnóstica!$AD$49</c:f>
              <c:numCache>
                <c:formatCode>"R$"\ #,##0.00</c:formatCode>
                <c:ptCount val="1"/>
                <c:pt idx="0">
                  <c:v>40068097.139999986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AAD-4370-8CCB-276143030A0B}"/>
            </c:ext>
          </c:extLst>
        </c:ser>
        <c:ser>
          <c:idx val="25"/>
          <c:order val="25"/>
          <c:tx>
            <c:strRef>
              <c:f>Diagnóstica!$AC$50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Diagnóstica!$AD$50</c:f>
              <c:numCache>
                <c:formatCode>"R$"\ #,##0.00</c:formatCode>
                <c:ptCount val="1"/>
                <c:pt idx="0">
                  <c:v>59126473.479999997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AAD-4370-8CCB-276143030A0B}"/>
            </c:ext>
          </c:extLst>
        </c:ser>
        <c:ser>
          <c:idx val="26"/>
          <c:order val="26"/>
          <c:tx>
            <c:strRef>
              <c:f>Diagnóstica!$AC$51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Diagnóstica!$AD$51</c:f>
              <c:numCache>
                <c:formatCode>"R$"\ #,##0.00</c:formatCode>
                <c:ptCount val="1"/>
                <c:pt idx="0">
                  <c:v>101618599.37000003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AAD-4370-8CCB-276143030A0B}"/>
            </c:ext>
          </c:extLst>
        </c:ser>
        <c:ser>
          <c:idx val="27"/>
          <c:order val="27"/>
          <c:tx>
            <c:strRef>
              <c:f>Diagnóstica!$AC$52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Diagnóstica!$AD$52</c:f>
              <c:numCache>
                <c:formatCode>"R$"\ #,##0.00</c:formatCode>
                <c:ptCount val="1"/>
                <c:pt idx="0">
                  <c:v>81770506.329999983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AAD-4370-8CCB-276143030A0B}"/>
            </c:ext>
          </c:extLst>
        </c:ser>
        <c:ser>
          <c:idx val="28"/>
          <c:order val="28"/>
          <c:tx>
            <c:strRef>
              <c:f>Diagnóstica!$AC$53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Diagnóstica!$AD$53</c:f>
              <c:numCache>
                <c:formatCode>"R$"\ #,##0.00</c:formatCode>
                <c:ptCount val="1"/>
                <c:pt idx="0">
                  <c:v>30806139.210000005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AAD-4370-8CCB-276143030A0B}"/>
            </c:ext>
          </c:extLst>
        </c:ser>
        <c:ser>
          <c:idx val="29"/>
          <c:order val="29"/>
          <c:tx>
            <c:strRef>
              <c:f>Diagnóstica!$AC$54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Diagnóstica!$AD$54</c:f>
              <c:numCache>
                <c:formatCode>"R$"\ #,##0.00</c:formatCode>
                <c:ptCount val="1"/>
                <c:pt idx="0">
                  <c:v>25152040.160000004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AAD-4370-8CCB-276143030A0B}"/>
            </c:ext>
          </c:extLst>
        </c:ser>
        <c:ser>
          <c:idx val="30"/>
          <c:order val="30"/>
          <c:tx>
            <c:strRef>
              <c:f>Diagnóstica!$AC$55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shade val="51000"/>
                    <a:satMod val="130000"/>
                  </a:schemeClr>
                </a:gs>
                <a:gs pos="80000">
                  <a:schemeClr val="accent1">
                    <a:lumMod val="50000"/>
                    <a:shade val="93000"/>
                    <a:satMod val="130000"/>
                  </a:schemeClr>
                </a:gs>
                <a:gs pos="100000">
                  <a:schemeClr val="accent1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Diagnóstica!$AD$55</c:f>
              <c:numCache>
                <c:formatCode>"R$"\ #,##0.00</c:formatCode>
                <c:ptCount val="1"/>
                <c:pt idx="0">
                  <c:v>79764831.070000023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AAD-4370-8CCB-276143030A0B}"/>
            </c:ext>
          </c:extLst>
        </c:ser>
        <c:ser>
          <c:idx val="31"/>
          <c:order val="31"/>
          <c:tx>
            <c:strRef>
              <c:f>Diagnóstica!$AC$56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shade val="51000"/>
                    <a:satMod val="130000"/>
                  </a:schemeClr>
                </a:gs>
                <a:gs pos="80000">
                  <a:schemeClr val="accent2">
                    <a:lumMod val="50000"/>
                    <a:shade val="93000"/>
                    <a:satMod val="130000"/>
                  </a:schemeClr>
                </a:gs>
                <a:gs pos="100000">
                  <a:schemeClr val="accent2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Diagnóstica!$AD$56</c:f>
              <c:numCache>
                <c:formatCode>"R$"\ #,##0.00</c:formatCode>
                <c:ptCount val="1"/>
                <c:pt idx="0">
                  <c:v>65705390.340000018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AAD-4370-8CCB-276143030A0B}"/>
            </c:ext>
          </c:extLst>
        </c:ser>
        <c:ser>
          <c:idx val="32"/>
          <c:order val="32"/>
          <c:tx>
            <c:strRef>
              <c:f>Diagnóstica!$AC$57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shade val="51000"/>
                    <a:satMod val="130000"/>
                  </a:schemeClr>
                </a:gs>
                <a:gs pos="80000">
                  <a:schemeClr val="accent3">
                    <a:lumMod val="50000"/>
                    <a:shade val="93000"/>
                    <a:satMod val="130000"/>
                  </a:schemeClr>
                </a:gs>
                <a:gs pos="100000">
                  <a:schemeClr val="accent3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Diagnóstica!$AD$57</c:f>
              <c:numCache>
                <c:formatCode>"R$"\ #,##0.00</c:formatCode>
                <c:ptCount val="1"/>
                <c:pt idx="0">
                  <c:v>15238321.139999999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AAD-4370-8CCB-276143030A0B}"/>
            </c:ext>
          </c:extLst>
        </c:ser>
        <c:ser>
          <c:idx val="33"/>
          <c:order val="33"/>
          <c:tx>
            <c:strRef>
              <c:f>Diagnóstica!$AC$58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shade val="51000"/>
                    <a:satMod val="130000"/>
                  </a:schemeClr>
                </a:gs>
                <a:gs pos="80000">
                  <a:schemeClr val="accent4">
                    <a:lumMod val="50000"/>
                    <a:shade val="93000"/>
                    <a:satMod val="130000"/>
                  </a:schemeClr>
                </a:gs>
                <a:gs pos="100000">
                  <a:schemeClr val="accent4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Diagnóstica!$AD$58</c:f>
              <c:numCache>
                <c:formatCode>"R$"\ #,##0.00</c:formatCode>
                <c:ptCount val="1"/>
                <c:pt idx="0">
                  <c:v>55059912.460000008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AAD-4370-8CCB-276143030A0B}"/>
            </c:ext>
          </c:extLst>
        </c:ser>
        <c:ser>
          <c:idx val="34"/>
          <c:order val="34"/>
          <c:tx>
            <c:strRef>
              <c:f>Diagnóstica!$AC$59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shade val="51000"/>
                    <a:satMod val="130000"/>
                  </a:schemeClr>
                </a:gs>
                <a:gs pos="80000">
                  <a:schemeClr val="accent5">
                    <a:lumMod val="50000"/>
                    <a:shade val="93000"/>
                    <a:satMod val="130000"/>
                  </a:schemeClr>
                </a:gs>
                <a:gs pos="100000">
                  <a:schemeClr val="accent5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Diagnóstica!$AD$59</c:f>
              <c:numCache>
                <c:formatCode>"R$"\ #,##0.00</c:formatCode>
                <c:ptCount val="1"/>
                <c:pt idx="0">
                  <c:v>52739751.870000027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AAD-4370-8CCB-276143030A0B}"/>
            </c:ext>
          </c:extLst>
        </c:ser>
        <c:ser>
          <c:idx val="35"/>
          <c:order val="35"/>
          <c:tx>
            <c:strRef>
              <c:f>Diagnóstica!$AC$60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shade val="51000"/>
                    <a:satMod val="130000"/>
                  </a:schemeClr>
                </a:gs>
                <a:gs pos="80000">
                  <a:schemeClr val="accent6">
                    <a:lumMod val="50000"/>
                    <a:shade val="93000"/>
                    <a:satMod val="130000"/>
                  </a:schemeClr>
                </a:gs>
                <a:gs pos="100000">
                  <a:schemeClr val="accent6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Diagnóstica!$AD$60</c:f>
              <c:numCache>
                <c:formatCode>"R$"\ #,##0.00</c:formatCode>
                <c:ptCount val="1"/>
                <c:pt idx="0">
                  <c:v>21647564.54999999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AAD-4370-8CCB-276143030A0B}"/>
            </c:ext>
          </c:extLst>
        </c:ser>
        <c:ser>
          <c:idx val="36"/>
          <c:order val="36"/>
          <c:tx>
            <c:strRef>
              <c:f>Diagnóstica!$AC$61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1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1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Diagnóstica!$AD$61</c:f>
              <c:numCache>
                <c:formatCode>"R$"\ #,##0.00</c:formatCode>
                <c:ptCount val="1"/>
                <c:pt idx="0">
                  <c:v>29863637.080000009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AAD-4370-8CCB-276143030A0B}"/>
            </c:ext>
          </c:extLst>
        </c:ser>
        <c:ser>
          <c:idx val="37"/>
          <c:order val="37"/>
          <c:tx>
            <c:strRef>
              <c:f>Diagnóstica!$AC$62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2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2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Diagnóstica!$AD$62</c:f>
              <c:numCache>
                <c:formatCode>"R$"\ #,##0.00</c:formatCode>
                <c:ptCount val="1"/>
                <c:pt idx="0">
                  <c:v>23051454.650000002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AAD-4370-8CCB-276143030A0B}"/>
            </c:ext>
          </c:extLst>
        </c:ser>
        <c:ser>
          <c:idx val="38"/>
          <c:order val="38"/>
          <c:tx>
            <c:strRef>
              <c:f>Diagnóstica!$AC$63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3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3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Diagnóstica!$AD$63</c:f>
              <c:numCache>
                <c:formatCode>"R$"\ #,##0.00</c:formatCode>
                <c:ptCount val="1"/>
                <c:pt idx="0">
                  <c:v>81809726.219999984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BAAD-4370-8CCB-276143030A0B}"/>
            </c:ext>
          </c:extLst>
        </c:ser>
        <c:ser>
          <c:idx val="39"/>
          <c:order val="39"/>
          <c:tx>
            <c:strRef>
              <c:f>Diagnóstica!$AC$64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4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4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Diagnóstica!$AD$64</c:f>
              <c:numCache>
                <c:formatCode>"R$"\ #,##0.00</c:formatCode>
                <c:ptCount val="1"/>
                <c:pt idx="0">
                  <c:v>57254759.219999991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AAD-4370-8CCB-276143030A0B}"/>
            </c:ext>
          </c:extLst>
        </c:ser>
        <c:ser>
          <c:idx val="40"/>
          <c:order val="40"/>
          <c:tx>
            <c:strRef>
              <c:f>Diagnóstica!$AC$65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5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5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Diagnóstica!$AD$65</c:f>
              <c:numCache>
                <c:formatCode>"R$"\ #,##0.00</c:formatCode>
                <c:ptCount val="1"/>
                <c:pt idx="0">
                  <c:v>72218185.230000004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AAD-4370-8CCB-276143030A0B}"/>
            </c:ext>
          </c:extLst>
        </c:ser>
        <c:ser>
          <c:idx val="41"/>
          <c:order val="41"/>
          <c:tx>
            <c:strRef>
              <c:f>Diagnóstica!$AC$66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6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6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Diagnóstica!$AD$66</c:f>
              <c:numCache>
                <c:formatCode>"R$"\ #,##0.00</c:formatCode>
                <c:ptCount val="1"/>
                <c:pt idx="0">
                  <c:v>33325351.510000005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AAD-4370-8CCB-276143030A0B}"/>
            </c:ext>
          </c:extLst>
        </c:ser>
        <c:ser>
          <c:idx val="42"/>
          <c:order val="42"/>
          <c:tx>
            <c:strRef>
              <c:f>Diagnóstica!$AC$67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shade val="51000"/>
                    <a:satMod val="130000"/>
                  </a:schemeClr>
                </a:gs>
                <a:gs pos="80000">
                  <a:schemeClr val="accent1">
                    <a:lumMod val="70000"/>
                    <a:shade val="93000"/>
                    <a:satMod val="130000"/>
                  </a:schemeClr>
                </a:gs>
                <a:gs pos="100000">
                  <a:schemeClr val="accent1">
                    <a:lumMod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Diagnóstica!$AD$67</c:f>
              <c:numCache>
                <c:formatCode>"R$"\ #,##0.00</c:formatCode>
                <c:ptCount val="1"/>
                <c:pt idx="0">
                  <c:v>36681125.710000001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AAD-4370-8CCB-276143030A0B}"/>
            </c:ext>
          </c:extLst>
        </c:ser>
        <c:ser>
          <c:idx val="43"/>
          <c:order val="43"/>
          <c:tx>
            <c:strRef>
              <c:f>Diagnóstica!$AC$68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shade val="51000"/>
                    <a:satMod val="130000"/>
                  </a:schemeClr>
                </a:gs>
                <a:gs pos="80000">
                  <a:schemeClr val="accent2">
                    <a:lumMod val="70000"/>
                    <a:shade val="93000"/>
                    <a:satMod val="130000"/>
                  </a:schemeClr>
                </a:gs>
                <a:gs pos="100000">
                  <a:schemeClr val="accent2">
                    <a:lumMod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Diagnóstica!$AD$68</c:f>
              <c:numCache>
                <c:formatCode>"R$"\ #,##0.00</c:formatCode>
                <c:ptCount val="1"/>
                <c:pt idx="0">
                  <c:v>17245287.700000003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BAAD-4370-8CCB-276143030A0B}"/>
            </c:ext>
          </c:extLst>
        </c:ser>
        <c:ser>
          <c:idx val="44"/>
          <c:order val="44"/>
          <c:tx>
            <c:strRef>
              <c:f>Diagnóstica!$AC$69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shade val="51000"/>
                    <a:satMod val="130000"/>
                  </a:schemeClr>
                </a:gs>
                <a:gs pos="80000">
                  <a:schemeClr val="accent3">
                    <a:lumMod val="70000"/>
                    <a:shade val="93000"/>
                    <a:satMod val="130000"/>
                  </a:schemeClr>
                </a:gs>
                <a:gs pos="100000">
                  <a:schemeClr val="accent3">
                    <a:lumMod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Diagnóstica!$AD$69</c:f>
              <c:numCache>
                <c:formatCode>"R$"\ #,##0.00</c:formatCode>
                <c:ptCount val="1"/>
                <c:pt idx="0">
                  <c:v>44793091.729999989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AAD-4370-8CCB-27614303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563007"/>
        <c:axId val="145562527"/>
      </c:barChart>
      <c:catAx>
        <c:axId val="14556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562527"/>
        <c:crosses val="autoZero"/>
        <c:auto val="1"/>
        <c:lblAlgn val="ctr"/>
        <c:lblOffset val="100"/>
        <c:noMultiLvlLbl val="0"/>
      </c:catAx>
      <c:valAx>
        <c:axId val="14556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56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Mês vs Participação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Diagnóstica!$AC$7</c:f>
              <c:strCache>
                <c:ptCount val="1"/>
                <c:pt idx="0">
                  <c:v>Mês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Diagnóstica!$AC$8:$AC$19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8-4D23-93DC-35E9BC6CE4D1}"/>
            </c:ext>
          </c:extLst>
        </c:ser>
        <c:ser>
          <c:idx val="1"/>
          <c:order val="1"/>
          <c:tx>
            <c:strRef>
              <c:f>Diagnóstica!$AE$7</c:f>
              <c:strCache>
                <c:ptCount val="1"/>
                <c:pt idx="0">
                  <c:v>Participação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Diagnóstica!$AE$8:$AE$19</c:f>
              <c:numCache>
                <c:formatCode>0%</c:formatCode>
                <c:ptCount val="12"/>
                <c:pt idx="0">
                  <c:v>6.678471852067111E-2</c:v>
                </c:pt>
                <c:pt idx="1">
                  <c:v>8.863828865567551E-2</c:v>
                </c:pt>
                <c:pt idx="2">
                  <c:v>8.8078162450605318E-2</c:v>
                </c:pt>
                <c:pt idx="3">
                  <c:v>8.7951335879134701E-2</c:v>
                </c:pt>
                <c:pt idx="4">
                  <c:v>8.7540936073136288E-2</c:v>
                </c:pt>
                <c:pt idx="5">
                  <c:v>9.0039092915831842E-2</c:v>
                </c:pt>
                <c:pt idx="6">
                  <c:v>6.872019918311556E-2</c:v>
                </c:pt>
                <c:pt idx="7">
                  <c:v>6.9338206689686363E-2</c:v>
                </c:pt>
                <c:pt idx="8">
                  <c:v>9.0146477265947544E-2</c:v>
                </c:pt>
                <c:pt idx="9">
                  <c:v>9.0629860789963351E-2</c:v>
                </c:pt>
                <c:pt idx="10">
                  <c:v>8.6512404632879916E-2</c:v>
                </c:pt>
                <c:pt idx="11">
                  <c:v>8.5620316943352509E-2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8-4D23-93DC-35E9BC6CE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056207"/>
        <c:axId val="460055727"/>
      </c:lineChart>
      <c:catAx>
        <c:axId val="46005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055727"/>
        <c:crosses val="autoZero"/>
        <c:auto val="1"/>
        <c:lblAlgn val="ctr"/>
        <c:lblOffset val="100"/>
        <c:noMultiLvlLbl val="0"/>
      </c:catAx>
      <c:valAx>
        <c:axId val="4600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05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Pareto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Diagnóstica!$N$73</c:f>
              <c:strCache>
                <c:ptCount val="1"/>
                <c:pt idx="0">
                  <c:v>Vendas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Diagnóstica!$M$74:$M$118</c:f>
              <c:strCache>
                <c:ptCount val="45"/>
                <c:pt idx="0">
                  <c:v>Loja 20</c:v>
                </c:pt>
                <c:pt idx="1">
                  <c:v>Loja 4</c:v>
                </c:pt>
                <c:pt idx="2">
                  <c:v>Loja14</c:v>
                </c:pt>
                <c:pt idx="3">
                  <c:v>Loja 13</c:v>
                </c:pt>
                <c:pt idx="4">
                  <c:v>Loja 2</c:v>
                </c:pt>
                <c:pt idx="5">
                  <c:v>Loja 10</c:v>
                </c:pt>
                <c:pt idx="6">
                  <c:v>Loja 27</c:v>
                </c:pt>
                <c:pt idx="7">
                  <c:v>Loja 1</c:v>
                </c:pt>
                <c:pt idx="8">
                  <c:v>Loja 6</c:v>
                </c:pt>
                <c:pt idx="9">
                  <c:v>Loja 19</c:v>
                </c:pt>
                <c:pt idx="10">
                  <c:v>Loja 39</c:v>
                </c:pt>
                <c:pt idx="11">
                  <c:v>Loja 28</c:v>
                </c:pt>
                <c:pt idx="12">
                  <c:v>Loja 31</c:v>
                </c:pt>
                <c:pt idx="13">
                  <c:v>Loja 24</c:v>
                </c:pt>
                <c:pt idx="14">
                  <c:v>Loja 23</c:v>
                </c:pt>
                <c:pt idx="15">
                  <c:v>Loja 11</c:v>
                </c:pt>
                <c:pt idx="16">
                  <c:v>Loja 41</c:v>
                </c:pt>
                <c:pt idx="17">
                  <c:v>Loja 32</c:v>
                </c:pt>
                <c:pt idx="18">
                  <c:v>Loja 18</c:v>
                </c:pt>
                <c:pt idx="19">
                  <c:v>Loja 26</c:v>
                </c:pt>
                <c:pt idx="20">
                  <c:v>Loja 22</c:v>
                </c:pt>
                <c:pt idx="21">
                  <c:v>Loja 12</c:v>
                </c:pt>
                <c:pt idx="22">
                  <c:v>Loja 40</c:v>
                </c:pt>
                <c:pt idx="23">
                  <c:v>Loja 34</c:v>
                </c:pt>
                <c:pt idx="24">
                  <c:v>Loja 35</c:v>
                </c:pt>
                <c:pt idx="25">
                  <c:v>Loja 8</c:v>
                </c:pt>
                <c:pt idx="26">
                  <c:v>Loja 17</c:v>
                </c:pt>
                <c:pt idx="27">
                  <c:v>Loja 45</c:v>
                </c:pt>
                <c:pt idx="28">
                  <c:v>Loja 21</c:v>
                </c:pt>
                <c:pt idx="29">
                  <c:v>Loja 25</c:v>
                </c:pt>
                <c:pt idx="30">
                  <c:v>Loja 43</c:v>
                </c:pt>
                <c:pt idx="31">
                  <c:v>Loja 15</c:v>
                </c:pt>
                <c:pt idx="32">
                  <c:v>Loja 42</c:v>
                </c:pt>
                <c:pt idx="33">
                  <c:v>Loja 7</c:v>
                </c:pt>
                <c:pt idx="34">
                  <c:v>Loja 9</c:v>
                </c:pt>
                <c:pt idx="35">
                  <c:v>Loja 29</c:v>
                </c:pt>
                <c:pt idx="36">
                  <c:v>Loja 37</c:v>
                </c:pt>
                <c:pt idx="37">
                  <c:v>Loja 16</c:v>
                </c:pt>
                <c:pt idx="38">
                  <c:v>Loja 30</c:v>
                </c:pt>
                <c:pt idx="39">
                  <c:v>Loja 3</c:v>
                </c:pt>
                <c:pt idx="40">
                  <c:v>Loja 38</c:v>
                </c:pt>
                <c:pt idx="41">
                  <c:v>Loja 36</c:v>
                </c:pt>
                <c:pt idx="42">
                  <c:v>Loja 5</c:v>
                </c:pt>
                <c:pt idx="43">
                  <c:v>Loja 44</c:v>
                </c:pt>
                <c:pt idx="44">
                  <c:v>Loja 33</c:v>
                </c:pt>
              </c:strCache>
            </c:strRef>
          </c:cat>
          <c:val>
            <c:numRef>
              <c:f>Diagnóstica!$N$74:$N$118</c:f>
              <c:numCache>
                <c:formatCode>"R$"\ #,##0.00</c:formatCode>
                <c:ptCount val="45"/>
                <c:pt idx="0">
                  <c:v>123654115.52000001</c:v>
                </c:pt>
                <c:pt idx="1">
                  <c:v>119047758.56999999</c:v>
                </c:pt>
                <c:pt idx="2">
                  <c:v>118285799.76999997</c:v>
                </c:pt>
                <c:pt idx="3">
                  <c:v>113895600.75000001</c:v>
                </c:pt>
                <c:pt idx="4">
                  <c:v>111261408.29000002</c:v>
                </c:pt>
                <c:pt idx="5">
                  <c:v>108599830.23</c:v>
                </c:pt>
                <c:pt idx="6">
                  <c:v>101618599.37000003</c:v>
                </c:pt>
                <c:pt idx="7">
                  <c:v>91305173.030000016</c:v>
                </c:pt>
                <c:pt idx="8">
                  <c:v>90568529.220000044</c:v>
                </c:pt>
                <c:pt idx="9">
                  <c:v>83715436.999999985</c:v>
                </c:pt>
                <c:pt idx="10">
                  <c:v>81809726.219999984</c:v>
                </c:pt>
                <c:pt idx="11">
                  <c:v>81770506.329999983</c:v>
                </c:pt>
                <c:pt idx="12">
                  <c:v>79764831.070000023</c:v>
                </c:pt>
                <c:pt idx="13">
                  <c:v>79516727.180000007</c:v>
                </c:pt>
                <c:pt idx="14">
                  <c:v>79390179.800000027</c:v>
                </c:pt>
                <c:pt idx="15">
                  <c:v>78231038.799999997</c:v>
                </c:pt>
                <c:pt idx="16">
                  <c:v>72218185.230000004</c:v>
                </c:pt>
                <c:pt idx="17">
                  <c:v>65705390.340000018</c:v>
                </c:pt>
                <c:pt idx="18">
                  <c:v>62482538.569999993</c:v>
                </c:pt>
                <c:pt idx="19">
                  <c:v>59126473.479999997</c:v>
                </c:pt>
                <c:pt idx="20">
                  <c:v>59076630.18999999</c:v>
                </c:pt>
                <c:pt idx="21">
                  <c:v>58024045.580000006</c:v>
                </c:pt>
                <c:pt idx="22">
                  <c:v>57254759.219999991</c:v>
                </c:pt>
                <c:pt idx="23">
                  <c:v>55059912.460000008</c:v>
                </c:pt>
                <c:pt idx="24">
                  <c:v>52739751.870000027</c:v>
                </c:pt>
                <c:pt idx="25">
                  <c:v>52619595.950000003</c:v>
                </c:pt>
                <c:pt idx="26">
                  <c:v>51347414.190000005</c:v>
                </c:pt>
                <c:pt idx="27">
                  <c:v>44793091.729999989</c:v>
                </c:pt>
                <c:pt idx="28">
                  <c:v>41859207.719999991</c:v>
                </c:pt>
                <c:pt idx="29">
                  <c:v>40068097.139999986</c:v>
                </c:pt>
                <c:pt idx="30">
                  <c:v>36681125.710000001</c:v>
                </c:pt>
                <c:pt idx="31">
                  <c:v>35503840.100000009</c:v>
                </c:pt>
                <c:pt idx="32">
                  <c:v>33325351.510000005</c:v>
                </c:pt>
                <c:pt idx="33">
                  <c:v>32341729.079999994</c:v>
                </c:pt>
                <c:pt idx="34">
                  <c:v>31487839.230000004</c:v>
                </c:pt>
                <c:pt idx="35">
                  <c:v>30806139.210000005</c:v>
                </c:pt>
                <c:pt idx="36">
                  <c:v>29863637.080000009</c:v>
                </c:pt>
                <c:pt idx="37">
                  <c:v>29374670.950000003</c:v>
                </c:pt>
                <c:pt idx="38">
                  <c:v>25152040.160000004</c:v>
                </c:pt>
                <c:pt idx="39">
                  <c:v>23548991.5</c:v>
                </c:pt>
                <c:pt idx="40">
                  <c:v>23051454.650000002</c:v>
                </c:pt>
                <c:pt idx="41">
                  <c:v>21647564.54999999</c:v>
                </c:pt>
                <c:pt idx="42">
                  <c:v>18493210.620000001</c:v>
                </c:pt>
                <c:pt idx="43">
                  <c:v>17245287.700000003</c:v>
                </c:pt>
                <c:pt idx="44">
                  <c:v>15238321.139999999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2-4E97-BAD2-6FC610C85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5115375"/>
        <c:axId val="1525109615"/>
      </c:barChart>
      <c:barChart>
        <c:barDir val="col"/>
        <c:grouping val="clustered"/>
        <c:varyColors val="0"/>
        <c:ser>
          <c:idx val="1"/>
          <c:order val="1"/>
          <c:tx>
            <c:strRef>
              <c:f>Diagnóstica!$P$73</c:f>
              <c:strCache>
                <c:ptCount val="1"/>
                <c:pt idx="0">
                  <c:v>%Acumulado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Diagnóstica!$M$74:$M$118</c:f>
              <c:strCache>
                <c:ptCount val="45"/>
                <c:pt idx="0">
                  <c:v>Loja 20</c:v>
                </c:pt>
                <c:pt idx="1">
                  <c:v>Loja 4</c:v>
                </c:pt>
                <c:pt idx="2">
                  <c:v>Loja14</c:v>
                </c:pt>
                <c:pt idx="3">
                  <c:v>Loja 13</c:v>
                </c:pt>
                <c:pt idx="4">
                  <c:v>Loja 2</c:v>
                </c:pt>
                <c:pt idx="5">
                  <c:v>Loja 10</c:v>
                </c:pt>
                <c:pt idx="6">
                  <c:v>Loja 27</c:v>
                </c:pt>
                <c:pt idx="7">
                  <c:v>Loja 1</c:v>
                </c:pt>
                <c:pt idx="8">
                  <c:v>Loja 6</c:v>
                </c:pt>
                <c:pt idx="9">
                  <c:v>Loja 19</c:v>
                </c:pt>
                <c:pt idx="10">
                  <c:v>Loja 39</c:v>
                </c:pt>
                <c:pt idx="11">
                  <c:v>Loja 28</c:v>
                </c:pt>
                <c:pt idx="12">
                  <c:v>Loja 31</c:v>
                </c:pt>
                <c:pt idx="13">
                  <c:v>Loja 24</c:v>
                </c:pt>
                <c:pt idx="14">
                  <c:v>Loja 23</c:v>
                </c:pt>
                <c:pt idx="15">
                  <c:v>Loja 11</c:v>
                </c:pt>
                <c:pt idx="16">
                  <c:v>Loja 41</c:v>
                </c:pt>
                <c:pt idx="17">
                  <c:v>Loja 32</c:v>
                </c:pt>
                <c:pt idx="18">
                  <c:v>Loja 18</c:v>
                </c:pt>
                <c:pt idx="19">
                  <c:v>Loja 26</c:v>
                </c:pt>
                <c:pt idx="20">
                  <c:v>Loja 22</c:v>
                </c:pt>
                <c:pt idx="21">
                  <c:v>Loja 12</c:v>
                </c:pt>
                <c:pt idx="22">
                  <c:v>Loja 40</c:v>
                </c:pt>
                <c:pt idx="23">
                  <c:v>Loja 34</c:v>
                </c:pt>
                <c:pt idx="24">
                  <c:v>Loja 35</c:v>
                </c:pt>
                <c:pt idx="25">
                  <c:v>Loja 8</c:v>
                </c:pt>
                <c:pt idx="26">
                  <c:v>Loja 17</c:v>
                </c:pt>
                <c:pt idx="27">
                  <c:v>Loja 45</c:v>
                </c:pt>
                <c:pt idx="28">
                  <c:v>Loja 21</c:v>
                </c:pt>
                <c:pt idx="29">
                  <c:v>Loja 25</c:v>
                </c:pt>
                <c:pt idx="30">
                  <c:v>Loja 43</c:v>
                </c:pt>
                <c:pt idx="31">
                  <c:v>Loja 15</c:v>
                </c:pt>
                <c:pt idx="32">
                  <c:v>Loja 42</c:v>
                </c:pt>
                <c:pt idx="33">
                  <c:v>Loja 7</c:v>
                </c:pt>
                <c:pt idx="34">
                  <c:v>Loja 9</c:v>
                </c:pt>
                <c:pt idx="35">
                  <c:v>Loja 29</c:v>
                </c:pt>
                <c:pt idx="36">
                  <c:v>Loja 37</c:v>
                </c:pt>
                <c:pt idx="37">
                  <c:v>Loja 16</c:v>
                </c:pt>
                <c:pt idx="38">
                  <c:v>Loja 30</c:v>
                </c:pt>
                <c:pt idx="39">
                  <c:v>Loja 3</c:v>
                </c:pt>
                <c:pt idx="40">
                  <c:v>Loja 38</c:v>
                </c:pt>
                <c:pt idx="41">
                  <c:v>Loja 36</c:v>
                </c:pt>
                <c:pt idx="42">
                  <c:v>Loja 5</c:v>
                </c:pt>
                <c:pt idx="43">
                  <c:v>Loja 44</c:v>
                </c:pt>
                <c:pt idx="44">
                  <c:v>Loja 33</c:v>
                </c:pt>
              </c:strCache>
            </c:strRef>
          </c:cat>
          <c:val>
            <c:numRef>
              <c:f>Diagnóstica!$P$74:$P$118</c:f>
              <c:numCache>
                <c:formatCode>0.0%</c:formatCode>
                <c:ptCount val="45"/>
                <c:pt idx="0">
                  <c:v>4.5484958876901925E-2</c:v>
                </c:pt>
                <c:pt idx="1">
                  <c:v>8.9275514332114309E-2</c:v>
                </c:pt>
                <c:pt idx="2">
                  <c:v>0.13278579068348814</c:v>
                </c:pt>
                <c:pt idx="3">
                  <c:v>0.17468117519688012</c:v>
                </c:pt>
                <c:pt idx="4">
                  <c:v>0.2156075977374895</c:v>
                </c:pt>
                <c:pt idx="5">
                  <c:v>0.25555498477978433</c:v>
                </c:pt>
                <c:pt idx="6">
                  <c:v>0.29293439422390621</c:v>
                </c:pt>
                <c:pt idx="7">
                  <c:v>0.32652011050236079</c:v>
                </c:pt>
                <c:pt idx="8">
                  <c:v>0.35983485954884031</c:v>
                </c:pt>
                <c:pt idx="9">
                  <c:v>0.39062876554456105</c:v>
                </c:pt>
                <c:pt idx="10">
                  <c:v>0.42072167443965924</c:v>
                </c:pt>
                <c:pt idx="11">
                  <c:v>0.45080015668121415</c:v>
                </c:pt>
                <c:pt idx="12">
                  <c:v>0.48014087086435969</c:v>
                </c:pt>
                <c:pt idx="13">
                  <c:v>0.50939032245437277</c:v>
                </c:pt>
                <c:pt idx="14">
                  <c:v>0.53859322482642358</c:v>
                </c:pt>
                <c:pt idx="15">
                  <c:v>0.56736974850096145</c:v>
                </c:pt>
                <c:pt idx="16">
                  <c:v>0.5939345027069769</c:v>
                </c:pt>
                <c:pt idx="17">
                  <c:v>0.61810358891197514</c:v>
                </c:pt>
                <c:pt idx="18">
                  <c:v>0.64108718056543057</c:v>
                </c:pt>
                <c:pt idx="19">
                  <c:v>0.66283627644844667</c:v>
                </c:pt>
                <c:pt idx="20">
                  <c:v>0.68456703796397</c:v>
                </c:pt>
                <c:pt idx="21">
                  <c:v>0.70591061650948883</c:v>
                </c:pt>
                <c:pt idx="22">
                  <c:v>0.72697122057977881</c:v>
                </c:pt>
                <c:pt idx="23">
                  <c:v>0.74722447170269723</c:v>
                </c:pt>
                <c:pt idx="24">
                  <c:v>0.76662427440960323</c:v>
                </c:pt>
                <c:pt idx="25">
                  <c:v>0.78597987893469345</c:v>
                </c:pt>
                <c:pt idx="26">
                  <c:v>0.80486752382257953</c:v>
                </c:pt>
                <c:pt idx="27">
                  <c:v>0.82134422519835226</c:v>
                </c:pt>
                <c:pt idx="28">
                  <c:v>0.83674172599124697</c:v>
                </c:pt>
                <c:pt idx="29">
                  <c:v>0.851480384247986</c:v>
                </c:pt>
                <c:pt idx="30">
                  <c:v>0.86497317813892582</c:v>
                </c:pt>
                <c:pt idx="31">
                  <c:v>0.87803291901475145</c:v>
                </c:pt>
                <c:pt idx="32">
                  <c:v>0.89029132413629775</c:v>
                </c:pt>
                <c:pt idx="33">
                  <c:v>0.90218791335231763</c:v>
                </c:pt>
                <c:pt idx="34">
                  <c:v>0.91377040752548888</c:v>
                </c:pt>
                <c:pt idx="35">
                  <c:v>0.92510214500329513</c:v>
                </c:pt>
                <c:pt idx="36">
                  <c:v>0.9360871922763786</c:v>
                </c:pt>
                <c:pt idx="37">
                  <c:v>0.94689237813343297</c:v>
                </c:pt>
                <c:pt idx="38">
                  <c:v>0.95614431048956028</c:v>
                </c:pt>
                <c:pt idx="39">
                  <c:v>0.96480657705032646</c:v>
                </c:pt>
                <c:pt idx="40">
                  <c:v>0.97328582953940701</c:v>
                </c:pt>
                <c:pt idx="41">
                  <c:v>0.98124867476458333</c:v>
                </c:pt>
                <c:pt idx="42">
                  <c:v>0.98805122169976023</c:v>
                </c:pt>
                <c:pt idx="43">
                  <c:v>0.99439473237513254</c:v>
                </c:pt>
                <c:pt idx="44">
                  <c:v>1.0000000000000004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2-4E97-BAD2-6FC610C85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5021295"/>
        <c:axId val="1525033775"/>
      </c:barChart>
      <c:catAx>
        <c:axId val="152511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109615"/>
        <c:crosses val="autoZero"/>
        <c:auto val="1"/>
        <c:lblAlgn val="ctr"/>
        <c:lblOffset val="100"/>
        <c:noMultiLvlLbl val="0"/>
      </c:catAx>
      <c:valAx>
        <c:axId val="15251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115375"/>
        <c:crosses val="autoZero"/>
        <c:crossBetween val="between"/>
      </c:valAx>
      <c:valAx>
        <c:axId val="152503377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021295"/>
        <c:crosses val="max"/>
        <c:crossBetween val="between"/>
      </c:valAx>
      <c:catAx>
        <c:axId val="1525021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5033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Temperatura vs Vendas Semanais</a:t>
            </a:r>
            <a:endParaRPr lang="pt-BR"/>
          </a:p>
        </c:rich>
      </c:tx>
      <c:layout>
        <c:manualLayout>
          <c:xMode val="edge"/>
          <c:yMode val="edge"/>
          <c:x val="0.19040256557334306"/>
          <c:y val="7.54441012725234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30051624341659"/>
          <c:y val="0.10233123295172458"/>
          <c:w val="0.79464601885918529"/>
          <c:h val="0.73163704057548251"/>
        </c:manualLayout>
      </c:layout>
      <c:scatterChart>
        <c:scatterStyle val="lineMarker"/>
        <c:varyColors val="0"/>
        <c:ser>
          <c:idx val="0"/>
          <c:order val="0"/>
          <c:tx>
            <c:strRef>
              <c:f>Walmart_Sales!$G$1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47625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174323408249466E-2"/>
                  <c:y val="-0.304533138684034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xVal>
          <c:yVal>
            <c:numRef>
              <c:f>Walmart_Sales!$G$2:$G$2566</c:f>
              <c:numCache>
                <c:formatCode>0.00</c:formatCode>
                <c:ptCount val="2565"/>
                <c:pt idx="0">
                  <c:v>42.31</c:v>
                </c:pt>
                <c:pt idx="1">
                  <c:v>38.51</c:v>
                </c:pt>
                <c:pt idx="2">
                  <c:v>46.5</c:v>
                </c:pt>
                <c:pt idx="3">
                  <c:v>57.79</c:v>
                </c:pt>
                <c:pt idx="4">
                  <c:v>62.27</c:v>
                </c:pt>
                <c:pt idx="5">
                  <c:v>65.86</c:v>
                </c:pt>
                <c:pt idx="6">
                  <c:v>72.55</c:v>
                </c:pt>
                <c:pt idx="7">
                  <c:v>80.69</c:v>
                </c:pt>
                <c:pt idx="8">
                  <c:v>80.430000000000007</c:v>
                </c:pt>
                <c:pt idx="9">
                  <c:v>80.91</c:v>
                </c:pt>
                <c:pt idx="10">
                  <c:v>80.48</c:v>
                </c:pt>
                <c:pt idx="11">
                  <c:v>87.16</c:v>
                </c:pt>
                <c:pt idx="12">
                  <c:v>81.209999999999994</c:v>
                </c:pt>
                <c:pt idx="13">
                  <c:v>78.69</c:v>
                </c:pt>
                <c:pt idx="14">
                  <c:v>71.89</c:v>
                </c:pt>
                <c:pt idx="15">
                  <c:v>63.93</c:v>
                </c:pt>
                <c:pt idx="16">
                  <c:v>58.74</c:v>
                </c:pt>
                <c:pt idx="17">
                  <c:v>59.61</c:v>
                </c:pt>
                <c:pt idx="18">
                  <c:v>49.27</c:v>
                </c:pt>
                <c:pt idx="19">
                  <c:v>46.33</c:v>
                </c:pt>
                <c:pt idx="20">
                  <c:v>48.27</c:v>
                </c:pt>
                <c:pt idx="21">
                  <c:v>42.27</c:v>
                </c:pt>
                <c:pt idx="22">
                  <c:v>36.39</c:v>
                </c:pt>
                <c:pt idx="23">
                  <c:v>59.58</c:v>
                </c:pt>
                <c:pt idx="24">
                  <c:v>53.56</c:v>
                </c:pt>
                <c:pt idx="25">
                  <c:v>59.17</c:v>
                </c:pt>
                <c:pt idx="26">
                  <c:v>67.84</c:v>
                </c:pt>
                <c:pt idx="27">
                  <c:v>64.61</c:v>
                </c:pt>
                <c:pt idx="28">
                  <c:v>83</c:v>
                </c:pt>
                <c:pt idx="29">
                  <c:v>83.13</c:v>
                </c:pt>
                <c:pt idx="30">
                  <c:v>85.55</c:v>
                </c:pt>
                <c:pt idx="31">
                  <c:v>85.83</c:v>
                </c:pt>
                <c:pt idx="32">
                  <c:v>91.65</c:v>
                </c:pt>
                <c:pt idx="33">
                  <c:v>90.76</c:v>
                </c:pt>
                <c:pt idx="34">
                  <c:v>87.83</c:v>
                </c:pt>
                <c:pt idx="35">
                  <c:v>76</c:v>
                </c:pt>
                <c:pt idx="36">
                  <c:v>69.31</c:v>
                </c:pt>
                <c:pt idx="37">
                  <c:v>54.98</c:v>
                </c:pt>
                <c:pt idx="38">
                  <c:v>59.11</c:v>
                </c:pt>
                <c:pt idx="39">
                  <c:v>48.91</c:v>
                </c:pt>
                <c:pt idx="40">
                  <c:v>43.93</c:v>
                </c:pt>
                <c:pt idx="41">
                  <c:v>49.01</c:v>
                </c:pt>
                <c:pt idx="42">
                  <c:v>56.55</c:v>
                </c:pt>
                <c:pt idx="43">
                  <c:v>48.02</c:v>
                </c:pt>
                <c:pt idx="44">
                  <c:v>60.96</c:v>
                </c:pt>
                <c:pt idx="45">
                  <c:v>58.76</c:v>
                </c:pt>
                <c:pt idx="46">
                  <c:v>70.430000000000007</c:v>
                </c:pt>
                <c:pt idx="47">
                  <c:v>75.55</c:v>
                </c:pt>
                <c:pt idx="48">
                  <c:v>73.77</c:v>
                </c:pt>
                <c:pt idx="49">
                  <c:v>77.95</c:v>
                </c:pt>
                <c:pt idx="50">
                  <c:v>78.3</c:v>
                </c:pt>
                <c:pt idx="51">
                  <c:v>81.569999999999993</c:v>
                </c:pt>
                <c:pt idx="52">
                  <c:v>86.11</c:v>
                </c:pt>
                <c:pt idx="53">
                  <c:v>85.05</c:v>
                </c:pt>
                <c:pt idx="54">
                  <c:v>83.96</c:v>
                </c:pt>
                <c:pt idx="55">
                  <c:v>68.55</c:v>
                </c:pt>
                <c:pt idx="56">
                  <c:v>62.99</c:v>
                </c:pt>
                <c:pt idx="57">
                  <c:v>40.19</c:v>
                </c:pt>
                <c:pt idx="58">
                  <c:v>38.49</c:v>
                </c:pt>
                <c:pt idx="59">
                  <c:v>47.17</c:v>
                </c:pt>
                <c:pt idx="60">
                  <c:v>57.56</c:v>
                </c:pt>
                <c:pt idx="61">
                  <c:v>63.27</c:v>
                </c:pt>
                <c:pt idx="62">
                  <c:v>65.41</c:v>
                </c:pt>
                <c:pt idx="63">
                  <c:v>71.28</c:v>
                </c:pt>
                <c:pt idx="64">
                  <c:v>81.81</c:v>
                </c:pt>
                <c:pt idx="65">
                  <c:v>83.4</c:v>
                </c:pt>
                <c:pt idx="66">
                  <c:v>82.74</c:v>
                </c:pt>
                <c:pt idx="67">
                  <c:v>82.59</c:v>
                </c:pt>
                <c:pt idx="68">
                  <c:v>89.53</c:v>
                </c:pt>
                <c:pt idx="69">
                  <c:v>81.83</c:v>
                </c:pt>
                <c:pt idx="70">
                  <c:v>79.09</c:v>
                </c:pt>
                <c:pt idx="71">
                  <c:v>69.239999999999995</c:v>
                </c:pt>
                <c:pt idx="72">
                  <c:v>63.19</c:v>
                </c:pt>
                <c:pt idx="73">
                  <c:v>57.85</c:v>
                </c:pt>
                <c:pt idx="74">
                  <c:v>59.69</c:v>
                </c:pt>
                <c:pt idx="75">
                  <c:v>49.33</c:v>
                </c:pt>
                <c:pt idx="76">
                  <c:v>45.5</c:v>
                </c:pt>
                <c:pt idx="77">
                  <c:v>44.69</c:v>
                </c:pt>
                <c:pt idx="78">
                  <c:v>38.25</c:v>
                </c:pt>
                <c:pt idx="79">
                  <c:v>33.19</c:v>
                </c:pt>
                <c:pt idx="80">
                  <c:v>57.77</c:v>
                </c:pt>
                <c:pt idx="81">
                  <c:v>52.7</c:v>
                </c:pt>
                <c:pt idx="82">
                  <c:v>55.43</c:v>
                </c:pt>
                <c:pt idx="83">
                  <c:v>67</c:v>
                </c:pt>
                <c:pt idx="84">
                  <c:v>61.48</c:v>
                </c:pt>
                <c:pt idx="85">
                  <c:v>83.07</c:v>
                </c:pt>
                <c:pt idx="86">
                  <c:v>83.4</c:v>
                </c:pt>
                <c:pt idx="87">
                  <c:v>85.69</c:v>
                </c:pt>
                <c:pt idx="88">
                  <c:v>87.7</c:v>
                </c:pt>
                <c:pt idx="89">
                  <c:v>93.34</c:v>
                </c:pt>
                <c:pt idx="90">
                  <c:v>91.58</c:v>
                </c:pt>
                <c:pt idx="91">
                  <c:v>89.64</c:v>
                </c:pt>
                <c:pt idx="92">
                  <c:v>77.97</c:v>
                </c:pt>
                <c:pt idx="93">
                  <c:v>69.92</c:v>
                </c:pt>
                <c:pt idx="94">
                  <c:v>55.53</c:v>
                </c:pt>
                <c:pt idx="95">
                  <c:v>59.33</c:v>
                </c:pt>
                <c:pt idx="96">
                  <c:v>48.74</c:v>
                </c:pt>
                <c:pt idx="97">
                  <c:v>41.76</c:v>
                </c:pt>
                <c:pt idx="98">
                  <c:v>46.75</c:v>
                </c:pt>
                <c:pt idx="99">
                  <c:v>55.21</c:v>
                </c:pt>
                <c:pt idx="100">
                  <c:v>46.98</c:v>
                </c:pt>
                <c:pt idx="101">
                  <c:v>58.79</c:v>
                </c:pt>
                <c:pt idx="102">
                  <c:v>57.11</c:v>
                </c:pt>
                <c:pt idx="103">
                  <c:v>68.430000000000007</c:v>
                </c:pt>
                <c:pt idx="104">
                  <c:v>76.73</c:v>
                </c:pt>
                <c:pt idx="105">
                  <c:v>73.87</c:v>
                </c:pt>
                <c:pt idx="106">
                  <c:v>78.38</c:v>
                </c:pt>
                <c:pt idx="107">
                  <c:v>78.69</c:v>
                </c:pt>
                <c:pt idx="108">
                  <c:v>84.2</c:v>
                </c:pt>
                <c:pt idx="109">
                  <c:v>90.22</c:v>
                </c:pt>
                <c:pt idx="110">
                  <c:v>88.55</c:v>
                </c:pt>
                <c:pt idx="111">
                  <c:v>87.65</c:v>
                </c:pt>
                <c:pt idx="112">
                  <c:v>70.27</c:v>
                </c:pt>
                <c:pt idx="113">
                  <c:v>60.97</c:v>
                </c:pt>
                <c:pt idx="114">
                  <c:v>45.71</c:v>
                </c:pt>
                <c:pt idx="115">
                  <c:v>47.93</c:v>
                </c:pt>
                <c:pt idx="116">
                  <c:v>53.04</c:v>
                </c:pt>
                <c:pt idx="117">
                  <c:v>63.08</c:v>
                </c:pt>
                <c:pt idx="118">
                  <c:v>65.56</c:v>
                </c:pt>
                <c:pt idx="119">
                  <c:v>68</c:v>
                </c:pt>
                <c:pt idx="120">
                  <c:v>73.47</c:v>
                </c:pt>
                <c:pt idx="121">
                  <c:v>78.53</c:v>
                </c:pt>
                <c:pt idx="122">
                  <c:v>82.1</c:v>
                </c:pt>
                <c:pt idx="123">
                  <c:v>82.2</c:v>
                </c:pt>
                <c:pt idx="124">
                  <c:v>81.75</c:v>
                </c:pt>
                <c:pt idx="125">
                  <c:v>85.13</c:v>
                </c:pt>
                <c:pt idx="126">
                  <c:v>84.16</c:v>
                </c:pt>
                <c:pt idx="127">
                  <c:v>80.84</c:v>
                </c:pt>
                <c:pt idx="128">
                  <c:v>73.599999999999994</c:v>
                </c:pt>
                <c:pt idx="129">
                  <c:v>66.989999999999995</c:v>
                </c:pt>
                <c:pt idx="130">
                  <c:v>62.94</c:v>
                </c:pt>
                <c:pt idx="131">
                  <c:v>62.79</c:v>
                </c:pt>
                <c:pt idx="132">
                  <c:v>53.76</c:v>
                </c:pt>
                <c:pt idx="133">
                  <c:v>51.13</c:v>
                </c:pt>
                <c:pt idx="134">
                  <c:v>53.35</c:v>
                </c:pt>
                <c:pt idx="135">
                  <c:v>45.95</c:v>
                </c:pt>
                <c:pt idx="136">
                  <c:v>43.57</c:v>
                </c:pt>
                <c:pt idx="137">
                  <c:v>65.11</c:v>
                </c:pt>
                <c:pt idx="138">
                  <c:v>61.29</c:v>
                </c:pt>
                <c:pt idx="139">
                  <c:v>68.760000000000005</c:v>
                </c:pt>
                <c:pt idx="140">
                  <c:v>72.55</c:v>
                </c:pt>
                <c:pt idx="141">
                  <c:v>69.45</c:v>
                </c:pt>
                <c:pt idx="142">
                  <c:v>84.29</c:v>
                </c:pt>
                <c:pt idx="143">
                  <c:v>84.84</c:v>
                </c:pt>
                <c:pt idx="144">
                  <c:v>85.1</c:v>
                </c:pt>
                <c:pt idx="145">
                  <c:v>85.38</c:v>
                </c:pt>
                <c:pt idx="146">
                  <c:v>88.45</c:v>
                </c:pt>
                <c:pt idx="147">
                  <c:v>88.88</c:v>
                </c:pt>
                <c:pt idx="148">
                  <c:v>89.12</c:v>
                </c:pt>
                <c:pt idx="149">
                  <c:v>81.72</c:v>
                </c:pt>
                <c:pt idx="150">
                  <c:v>75.540000000000006</c:v>
                </c:pt>
                <c:pt idx="151">
                  <c:v>59.31</c:v>
                </c:pt>
                <c:pt idx="152">
                  <c:v>61.7</c:v>
                </c:pt>
                <c:pt idx="153">
                  <c:v>54.97</c:v>
                </c:pt>
                <c:pt idx="154">
                  <c:v>49.26</c:v>
                </c:pt>
                <c:pt idx="155">
                  <c:v>52.42</c:v>
                </c:pt>
                <c:pt idx="156">
                  <c:v>59.33</c:v>
                </c:pt>
                <c:pt idx="157">
                  <c:v>51.65</c:v>
                </c:pt>
                <c:pt idx="158">
                  <c:v>61.65</c:v>
                </c:pt>
                <c:pt idx="159">
                  <c:v>60.71</c:v>
                </c:pt>
                <c:pt idx="160">
                  <c:v>73.010000000000005</c:v>
                </c:pt>
                <c:pt idx="161">
                  <c:v>79.510000000000005</c:v>
                </c:pt>
                <c:pt idx="162">
                  <c:v>75.19</c:v>
                </c:pt>
                <c:pt idx="163">
                  <c:v>81.55</c:v>
                </c:pt>
                <c:pt idx="164">
                  <c:v>81.650000000000006</c:v>
                </c:pt>
                <c:pt idx="165">
                  <c:v>83.14</c:v>
                </c:pt>
                <c:pt idx="166">
                  <c:v>86.55</c:v>
                </c:pt>
                <c:pt idx="167">
                  <c:v>85.85</c:v>
                </c:pt>
                <c:pt idx="168">
                  <c:v>84.99</c:v>
                </c:pt>
                <c:pt idx="169">
                  <c:v>72.739999999999995</c:v>
                </c:pt>
                <c:pt idx="170">
                  <c:v>70.31</c:v>
                </c:pt>
                <c:pt idx="171">
                  <c:v>43.76</c:v>
                </c:pt>
                <c:pt idx="172">
                  <c:v>28.84</c:v>
                </c:pt>
                <c:pt idx="173">
                  <c:v>43.49</c:v>
                </c:pt>
                <c:pt idx="174">
                  <c:v>49.63</c:v>
                </c:pt>
                <c:pt idx="175">
                  <c:v>48.77</c:v>
                </c:pt>
                <c:pt idx="176">
                  <c:v>54.16</c:v>
                </c:pt>
                <c:pt idx="177">
                  <c:v>56.77</c:v>
                </c:pt>
                <c:pt idx="178">
                  <c:v>70.83</c:v>
                </c:pt>
                <c:pt idx="179">
                  <c:v>78.45</c:v>
                </c:pt>
                <c:pt idx="180">
                  <c:v>73.66</c:v>
                </c:pt>
                <c:pt idx="181">
                  <c:v>80.349999999999994</c:v>
                </c:pt>
                <c:pt idx="182">
                  <c:v>76.53</c:v>
                </c:pt>
                <c:pt idx="183">
                  <c:v>76.8</c:v>
                </c:pt>
                <c:pt idx="184">
                  <c:v>73.540000000000006</c:v>
                </c:pt>
                <c:pt idx="185">
                  <c:v>63.96</c:v>
                </c:pt>
                <c:pt idx="186">
                  <c:v>67.73</c:v>
                </c:pt>
                <c:pt idx="187">
                  <c:v>51.6</c:v>
                </c:pt>
                <c:pt idx="188">
                  <c:v>52.65</c:v>
                </c:pt>
                <c:pt idx="189">
                  <c:v>46.4</c:v>
                </c:pt>
                <c:pt idx="190">
                  <c:v>42.4</c:v>
                </c:pt>
                <c:pt idx="191">
                  <c:v>39.340000000000003</c:v>
                </c:pt>
                <c:pt idx="192">
                  <c:v>34.61</c:v>
                </c:pt>
                <c:pt idx="193">
                  <c:v>33.29</c:v>
                </c:pt>
                <c:pt idx="194">
                  <c:v>46.56</c:v>
                </c:pt>
                <c:pt idx="195">
                  <c:v>50.93</c:v>
                </c:pt>
                <c:pt idx="196">
                  <c:v>56.99</c:v>
                </c:pt>
                <c:pt idx="197">
                  <c:v>62.61</c:v>
                </c:pt>
                <c:pt idx="198">
                  <c:v>63.41</c:v>
                </c:pt>
                <c:pt idx="199">
                  <c:v>78.260000000000005</c:v>
                </c:pt>
                <c:pt idx="200">
                  <c:v>80.05</c:v>
                </c:pt>
                <c:pt idx="201">
                  <c:v>84.54</c:v>
                </c:pt>
                <c:pt idx="202">
                  <c:v>84.59</c:v>
                </c:pt>
                <c:pt idx="203">
                  <c:v>86.09</c:v>
                </c:pt>
                <c:pt idx="204">
                  <c:v>82.98</c:v>
                </c:pt>
                <c:pt idx="205">
                  <c:v>77.989999999999995</c:v>
                </c:pt>
                <c:pt idx="206">
                  <c:v>73.34</c:v>
                </c:pt>
                <c:pt idx="207">
                  <c:v>65.790000000000006</c:v>
                </c:pt>
                <c:pt idx="208">
                  <c:v>49.86</c:v>
                </c:pt>
                <c:pt idx="209">
                  <c:v>47.12</c:v>
                </c:pt>
                <c:pt idx="210">
                  <c:v>38.71</c:v>
                </c:pt>
                <c:pt idx="211">
                  <c:v>31.64</c:v>
                </c:pt>
                <c:pt idx="212">
                  <c:v>38.64</c:v>
                </c:pt>
                <c:pt idx="213">
                  <c:v>41.81</c:v>
                </c:pt>
                <c:pt idx="214">
                  <c:v>33</c:v>
                </c:pt>
                <c:pt idx="215">
                  <c:v>50.38</c:v>
                </c:pt>
                <c:pt idx="216">
                  <c:v>53.63</c:v>
                </c:pt>
                <c:pt idx="217">
                  <c:v>67.69</c:v>
                </c:pt>
                <c:pt idx="218">
                  <c:v>80.14</c:v>
                </c:pt>
                <c:pt idx="219">
                  <c:v>67.64</c:v>
                </c:pt>
                <c:pt idx="220">
                  <c:v>77.41</c:v>
                </c:pt>
                <c:pt idx="221">
                  <c:v>78.11</c:v>
                </c:pt>
                <c:pt idx="222">
                  <c:v>80.37</c:v>
                </c:pt>
                <c:pt idx="223">
                  <c:v>83.86</c:v>
                </c:pt>
                <c:pt idx="224">
                  <c:v>83.21</c:v>
                </c:pt>
                <c:pt idx="225">
                  <c:v>82.09</c:v>
                </c:pt>
                <c:pt idx="226">
                  <c:v>63.07</c:v>
                </c:pt>
                <c:pt idx="227">
                  <c:v>57.11</c:v>
                </c:pt>
                <c:pt idx="228">
                  <c:v>39.700000000000003</c:v>
                </c:pt>
                <c:pt idx="229">
                  <c:v>39.81</c:v>
                </c:pt>
                <c:pt idx="230">
                  <c:v>48.89</c:v>
                </c:pt>
                <c:pt idx="231">
                  <c:v>58.5</c:v>
                </c:pt>
                <c:pt idx="232">
                  <c:v>63.18</c:v>
                </c:pt>
                <c:pt idx="233">
                  <c:v>65.19</c:v>
                </c:pt>
                <c:pt idx="234">
                  <c:v>71.53</c:v>
                </c:pt>
                <c:pt idx="235">
                  <c:v>79.540000000000006</c:v>
                </c:pt>
                <c:pt idx="236">
                  <c:v>80.7</c:v>
                </c:pt>
                <c:pt idx="237">
                  <c:v>81.25</c:v>
                </c:pt>
                <c:pt idx="238">
                  <c:v>81.14</c:v>
                </c:pt>
                <c:pt idx="239">
                  <c:v>86.1</c:v>
                </c:pt>
                <c:pt idx="240">
                  <c:v>84.06</c:v>
                </c:pt>
                <c:pt idx="241">
                  <c:v>79.86</c:v>
                </c:pt>
                <c:pt idx="242">
                  <c:v>71.099999999999994</c:v>
                </c:pt>
                <c:pt idx="243">
                  <c:v>64.989999999999995</c:v>
                </c:pt>
                <c:pt idx="244">
                  <c:v>58.88</c:v>
                </c:pt>
                <c:pt idx="245">
                  <c:v>62.37</c:v>
                </c:pt>
                <c:pt idx="246">
                  <c:v>51.31</c:v>
                </c:pt>
                <c:pt idx="247">
                  <c:v>48.27</c:v>
                </c:pt>
                <c:pt idx="248">
                  <c:v>48.3</c:v>
                </c:pt>
                <c:pt idx="249">
                  <c:v>41.67</c:v>
                </c:pt>
                <c:pt idx="250">
                  <c:v>38.25</c:v>
                </c:pt>
                <c:pt idx="251">
                  <c:v>60.35</c:v>
                </c:pt>
                <c:pt idx="252">
                  <c:v>55.74</c:v>
                </c:pt>
                <c:pt idx="253">
                  <c:v>61.5</c:v>
                </c:pt>
                <c:pt idx="254">
                  <c:v>69.64</c:v>
                </c:pt>
                <c:pt idx="255">
                  <c:v>66.27</c:v>
                </c:pt>
                <c:pt idx="256">
                  <c:v>83.81</c:v>
                </c:pt>
                <c:pt idx="257">
                  <c:v>83.61</c:v>
                </c:pt>
                <c:pt idx="258">
                  <c:v>85.81</c:v>
                </c:pt>
                <c:pt idx="259">
                  <c:v>86.64</c:v>
                </c:pt>
                <c:pt idx="260">
                  <c:v>91.07</c:v>
                </c:pt>
                <c:pt idx="261">
                  <c:v>90.16</c:v>
                </c:pt>
                <c:pt idx="262">
                  <c:v>90.38</c:v>
                </c:pt>
                <c:pt idx="263">
                  <c:v>79.040000000000006</c:v>
                </c:pt>
                <c:pt idx="264">
                  <c:v>71.64</c:v>
                </c:pt>
                <c:pt idx="265">
                  <c:v>56.71</c:v>
                </c:pt>
                <c:pt idx="266">
                  <c:v>60.71</c:v>
                </c:pt>
                <c:pt idx="267">
                  <c:v>51.14</c:v>
                </c:pt>
                <c:pt idx="268">
                  <c:v>44.12</c:v>
                </c:pt>
                <c:pt idx="269">
                  <c:v>50.21</c:v>
                </c:pt>
                <c:pt idx="270">
                  <c:v>57.35</c:v>
                </c:pt>
                <c:pt idx="271">
                  <c:v>48.57</c:v>
                </c:pt>
                <c:pt idx="272">
                  <c:v>60.66</c:v>
                </c:pt>
                <c:pt idx="273">
                  <c:v>57.69</c:v>
                </c:pt>
                <c:pt idx="274">
                  <c:v>70.400000000000006</c:v>
                </c:pt>
                <c:pt idx="275">
                  <c:v>77.099999999999994</c:v>
                </c:pt>
                <c:pt idx="276">
                  <c:v>73.45</c:v>
                </c:pt>
                <c:pt idx="277">
                  <c:v>79.72</c:v>
                </c:pt>
                <c:pt idx="278">
                  <c:v>81.02</c:v>
                </c:pt>
                <c:pt idx="279">
                  <c:v>82.35</c:v>
                </c:pt>
                <c:pt idx="280">
                  <c:v>86.91</c:v>
                </c:pt>
                <c:pt idx="281">
                  <c:v>86.96</c:v>
                </c:pt>
                <c:pt idx="282">
                  <c:v>86.3</c:v>
                </c:pt>
                <c:pt idx="283">
                  <c:v>71.17</c:v>
                </c:pt>
                <c:pt idx="284">
                  <c:v>66.239999999999995</c:v>
                </c:pt>
                <c:pt idx="285">
                  <c:v>40.43</c:v>
                </c:pt>
                <c:pt idx="286">
                  <c:v>40.57</c:v>
                </c:pt>
                <c:pt idx="287">
                  <c:v>49.63</c:v>
                </c:pt>
                <c:pt idx="288">
                  <c:v>58.82</c:v>
                </c:pt>
                <c:pt idx="289">
                  <c:v>64.94</c:v>
                </c:pt>
                <c:pt idx="290">
                  <c:v>66.150000000000006</c:v>
                </c:pt>
                <c:pt idx="291">
                  <c:v>73.680000000000007</c:v>
                </c:pt>
                <c:pt idx="292">
                  <c:v>79.44</c:v>
                </c:pt>
                <c:pt idx="293">
                  <c:v>81.81</c:v>
                </c:pt>
                <c:pt idx="294">
                  <c:v>80.34</c:v>
                </c:pt>
                <c:pt idx="295">
                  <c:v>80.930000000000007</c:v>
                </c:pt>
                <c:pt idx="296">
                  <c:v>86.61</c:v>
                </c:pt>
                <c:pt idx="297">
                  <c:v>82.15</c:v>
                </c:pt>
                <c:pt idx="298">
                  <c:v>78.78</c:v>
                </c:pt>
                <c:pt idx="299">
                  <c:v>70.69</c:v>
                </c:pt>
                <c:pt idx="300">
                  <c:v>65.209999999999994</c:v>
                </c:pt>
                <c:pt idx="301">
                  <c:v>59.9</c:v>
                </c:pt>
                <c:pt idx="302">
                  <c:v>62.11</c:v>
                </c:pt>
                <c:pt idx="303">
                  <c:v>52.3</c:v>
                </c:pt>
                <c:pt idx="304">
                  <c:v>48.46</c:v>
                </c:pt>
                <c:pt idx="305">
                  <c:v>47.78</c:v>
                </c:pt>
                <c:pt idx="306">
                  <c:v>40.590000000000003</c:v>
                </c:pt>
                <c:pt idx="307">
                  <c:v>39.380000000000003</c:v>
                </c:pt>
                <c:pt idx="308">
                  <c:v>60.45</c:v>
                </c:pt>
                <c:pt idx="309">
                  <c:v>57.71</c:v>
                </c:pt>
                <c:pt idx="310">
                  <c:v>62.25</c:v>
                </c:pt>
                <c:pt idx="311">
                  <c:v>70.349999999999994</c:v>
                </c:pt>
                <c:pt idx="312">
                  <c:v>65.42</c:v>
                </c:pt>
                <c:pt idx="313">
                  <c:v>84.01</c:v>
                </c:pt>
                <c:pt idx="314">
                  <c:v>84.49</c:v>
                </c:pt>
                <c:pt idx="315">
                  <c:v>87</c:v>
                </c:pt>
                <c:pt idx="316">
                  <c:v>88.36</c:v>
                </c:pt>
                <c:pt idx="317">
                  <c:v>91.46</c:v>
                </c:pt>
                <c:pt idx="318">
                  <c:v>90.49</c:v>
                </c:pt>
                <c:pt idx="319">
                  <c:v>91.22</c:v>
                </c:pt>
                <c:pt idx="320">
                  <c:v>80.209999999999994</c:v>
                </c:pt>
                <c:pt idx="321">
                  <c:v>74.099999999999994</c:v>
                </c:pt>
                <c:pt idx="322">
                  <c:v>58.54</c:v>
                </c:pt>
                <c:pt idx="323">
                  <c:v>61.33</c:v>
                </c:pt>
                <c:pt idx="324">
                  <c:v>51.18</c:v>
                </c:pt>
                <c:pt idx="325">
                  <c:v>43.64</c:v>
                </c:pt>
                <c:pt idx="326">
                  <c:v>50.82</c:v>
                </c:pt>
                <c:pt idx="327">
                  <c:v>57.45</c:v>
                </c:pt>
                <c:pt idx="328">
                  <c:v>48.58</c:v>
                </c:pt>
                <c:pt idx="329">
                  <c:v>60.32</c:v>
                </c:pt>
                <c:pt idx="330">
                  <c:v>57.89</c:v>
                </c:pt>
                <c:pt idx="331">
                  <c:v>71.599999999999994</c:v>
                </c:pt>
                <c:pt idx="332">
                  <c:v>77.66</c:v>
                </c:pt>
                <c:pt idx="333">
                  <c:v>72.66</c:v>
                </c:pt>
                <c:pt idx="334">
                  <c:v>80.39</c:v>
                </c:pt>
                <c:pt idx="335">
                  <c:v>80.5</c:v>
                </c:pt>
                <c:pt idx="336">
                  <c:v>82.95</c:v>
                </c:pt>
                <c:pt idx="337">
                  <c:v>87.55</c:v>
                </c:pt>
                <c:pt idx="338">
                  <c:v>87.04</c:v>
                </c:pt>
                <c:pt idx="339">
                  <c:v>86.33</c:v>
                </c:pt>
                <c:pt idx="340">
                  <c:v>70.84</c:v>
                </c:pt>
                <c:pt idx="341">
                  <c:v>65.430000000000007</c:v>
                </c:pt>
                <c:pt idx="342">
                  <c:v>10.53</c:v>
                </c:pt>
                <c:pt idx="343">
                  <c:v>25.9</c:v>
                </c:pt>
                <c:pt idx="344">
                  <c:v>35.86</c:v>
                </c:pt>
                <c:pt idx="345">
                  <c:v>27.25</c:v>
                </c:pt>
                <c:pt idx="346">
                  <c:v>38.26</c:v>
                </c:pt>
                <c:pt idx="347">
                  <c:v>33.79</c:v>
                </c:pt>
                <c:pt idx="348">
                  <c:v>40.07</c:v>
                </c:pt>
                <c:pt idx="349">
                  <c:v>53.63</c:v>
                </c:pt>
                <c:pt idx="350">
                  <c:v>63.59</c:v>
                </c:pt>
                <c:pt idx="351">
                  <c:v>61.31</c:v>
                </c:pt>
                <c:pt idx="352">
                  <c:v>58</c:v>
                </c:pt>
                <c:pt idx="353">
                  <c:v>61.7</c:v>
                </c:pt>
                <c:pt idx="354">
                  <c:v>49.84</c:v>
                </c:pt>
                <c:pt idx="355">
                  <c:v>48.5</c:v>
                </c:pt>
                <c:pt idx="356">
                  <c:v>49.99</c:v>
                </c:pt>
                <c:pt idx="357">
                  <c:v>44.13</c:v>
                </c:pt>
                <c:pt idx="358">
                  <c:v>49.44</c:v>
                </c:pt>
                <c:pt idx="359">
                  <c:v>22.12</c:v>
                </c:pt>
                <c:pt idx="360">
                  <c:v>21.88</c:v>
                </c:pt>
                <c:pt idx="361">
                  <c:v>24.24</c:v>
                </c:pt>
                <c:pt idx="362">
                  <c:v>10.09</c:v>
                </c:pt>
                <c:pt idx="363">
                  <c:v>-2.06</c:v>
                </c:pt>
                <c:pt idx="364">
                  <c:v>10.24</c:v>
                </c:pt>
                <c:pt idx="365">
                  <c:v>21.84</c:v>
                </c:pt>
                <c:pt idx="366">
                  <c:v>20.7</c:v>
                </c:pt>
                <c:pt idx="367">
                  <c:v>24.83</c:v>
                </c:pt>
                <c:pt idx="368">
                  <c:v>30.64</c:v>
                </c:pt>
                <c:pt idx="369">
                  <c:v>26.54</c:v>
                </c:pt>
                <c:pt idx="370">
                  <c:v>45.77</c:v>
                </c:pt>
                <c:pt idx="371">
                  <c:v>53.3</c:v>
                </c:pt>
                <c:pt idx="372">
                  <c:v>58.54</c:v>
                </c:pt>
                <c:pt idx="373">
                  <c:v>59.08</c:v>
                </c:pt>
                <c:pt idx="374">
                  <c:v>55.91</c:v>
                </c:pt>
                <c:pt idx="375">
                  <c:v>54.56</c:v>
                </c:pt>
                <c:pt idx="376">
                  <c:v>53.4</c:v>
                </c:pt>
                <c:pt idx="377">
                  <c:v>45.61</c:v>
                </c:pt>
                <c:pt idx="378">
                  <c:v>40.65</c:v>
                </c:pt>
                <c:pt idx="379">
                  <c:v>23.41</c:v>
                </c:pt>
                <c:pt idx="380">
                  <c:v>19.53</c:v>
                </c:pt>
                <c:pt idx="381">
                  <c:v>20.38</c:v>
                </c:pt>
                <c:pt idx="382">
                  <c:v>11.17</c:v>
                </c:pt>
                <c:pt idx="383">
                  <c:v>18.670000000000002</c:v>
                </c:pt>
                <c:pt idx="384">
                  <c:v>22.2</c:v>
                </c:pt>
                <c:pt idx="385">
                  <c:v>18.79</c:v>
                </c:pt>
                <c:pt idx="386">
                  <c:v>21.64</c:v>
                </c:pt>
                <c:pt idx="387">
                  <c:v>30.1</c:v>
                </c:pt>
                <c:pt idx="388">
                  <c:v>44.29</c:v>
                </c:pt>
                <c:pt idx="389">
                  <c:v>45.38</c:v>
                </c:pt>
                <c:pt idx="390">
                  <c:v>48.54</c:v>
                </c:pt>
                <c:pt idx="391">
                  <c:v>55.06</c:v>
                </c:pt>
                <c:pt idx="392">
                  <c:v>63.07</c:v>
                </c:pt>
                <c:pt idx="393">
                  <c:v>64.67</c:v>
                </c:pt>
                <c:pt idx="394">
                  <c:v>61.83</c:v>
                </c:pt>
                <c:pt idx="395">
                  <c:v>63.41</c:v>
                </c:pt>
                <c:pt idx="396">
                  <c:v>57.84</c:v>
                </c:pt>
                <c:pt idx="397">
                  <c:v>48.43</c:v>
                </c:pt>
                <c:pt idx="398">
                  <c:v>41.43</c:v>
                </c:pt>
                <c:pt idx="399">
                  <c:v>34.14</c:v>
                </c:pt>
                <c:pt idx="400">
                  <c:v>33.340000000000003</c:v>
                </c:pt>
                <c:pt idx="401">
                  <c:v>45.64</c:v>
                </c:pt>
                <c:pt idx="402">
                  <c:v>49.76</c:v>
                </c:pt>
                <c:pt idx="403">
                  <c:v>60.18</c:v>
                </c:pt>
                <c:pt idx="404">
                  <c:v>59.25</c:v>
                </c:pt>
                <c:pt idx="405">
                  <c:v>62.68</c:v>
                </c:pt>
                <c:pt idx="406">
                  <c:v>75.709999999999994</c:v>
                </c:pt>
                <c:pt idx="407">
                  <c:v>82.21</c:v>
                </c:pt>
                <c:pt idx="408">
                  <c:v>74.78</c:v>
                </c:pt>
                <c:pt idx="409">
                  <c:v>72.489999999999995</c:v>
                </c:pt>
                <c:pt idx="410">
                  <c:v>80.37</c:v>
                </c:pt>
                <c:pt idx="411">
                  <c:v>76.14</c:v>
                </c:pt>
                <c:pt idx="412">
                  <c:v>74.34</c:v>
                </c:pt>
                <c:pt idx="413">
                  <c:v>68.7</c:v>
                </c:pt>
                <c:pt idx="414">
                  <c:v>62.94</c:v>
                </c:pt>
                <c:pt idx="415">
                  <c:v>55.76</c:v>
                </c:pt>
                <c:pt idx="416">
                  <c:v>54.89</c:v>
                </c:pt>
                <c:pt idx="417">
                  <c:v>42.85</c:v>
                </c:pt>
                <c:pt idx="418">
                  <c:v>42.47</c:v>
                </c:pt>
                <c:pt idx="419">
                  <c:v>35.770000000000003</c:v>
                </c:pt>
                <c:pt idx="420">
                  <c:v>24.48</c:v>
                </c:pt>
                <c:pt idx="421">
                  <c:v>28.26</c:v>
                </c:pt>
                <c:pt idx="422">
                  <c:v>53.18</c:v>
                </c:pt>
                <c:pt idx="423">
                  <c:v>49.14</c:v>
                </c:pt>
                <c:pt idx="424">
                  <c:v>49.86</c:v>
                </c:pt>
                <c:pt idx="425">
                  <c:v>65.62</c:v>
                </c:pt>
                <c:pt idx="426">
                  <c:v>58.92</c:v>
                </c:pt>
                <c:pt idx="427">
                  <c:v>82.05</c:v>
                </c:pt>
                <c:pt idx="428">
                  <c:v>82.21</c:v>
                </c:pt>
                <c:pt idx="429">
                  <c:v>87.26</c:v>
                </c:pt>
                <c:pt idx="430">
                  <c:v>83.57</c:v>
                </c:pt>
                <c:pt idx="431">
                  <c:v>85.15</c:v>
                </c:pt>
                <c:pt idx="432">
                  <c:v>86.05</c:v>
                </c:pt>
                <c:pt idx="433">
                  <c:v>84.77</c:v>
                </c:pt>
                <c:pt idx="434">
                  <c:v>69.010000000000005</c:v>
                </c:pt>
                <c:pt idx="435">
                  <c:v>67.61</c:v>
                </c:pt>
                <c:pt idx="436">
                  <c:v>49.68</c:v>
                </c:pt>
                <c:pt idx="437">
                  <c:v>50.56</c:v>
                </c:pt>
                <c:pt idx="438">
                  <c:v>40.82</c:v>
                </c:pt>
                <c:pt idx="439">
                  <c:v>30.51</c:v>
                </c:pt>
                <c:pt idx="440">
                  <c:v>43.47</c:v>
                </c:pt>
                <c:pt idx="441">
                  <c:v>45.56</c:v>
                </c:pt>
                <c:pt idx="442">
                  <c:v>35.71</c:v>
                </c:pt>
                <c:pt idx="443">
                  <c:v>50.95</c:v>
                </c:pt>
                <c:pt idx="444">
                  <c:v>49.59</c:v>
                </c:pt>
                <c:pt idx="445">
                  <c:v>62.18</c:v>
                </c:pt>
                <c:pt idx="446">
                  <c:v>73.959999999999994</c:v>
                </c:pt>
                <c:pt idx="447">
                  <c:v>64.959999999999994</c:v>
                </c:pt>
                <c:pt idx="448">
                  <c:v>78.31</c:v>
                </c:pt>
                <c:pt idx="449">
                  <c:v>74.28</c:v>
                </c:pt>
                <c:pt idx="450">
                  <c:v>81.239999999999995</c:v>
                </c:pt>
                <c:pt idx="451">
                  <c:v>85.06</c:v>
                </c:pt>
                <c:pt idx="452">
                  <c:v>83.74</c:v>
                </c:pt>
                <c:pt idx="453">
                  <c:v>80.87</c:v>
                </c:pt>
                <c:pt idx="454">
                  <c:v>61.41</c:v>
                </c:pt>
                <c:pt idx="455">
                  <c:v>55.03</c:v>
                </c:pt>
                <c:pt idx="456">
                  <c:v>38.01</c:v>
                </c:pt>
                <c:pt idx="457">
                  <c:v>37.08</c:v>
                </c:pt>
                <c:pt idx="458">
                  <c:v>48.43</c:v>
                </c:pt>
                <c:pt idx="459">
                  <c:v>55.76</c:v>
                </c:pt>
                <c:pt idx="460">
                  <c:v>65.209999999999994</c:v>
                </c:pt>
                <c:pt idx="461">
                  <c:v>64.95</c:v>
                </c:pt>
                <c:pt idx="462">
                  <c:v>68.58</c:v>
                </c:pt>
                <c:pt idx="463">
                  <c:v>79.650000000000006</c:v>
                </c:pt>
                <c:pt idx="464">
                  <c:v>83.75</c:v>
                </c:pt>
                <c:pt idx="465">
                  <c:v>78.55</c:v>
                </c:pt>
                <c:pt idx="466">
                  <c:v>78.510000000000005</c:v>
                </c:pt>
                <c:pt idx="467">
                  <c:v>87.09</c:v>
                </c:pt>
                <c:pt idx="468">
                  <c:v>82.47</c:v>
                </c:pt>
                <c:pt idx="469">
                  <c:v>77.7</c:v>
                </c:pt>
                <c:pt idx="470">
                  <c:v>69.08</c:v>
                </c:pt>
                <c:pt idx="471">
                  <c:v>65.349999999999994</c:v>
                </c:pt>
                <c:pt idx="472">
                  <c:v>58.69</c:v>
                </c:pt>
                <c:pt idx="473">
                  <c:v>61.59</c:v>
                </c:pt>
                <c:pt idx="474">
                  <c:v>49.89</c:v>
                </c:pt>
                <c:pt idx="475">
                  <c:v>46.1</c:v>
                </c:pt>
                <c:pt idx="476">
                  <c:v>41.82</c:v>
                </c:pt>
                <c:pt idx="477">
                  <c:v>31.82</c:v>
                </c:pt>
                <c:pt idx="478">
                  <c:v>34.130000000000003</c:v>
                </c:pt>
                <c:pt idx="479">
                  <c:v>60.67</c:v>
                </c:pt>
                <c:pt idx="480">
                  <c:v>54.75</c:v>
                </c:pt>
                <c:pt idx="481">
                  <c:v>56.12</c:v>
                </c:pt>
                <c:pt idx="482">
                  <c:v>71.400000000000006</c:v>
                </c:pt>
                <c:pt idx="483">
                  <c:v>62.2</c:v>
                </c:pt>
                <c:pt idx="484">
                  <c:v>85.8</c:v>
                </c:pt>
                <c:pt idx="485">
                  <c:v>85.81</c:v>
                </c:pt>
                <c:pt idx="486">
                  <c:v>89.14</c:v>
                </c:pt>
                <c:pt idx="487">
                  <c:v>89.04</c:v>
                </c:pt>
                <c:pt idx="488">
                  <c:v>91.52</c:v>
                </c:pt>
                <c:pt idx="489">
                  <c:v>91.63</c:v>
                </c:pt>
                <c:pt idx="490">
                  <c:v>89.33</c:v>
                </c:pt>
                <c:pt idx="491">
                  <c:v>75.650000000000006</c:v>
                </c:pt>
                <c:pt idx="492">
                  <c:v>72.62</c:v>
                </c:pt>
                <c:pt idx="493">
                  <c:v>54.46</c:v>
                </c:pt>
                <c:pt idx="494">
                  <c:v>58.28</c:v>
                </c:pt>
                <c:pt idx="495">
                  <c:v>46.84</c:v>
                </c:pt>
                <c:pt idx="496">
                  <c:v>37.65</c:v>
                </c:pt>
                <c:pt idx="497">
                  <c:v>47.54</c:v>
                </c:pt>
                <c:pt idx="498">
                  <c:v>54.43</c:v>
                </c:pt>
                <c:pt idx="499">
                  <c:v>44.03</c:v>
                </c:pt>
                <c:pt idx="500">
                  <c:v>57.2</c:v>
                </c:pt>
                <c:pt idx="501">
                  <c:v>54.03</c:v>
                </c:pt>
                <c:pt idx="502">
                  <c:v>68.83</c:v>
                </c:pt>
                <c:pt idx="503">
                  <c:v>78.98</c:v>
                </c:pt>
                <c:pt idx="504">
                  <c:v>70.94</c:v>
                </c:pt>
                <c:pt idx="505">
                  <c:v>80.260000000000005</c:v>
                </c:pt>
                <c:pt idx="506">
                  <c:v>78.91</c:v>
                </c:pt>
                <c:pt idx="507">
                  <c:v>84.15</c:v>
                </c:pt>
                <c:pt idx="508">
                  <c:v>90.23</c:v>
                </c:pt>
                <c:pt idx="509">
                  <c:v>88.66</c:v>
                </c:pt>
                <c:pt idx="510">
                  <c:v>87.93</c:v>
                </c:pt>
                <c:pt idx="511">
                  <c:v>66.61</c:v>
                </c:pt>
                <c:pt idx="512">
                  <c:v>60.09</c:v>
                </c:pt>
                <c:pt idx="513">
                  <c:v>54.34</c:v>
                </c:pt>
                <c:pt idx="514">
                  <c:v>49.96</c:v>
                </c:pt>
                <c:pt idx="515">
                  <c:v>55.92</c:v>
                </c:pt>
                <c:pt idx="516">
                  <c:v>52.33</c:v>
                </c:pt>
                <c:pt idx="517">
                  <c:v>63.66</c:v>
                </c:pt>
                <c:pt idx="518">
                  <c:v>65.290000000000006</c:v>
                </c:pt>
                <c:pt idx="519">
                  <c:v>71.06</c:v>
                </c:pt>
                <c:pt idx="520">
                  <c:v>82.82</c:v>
                </c:pt>
                <c:pt idx="521">
                  <c:v>89.67</c:v>
                </c:pt>
                <c:pt idx="522">
                  <c:v>92.89</c:v>
                </c:pt>
                <c:pt idx="523">
                  <c:v>91.03</c:v>
                </c:pt>
                <c:pt idx="524">
                  <c:v>86.13</c:v>
                </c:pt>
                <c:pt idx="525">
                  <c:v>83.8</c:v>
                </c:pt>
                <c:pt idx="526">
                  <c:v>84.04</c:v>
                </c:pt>
                <c:pt idx="527">
                  <c:v>86.01</c:v>
                </c:pt>
                <c:pt idx="528">
                  <c:v>77.040000000000006</c:v>
                </c:pt>
                <c:pt idx="529">
                  <c:v>71.040000000000006</c:v>
                </c:pt>
                <c:pt idx="530">
                  <c:v>61.24</c:v>
                </c:pt>
                <c:pt idx="531">
                  <c:v>51.17</c:v>
                </c:pt>
                <c:pt idx="532">
                  <c:v>60.51</c:v>
                </c:pt>
                <c:pt idx="533">
                  <c:v>43.43</c:v>
                </c:pt>
                <c:pt idx="534">
                  <c:v>44.88</c:v>
                </c:pt>
                <c:pt idx="535">
                  <c:v>51.51</c:v>
                </c:pt>
                <c:pt idx="536">
                  <c:v>56.96</c:v>
                </c:pt>
                <c:pt idx="537">
                  <c:v>64.22</c:v>
                </c:pt>
                <c:pt idx="538">
                  <c:v>67.64</c:v>
                </c:pt>
                <c:pt idx="539">
                  <c:v>73.03</c:v>
                </c:pt>
                <c:pt idx="540">
                  <c:v>73.56</c:v>
                </c:pt>
                <c:pt idx="541">
                  <c:v>81.87</c:v>
                </c:pt>
                <c:pt idx="542">
                  <c:v>84.57</c:v>
                </c:pt>
                <c:pt idx="543">
                  <c:v>95.36</c:v>
                </c:pt>
                <c:pt idx="544">
                  <c:v>88.57</c:v>
                </c:pt>
                <c:pt idx="545">
                  <c:v>89.8</c:v>
                </c:pt>
                <c:pt idx="546">
                  <c:v>85.61</c:v>
                </c:pt>
                <c:pt idx="547">
                  <c:v>91.61</c:v>
                </c:pt>
                <c:pt idx="548">
                  <c:v>89.06</c:v>
                </c:pt>
                <c:pt idx="549">
                  <c:v>75.010000000000005</c:v>
                </c:pt>
                <c:pt idx="550">
                  <c:v>68.569999999999993</c:v>
                </c:pt>
                <c:pt idx="551">
                  <c:v>55.28</c:v>
                </c:pt>
                <c:pt idx="552">
                  <c:v>57.29</c:v>
                </c:pt>
                <c:pt idx="553">
                  <c:v>42.58</c:v>
                </c:pt>
                <c:pt idx="554">
                  <c:v>59.85</c:v>
                </c:pt>
                <c:pt idx="555">
                  <c:v>56.85</c:v>
                </c:pt>
                <c:pt idx="556">
                  <c:v>55.73</c:v>
                </c:pt>
                <c:pt idx="557">
                  <c:v>57.62</c:v>
                </c:pt>
                <c:pt idx="558">
                  <c:v>57.65</c:v>
                </c:pt>
                <c:pt idx="559">
                  <c:v>65.989999999999995</c:v>
                </c:pt>
                <c:pt idx="560">
                  <c:v>77.02</c:v>
                </c:pt>
                <c:pt idx="561">
                  <c:v>76.03</c:v>
                </c:pt>
                <c:pt idx="562">
                  <c:v>80.06</c:v>
                </c:pt>
                <c:pt idx="563">
                  <c:v>86.87</c:v>
                </c:pt>
                <c:pt idx="564">
                  <c:v>86.87</c:v>
                </c:pt>
                <c:pt idx="565">
                  <c:v>84.76</c:v>
                </c:pt>
                <c:pt idx="566">
                  <c:v>90.78</c:v>
                </c:pt>
                <c:pt idx="567">
                  <c:v>83.07</c:v>
                </c:pt>
                <c:pt idx="568">
                  <c:v>80.88</c:v>
                </c:pt>
                <c:pt idx="569">
                  <c:v>76.03</c:v>
                </c:pt>
                <c:pt idx="570">
                  <c:v>46.04</c:v>
                </c:pt>
                <c:pt idx="571">
                  <c:v>48.01</c:v>
                </c:pt>
                <c:pt idx="572">
                  <c:v>53.96</c:v>
                </c:pt>
                <c:pt idx="573">
                  <c:v>64.099999999999994</c:v>
                </c:pt>
                <c:pt idx="574">
                  <c:v>66.16</c:v>
                </c:pt>
                <c:pt idx="575">
                  <c:v>69.569999999999993</c:v>
                </c:pt>
                <c:pt idx="576">
                  <c:v>75.569999999999993</c:v>
                </c:pt>
                <c:pt idx="577">
                  <c:v>79.66</c:v>
                </c:pt>
                <c:pt idx="578">
                  <c:v>82.81</c:v>
                </c:pt>
                <c:pt idx="579">
                  <c:v>83.09</c:v>
                </c:pt>
                <c:pt idx="580">
                  <c:v>83.01</c:v>
                </c:pt>
                <c:pt idx="581">
                  <c:v>86.54</c:v>
                </c:pt>
                <c:pt idx="582">
                  <c:v>84.94</c:v>
                </c:pt>
                <c:pt idx="583">
                  <c:v>81.93</c:v>
                </c:pt>
                <c:pt idx="584">
                  <c:v>75.11</c:v>
                </c:pt>
                <c:pt idx="585">
                  <c:v>68.709999999999994</c:v>
                </c:pt>
                <c:pt idx="586">
                  <c:v>64.41</c:v>
                </c:pt>
                <c:pt idx="587">
                  <c:v>63.74</c:v>
                </c:pt>
                <c:pt idx="588">
                  <c:v>55.9</c:v>
                </c:pt>
                <c:pt idx="589">
                  <c:v>53.33</c:v>
                </c:pt>
                <c:pt idx="590">
                  <c:v>54.43</c:v>
                </c:pt>
                <c:pt idx="591">
                  <c:v>47.17</c:v>
                </c:pt>
                <c:pt idx="592">
                  <c:v>44.61</c:v>
                </c:pt>
                <c:pt idx="593">
                  <c:v>66.5</c:v>
                </c:pt>
                <c:pt idx="594">
                  <c:v>63.29</c:v>
                </c:pt>
                <c:pt idx="595">
                  <c:v>69.099999999999994</c:v>
                </c:pt>
                <c:pt idx="596">
                  <c:v>73.569999999999993</c:v>
                </c:pt>
                <c:pt idx="597">
                  <c:v>71.39</c:v>
                </c:pt>
                <c:pt idx="598">
                  <c:v>86.14</c:v>
                </c:pt>
                <c:pt idx="599">
                  <c:v>85.79</c:v>
                </c:pt>
                <c:pt idx="600">
                  <c:v>86.43</c:v>
                </c:pt>
                <c:pt idx="601">
                  <c:v>87.17</c:v>
                </c:pt>
                <c:pt idx="602">
                  <c:v>90.04</c:v>
                </c:pt>
                <c:pt idx="603">
                  <c:v>90.3</c:v>
                </c:pt>
                <c:pt idx="604">
                  <c:v>91.44</c:v>
                </c:pt>
                <c:pt idx="605">
                  <c:v>84.91</c:v>
                </c:pt>
                <c:pt idx="606">
                  <c:v>76.97</c:v>
                </c:pt>
                <c:pt idx="607">
                  <c:v>61.13</c:v>
                </c:pt>
                <c:pt idx="608">
                  <c:v>64.2</c:v>
                </c:pt>
                <c:pt idx="609">
                  <c:v>56.89</c:v>
                </c:pt>
                <c:pt idx="610">
                  <c:v>50.63</c:v>
                </c:pt>
                <c:pt idx="611">
                  <c:v>54.44</c:v>
                </c:pt>
                <c:pt idx="612">
                  <c:v>60.24</c:v>
                </c:pt>
                <c:pt idx="613">
                  <c:v>52.23</c:v>
                </c:pt>
                <c:pt idx="614">
                  <c:v>62.61</c:v>
                </c:pt>
                <c:pt idx="615">
                  <c:v>61.44</c:v>
                </c:pt>
                <c:pt idx="616">
                  <c:v>74.19</c:v>
                </c:pt>
                <c:pt idx="617">
                  <c:v>79.069999999999993</c:v>
                </c:pt>
                <c:pt idx="618">
                  <c:v>75.13</c:v>
                </c:pt>
                <c:pt idx="619">
                  <c:v>81.67</c:v>
                </c:pt>
                <c:pt idx="620">
                  <c:v>82.1</c:v>
                </c:pt>
                <c:pt idx="621">
                  <c:v>83.44</c:v>
                </c:pt>
                <c:pt idx="622">
                  <c:v>86.94</c:v>
                </c:pt>
                <c:pt idx="623">
                  <c:v>86.21</c:v>
                </c:pt>
                <c:pt idx="624">
                  <c:v>85.17</c:v>
                </c:pt>
                <c:pt idx="625">
                  <c:v>73.37</c:v>
                </c:pt>
                <c:pt idx="626">
                  <c:v>69.94</c:v>
                </c:pt>
                <c:pt idx="627">
                  <c:v>49.47</c:v>
                </c:pt>
                <c:pt idx="628">
                  <c:v>47.87</c:v>
                </c:pt>
                <c:pt idx="629">
                  <c:v>53.77</c:v>
                </c:pt>
                <c:pt idx="630">
                  <c:v>50.11</c:v>
                </c:pt>
                <c:pt idx="631">
                  <c:v>59.84</c:v>
                </c:pt>
                <c:pt idx="632">
                  <c:v>59.25</c:v>
                </c:pt>
                <c:pt idx="633">
                  <c:v>70.150000000000006</c:v>
                </c:pt>
                <c:pt idx="634">
                  <c:v>81.39</c:v>
                </c:pt>
                <c:pt idx="635">
                  <c:v>90.84</c:v>
                </c:pt>
                <c:pt idx="636">
                  <c:v>91.98</c:v>
                </c:pt>
                <c:pt idx="637">
                  <c:v>90.37</c:v>
                </c:pt>
                <c:pt idx="638">
                  <c:v>92.95</c:v>
                </c:pt>
                <c:pt idx="639">
                  <c:v>83.12</c:v>
                </c:pt>
                <c:pt idx="640">
                  <c:v>83.63</c:v>
                </c:pt>
                <c:pt idx="641">
                  <c:v>85.2</c:v>
                </c:pt>
                <c:pt idx="642">
                  <c:v>71.819999999999993</c:v>
                </c:pt>
                <c:pt idx="643">
                  <c:v>65.489999999999995</c:v>
                </c:pt>
                <c:pt idx="644">
                  <c:v>57.79</c:v>
                </c:pt>
                <c:pt idx="645">
                  <c:v>43.33</c:v>
                </c:pt>
                <c:pt idx="646">
                  <c:v>50.01</c:v>
                </c:pt>
                <c:pt idx="647">
                  <c:v>37.64</c:v>
                </c:pt>
                <c:pt idx="648">
                  <c:v>45.14</c:v>
                </c:pt>
                <c:pt idx="649">
                  <c:v>51.3</c:v>
                </c:pt>
                <c:pt idx="650">
                  <c:v>51.72</c:v>
                </c:pt>
                <c:pt idx="651">
                  <c:v>57.75</c:v>
                </c:pt>
                <c:pt idx="652">
                  <c:v>63.63</c:v>
                </c:pt>
                <c:pt idx="653">
                  <c:v>64.47</c:v>
                </c:pt>
                <c:pt idx="654">
                  <c:v>68.400000000000006</c:v>
                </c:pt>
                <c:pt idx="655">
                  <c:v>71.81</c:v>
                </c:pt>
                <c:pt idx="656">
                  <c:v>78.72</c:v>
                </c:pt>
                <c:pt idx="657">
                  <c:v>89.85</c:v>
                </c:pt>
                <c:pt idx="658">
                  <c:v>89.9</c:v>
                </c:pt>
                <c:pt idx="659">
                  <c:v>90.61</c:v>
                </c:pt>
                <c:pt idx="660">
                  <c:v>91.04</c:v>
                </c:pt>
                <c:pt idx="661">
                  <c:v>93.66</c:v>
                </c:pt>
                <c:pt idx="662">
                  <c:v>88</c:v>
                </c:pt>
                <c:pt idx="663">
                  <c:v>70.44</c:v>
                </c:pt>
                <c:pt idx="664">
                  <c:v>59.77</c:v>
                </c:pt>
                <c:pt idx="665">
                  <c:v>48.76</c:v>
                </c:pt>
                <c:pt idx="666">
                  <c:v>52.5</c:v>
                </c:pt>
                <c:pt idx="667">
                  <c:v>42.17</c:v>
                </c:pt>
                <c:pt idx="668">
                  <c:v>50.43</c:v>
                </c:pt>
                <c:pt idx="669">
                  <c:v>50.58</c:v>
                </c:pt>
                <c:pt idx="670">
                  <c:v>52.27</c:v>
                </c:pt>
                <c:pt idx="671">
                  <c:v>52.27</c:v>
                </c:pt>
                <c:pt idx="672">
                  <c:v>54.54</c:v>
                </c:pt>
                <c:pt idx="673">
                  <c:v>64.05</c:v>
                </c:pt>
                <c:pt idx="674">
                  <c:v>76.03</c:v>
                </c:pt>
                <c:pt idx="675">
                  <c:v>77.27</c:v>
                </c:pt>
                <c:pt idx="676">
                  <c:v>78.11</c:v>
                </c:pt>
                <c:pt idx="677">
                  <c:v>84.83</c:v>
                </c:pt>
                <c:pt idx="678">
                  <c:v>89.13</c:v>
                </c:pt>
                <c:pt idx="679">
                  <c:v>88.16</c:v>
                </c:pt>
                <c:pt idx="680">
                  <c:v>95.91</c:v>
                </c:pt>
                <c:pt idx="681">
                  <c:v>88.52</c:v>
                </c:pt>
                <c:pt idx="682">
                  <c:v>81.61</c:v>
                </c:pt>
                <c:pt idx="683">
                  <c:v>71.739999999999995</c:v>
                </c:pt>
                <c:pt idx="684">
                  <c:v>31.53</c:v>
                </c:pt>
                <c:pt idx="685">
                  <c:v>33.159999999999997</c:v>
                </c:pt>
                <c:pt idx="686">
                  <c:v>40.65</c:v>
                </c:pt>
                <c:pt idx="687">
                  <c:v>37.619999999999997</c:v>
                </c:pt>
                <c:pt idx="688">
                  <c:v>42.15</c:v>
                </c:pt>
                <c:pt idx="689">
                  <c:v>38.97</c:v>
                </c:pt>
                <c:pt idx="690">
                  <c:v>44.42</c:v>
                </c:pt>
                <c:pt idx="691">
                  <c:v>59.85</c:v>
                </c:pt>
                <c:pt idx="692">
                  <c:v>65.239999999999995</c:v>
                </c:pt>
                <c:pt idx="693">
                  <c:v>78.819999999999993</c:v>
                </c:pt>
                <c:pt idx="694">
                  <c:v>71.33</c:v>
                </c:pt>
                <c:pt idx="695">
                  <c:v>81.239999999999995</c:v>
                </c:pt>
                <c:pt idx="696">
                  <c:v>65.709999999999994</c:v>
                </c:pt>
                <c:pt idx="697">
                  <c:v>65.739999999999995</c:v>
                </c:pt>
                <c:pt idx="698">
                  <c:v>68.739999999999995</c:v>
                </c:pt>
                <c:pt idx="699">
                  <c:v>63.03</c:v>
                </c:pt>
                <c:pt idx="700">
                  <c:v>49.96</c:v>
                </c:pt>
                <c:pt idx="701">
                  <c:v>42.55</c:v>
                </c:pt>
                <c:pt idx="702">
                  <c:v>25.8</c:v>
                </c:pt>
                <c:pt idx="703">
                  <c:v>36.78</c:v>
                </c:pt>
                <c:pt idx="704">
                  <c:v>16.940000000000001</c:v>
                </c:pt>
                <c:pt idx="705">
                  <c:v>23.35</c:v>
                </c:pt>
                <c:pt idx="706">
                  <c:v>30.83</c:v>
                </c:pt>
                <c:pt idx="707">
                  <c:v>34.229999999999997</c:v>
                </c:pt>
                <c:pt idx="708">
                  <c:v>41.28</c:v>
                </c:pt>
                <c:pt idx="709">
                  <c:v>42.49</c:v>
                </c:pt>
                <c:pt idx="710">
                  <c:v>42.75</c:v>
                </c:pt>
                <c:pt idx="711">
                  <c:v>47.75</c:v>
                </c:pt>
                <c:pt idx="712">
                  <c:v>52.76</c:v>
                </c:pt>
                <c:pt idx="713">
                  <c:v>61.39</c:v>
                </c:pt>
                <c:pt idx="714">
                  <c:v>74.290000000000006</c:v>
                </c:pt>
                <c:pt idx="715">
                  <c:v>77.3</c:v>
                </c:pt>
                <c:pt idx="716">
                  <c:v>75.56</c:v>
                </c:pt>
                <c:pt idx="717">
                  <c:v>75.95</c:v>
                </c:pt>
                <c:pt idx="718">
                  <c:v>77</c:v>
                </c:pt>
                <c:pt idx="719">
                  <c:v>70.19</c:v>
                </c:pt>
                <c:pt idx="720">
                  <c:v>60.62</c:v>
                </c:pt>
                <c:pt idx="721">
                  <c:v>43.51</c:v>
                </c:pt>
                <c:pt idx="722">
                  <c:v>33.799999999999997</c:v>
                </c:pt>
                <c:pt idx="723">
                  <c:v>33.94</c:v>
                </c:pt>
                <c:pt idx="724">
                  <c:v>24.82</c:v>
                </c:pt>
                <c:pt idx="725">
                  <c:v>33.799999999999997</c:v>
                </c:pt>
                <c:pt idx="726">
                  <c:v>31.39</c:v>
                </c:pt>
                <c:pt idx="727">
                  <c:v>33.729999999999997</c:v>
                </c:pt>
                <c:pt idx="728">
                  <c:v>32.36</c:v>
                </c:pt>
                <c:pt idx="729">
                  <c:v>38.24</c:v>
                </c:pt>
                <c:pt idx="730">
                  <c:v>48.85</c:v>
                </c:pt>
                <c:pt idx="731">
                  <c:v>54.41</c:v>
                </c:pt>
                <c:pt idx="732">
                  <c:v>56.47</c:v>
                </c:pt>
                <c:pt idx="733">
                  <c:v>61.11</c:v>
                </c:pt>
                <c:pt idx="734">
                  <c:v>68.400000000000006</c:v>
                </c:pt>
                <c:pt idx="735">
                  <c:v>79.23</c:v>
                </c:pt>
                <c:pt idx="736">
                  <c:v>81.99</c:v>
                </c:pt>
                <c:pt idx="737">
                  <c:v>81.69</c:v>
                </c:pt>
                <c:pt idx="738">
                  <c:v>70.650000000000006</c:v>
                </c:pt>
                <c:pt idx="739">
                  <c:v>61.79</c:v>
                </c:pt>
                <c:pt idx="740">
                  <c:v>55.1</c:v>
                </c:pt>
                <c:pt idx="741">
                  <c:v>27.31</c:v>
                </c:pt>
                <c:pt idx="742">
                  <c:v>27.73</c:v>
                </c:pt>
                <c:pt idx="743">
                  <c:v>37.130000000000003</c:v>
                </c:pt>
                <c:pt idx="744">
                  <c:v>45.8</c:v>
                </c:pt>
                <c:pt idx="745">
                  <c:v>47.74</c:v>
                </c:pt>
                <c:pt idx="746">
                  <c:v>65.45</c:v>
                </c:pt>
                <c:pt idx="747">
                  <c:v>70.75</c:v>
                </c:pt>
                <c:pt idx="748">
                  <c:v>75.930000000000007</c:v>
                </c:pt>
                <c:pt idx="749">
                  <c:v>69.709999999999994</c:v>
                </c:pt>
                <c:pt idx="750">
                  <c:v>76.61</c:v>
                </c:pt>
                <c:pt idx="751">
                  <c:v>82.45</c:v>
                </c:pt>
                <c:pt idx="752">
                  <c:v>77.17</c:v>
                </c:pt>
                <c:pt idx="753">
                  <c:v>78.37</c:v>
                </c:pt>
                <c:pt idx="754">
                  <c:v>70.87</c:v>
                </c:pt>
                <c:pt idx="755">
                  <c:v>70.58</c:v>
                </c:pt>
                <c:pt idx="756">
                  <c:v>56.49</c:v>
                </c:pt>
                <c:pt idx="757">
                  <c:v>45.65</c:v>
                </c:pt>
                <c:pt idx="758">
                  <c:v>46.14</c:v>
                </c:pt>
                <c:pt idx="759">
                  <c:v>40.93</c:v>
                </c:pt>
                <c:pt idx="760">
                  <c:v>30.54</c:v>
                </c:pt>
                <c:pt idx="761">
                  <c:v>34.32</c:v>
                </c:pt>
                <c:pt idx="762">
                  <c:v>28.73</c:v>
                </c:pt>
                <c:pt idx="763">
                  <c:v>30.3</c:v>
                </c:pt>
                <c:pt idx="764">
                  <c:v>38.65</c:v>
                </c:pt>
                <c:pt idx="765">
                  <c:v>45.01</c:v>
                </c:pt>
                <c:pt idx="766">
                  <c:v>37.270000000000003</c:v>
                </c:pt>
                <c:pt idx="767">
                  <c:v>48.71</c:v>
                </c:pt>
                <c:pt idx="768">
                  <c:v>58.21</c:v>
                </c:pt>
                <c:pt idx="769">
                  <c:v>76.38</c:v>
                </c:pt>
                <c:pt idx="770">
                  <c:v>73.88</c:v>
                </c:pt>
                <c:pt idx="771">
                  <c:v>74.040000000000006</c:v>
                </c:pt>
                <c:pt idx="772">
                  <c:v>77.489999999999995</c:v>
                </c:pt>
                <c:pt idx="773">
                  <c:v>78.22</c:v>
                </c:pt>
                <c:pt idx="774">
                  <c:v>77</c:v>
                </c:pt>
                <c:pt idx="775">
                  <c:v>70.63</c:v>
                </c:pt>
                <c:pt idx="776">
                  <c:v>71.48</c:v>
                </c:pt>
                <c:pt idx="777">
                  <c:v>55.82</c:v>
                </c:pt>
                <c:pt idx="778">
                  <c:v>43.92</c:v>
                </c:pt>
                <c:pt idx="779">
                  <c:v>47.65</c:v>
                </c:pt>
                <c:pt idx="780">
                  <c:v>50.19</c:v>
                </c:pt>
                <c:pt idx="781">
                  <c:v>46.57</c:v>
                </c:pt>
                <c:pt idx="782">
                  <c:v>35.880000000000003</c:v>
                </c:pt>
                <c:pt idx="783">
                  <c:v>42.96</c:v>
                </c:pt>
                <c:pt idx="784">
                  <c:v>37</c:v>
                </c:pt>
                <c:pt idx="785">
                  <c:v>41.55</c:v>
                </c:pt>
                <c:pt idx="786">
                  <c:v>45.52</c:v>
                </c:pt>
                <c:pt idx="787">
                  <c:v>49.73</c:v>
                </c:pt>
                <c:pt idx="788">
                  <c:v>55.21</c:v>
                </c:pt>
                <c:pt idx="789">
                  <c:v>61.24</c:v>
                </c:pt>
                <c:pt idx="790">
                  <c:v>74.48</c:v>
                </c:pt>
                <c:pt idx="791">
                  <c:v>64.3</c:v>
                </c:pt>
                <c:pt idx="792">
                  <c:v>82.99</c:v>
                </c:pt>
                <c:pt idx="793">
                  <c:v>76.58</c:v>
                </c:pt>
                <c:pt idx="794">
                  <c:v>78.650000000000006</c:v>
                </c:pt>
                <c:pt idx="795">
                  <c:v>75.7</c:v>
                </c:pt>
                <c:pt idx="796">
                  <c:v>64.89</c:v>
                </c:pt>
                <c:pt idx="797">
                  <c:v>54.47</c:v>
                </c:pt>
                <c:pt idx="798">
                  <c:v>19.829999999999998</c:v>
                </c:pt>
                <c:pt idx="799">
                  <c:v>22</c:v>
                </c:pt>
                <c:pt idx="800">
                  <c:v>31.79</c:v>
                </c:pt>
                <c:pt idx="801">
                  <c:v>41.39</c:v>
                </c:pt>
                <c:pt idx="802">
                  <c:v>45.27</c:v>
                </c:pt>
                <c:pt idx="803">
                  <c:v>57.77</c:v>
                </c:pt>
                <c:pt idx="804">
                  <c:v>63.16</c:v>
                </c:pt>
                <c:pt idx="805">
                  <c:v>69.989999999999995</c:v>
                </c:pt>
                <c:pt idx="806">
                  <c:v>61.04</c:v>
                </c:pt>
                <c:pt idx="807">
                  <c:v>66.13</c:v>
                </c:pt>
                <c:pt idx="808">
                  <c:v>77.33</c:v>
                </c:pt>
                <c:pt idx="809">
                  <c:v>72.7</c:v>
                </c:pt>
                <c:pt idx="810">
                  <c:v>73.17</c:v>
                </c:pt>
                <c:pt idx="811">
                  <c:v>62.36</c:v>
                </c:pt>
                <c:pt idx="812">
                  <c:v>59.69</c:v>
                </c:pt>
                <c:pt idx="813">
                  <c:v>52.19</c:v>
                </c:pt>
                <c:pt idx="814">
                  <c:v>40.29</c:v>
                </c:pt>
                <c:pt idx="815">
                  <c:v>39.630000000000003</c:v>
                </c:pt>
                <c:pt idx="816">
                  <c:v>36</c:v>
                </c:pt>
                <c:pt idx="817">
                  <c:v>23.97</c:v>
                </c:pt>
                <c:pt idx="818">
                  <c:v>30.53</c:v>
                </c:pt>
                <c:pt idx="819">
                  <c:v>20.69</c:v>
                </c:pt>
                <c:pt idx="820">
                  <c:v>21.64</c:v>
                </c:pt>
                <c:pt idx="821">
                  <c:v>28.16</c:v>
                </c:pt>
                <c:pt idx="822">
                  <c:v>34.270000000000003</c:v>
                </c:pt>
                <c:pt idx="823">
                  <c:v>30.34</c:v>
                </c:pt>
                <c:pt idx="824">
                  <c:v>40.94</c:v>
                </c:pt>
                <c:pt idx="825">
                  <c:v>49.87</c:v>
                </c:pt>
                <c:pt idx="826">
                  <c:v>69.8</c:v>
                </c:pt>
                <c:pt idx="827">
                  <c:v>69.86</c:v>
                </c:pt>
                <c:pt idx="828">
                  <c:v>67.430000000000007</c:v>
                </c:pt>
                <c:pt idx="829">
                  <c:v>73.47</c:v>
                </c:pt>
                <c:pt idx="830">
                  <c:v>73.63</c:v>
                </c:pt>
                <c:pt idx="831">
                  <c:v>70.63</c:v>
                </c:pt>
                <c:pt idx="832">
                  <c:v>67.63</c:v>
                </c:pt>
                <c:pt idx="833">
                  <c:v>67.59</c:v>
                </c:pt>
                <c:pt idx="834">
                  <c:v>51.24</c:v>
                </c:pt>
                <c:pt idx="835">
                  <c:v>43.39</c:v>
                </c:pt>
                <c:pt idx="836">
                  <c:v>47.13</c:v>
                </c:pt>
                <c:pt idx="837">
                  <c:v>45.67</c:v>
                </c:pt>
                <c:pt idx="838">
                  <c:v>38.53</c:v>
                </c:pt>
                <c:pt idx="839">
                  <c:v>30.24</c:v>
                </c:pt>
                <c:pt idx="840">
                  <c:v>35.299999999999997</c:v>
                </c:pt>
                <c:pt idx="841">
                  <c:v>31.91</c:v>
                </c:pt>
                <c:pt idx="842">
                  <c:v>33.24</c:v>
                </c:pt>
                <c:pt idx="843">
                  <c:v>36.97</c:v>
                </c:pt>
                <c:pt idx="844">
                  <c:v>40.01</c:v>
                </c:pt>
                <c:pt idx="845">
                  <c:v>51.04</c:v>
                </c:pt>
                <c:pt idx="846">
                  <c:v>54.23</c:v>
                </c:pt>
                <c:pt idx="847">
                  <c:v>67.61</c:v>
                </c:pt>
                <c:pt idx="848">
                  <c:v>59.35</c:v>
                </c:pt>
                <c:pt idx="849">
                  <c:v>74.64</c:v>
                </c:pt>
                <c:pt idx="850">
                  <c:v>73.13</c:v>
                </c:pt>
                <c:pt idx="851">
                  <c:v>73.989999999999995</c:v>
                </c:pt>
                <c:pt idx="852">
                  <c:v>71.61</c:v>
                </c:pt>
                <c:pt idx="853">
                  <c:v>59.57</c:v>
                </c:pt>
                <c:pt idx="854">
                  <c:v>49.12</c:v>
                </c:pt>
                <c:pt idx="855">
                  <c:v>19.79</c:v>
                </c:pt>
                <c:pt idx="856">
                  <c:v>20.87</c:v>
                </c:pt>
                <c:pt idx="857">
                  <c:v>27.92</c:v>
                </c:pt>
                <c:pt idx="858">
                  <c:v>28.64</c:v>
                </c:pt>
                <c:pt idx="859">
                  <c:v>36.19</c:v>
                </c:pt>
                <c:pt idx="860">
                  <c:v>34.21</c:v>
                </c:pt>
                <c:pt idx="861">
                  <c:v>37.43</c:v>
                </c:pt>
                <c:pt idx="862">
                  <c:v>53.76</c:v>
                </c:pt>
                <c:pt idx="863">
                  <c:v>62.63</c:v>
                </c:pt>
                <c:pt idx="864">
                  <c:v>64.44</c:v>
                </c:pt>
                <c:pt idx="865">
                  <c:v>61.79</c:v>
                </c:pt>
                <c:pt idx="866">
                  <c:v>67.42</c:v>
                </c:pt>
                <c:pt idx="867">
                  <c:v>58.02</c:v>
                </c:pt>
                <c:pt idx="868">
                  <c:v>57.24</c:v>
                </c:pt>
                <c:pt idx="869">
                  <c:v>59.39</c:v>
                </c:pt>
                <c:pt idx="870">
                  <c:v>54.29</c:v>
                </c:pt>
                <c:pt idx="871">
                  <c:v>39.94</c:v>
                </c:pt>
                <c:pt idx="872">
                  <c:v>34.04</c:v>
                </c:pt>
                <c:pt idx="873">
                  <c:v>23.68</c:v>
                </c:pt>
                <c:pt idx="874">
                  <c:v>32.020000000000003</c:v>
                </c:pt>
                <c:pt idx="875">
                  <c:v>12.39</c:v>
                </c:pt>
                <c:pt idx="876">
                  <c:v>13.64</c:v>
                </c:pt>
                <c:pt idx="877">
                  <c:v>15.02</c:v>
                </c:pt>
                <c:pt idx="878">
                  <c:v>31.77</c:v>
                </c:pt>
                <c:pt idx="879">
                  <c:v>29.36</c:v>
                </c:pt>
                <c:pt idx="880">
                  <c:v>35.75</c:v>
                </c:pt>
                <c:pt idx="881">
                  <c:v>38.04</c:v>
                </c:pt>
                <c:pt idx="882">
                  <c:v>38.64</c:v>
                </c:pt>
                <c:pt idx="883">
                  <c:v>54.08</c:v>
                </c:pt>
                <c:pt idx="884">
                  <c:v>55.78</c:v>
                </c:pt>
                <c:pt idx="885">
                  <c:v>63.59</c:v>
                </c:pt>
                <c:pt idx="886">
                  <c:v>65</c:v>
                </c:pt>
                <c:pt idx="887">
                  <c:v>63.96</c:v>
                </c:pt>
                <c:pt idx="888">
                  <c:v>67.09</c:v>
                </c:pt>
                <c:pt idx="889">
                  <c:v>63.44</c:v>
                </c:pt>
                <c:pt idx="890">
                  <c:v>56.99</c:v>
                </c:pt>
                <c:pt idx="891">
                  <c:v>48.91</c:v>
                </c:pt>
                <c:pt idx="892">
                  <c:v>33.43</c:v>
                </c:pt>
                <c:pt idx="893">
                  <c:v>29.56</c:v>
                </c:pt>
                <c:pt idx="894">
                  <c:v>27.83</c:v>
                </c:pt>
                <c:pt idx="895">
                  <c:v>14.44</c:v>
                </c:pt>
                <c:pt idx="896">
                  <c:v>26.49</c:v>
                </c:pt>
                <c:pt idx="897">
                  <c:v>25.53</c:v>
                </c:pt>
                <c:pt idx="898">
                  <c:v>23.69</c:v>
                </c:pt>
                <c:pt idx="899">
                  <c:v>23.4</c:v>
                </c:pt>
                <c:pt idx="900">
                  <c:v>28.16</c:v>
                </c:pt>
                <c:pt idx="901">
                  <c:v>48.93</c:v>
                </c:pt>
                <c:pt idx="902">
                  <c:v>51.34</c:v>
                </c:pt>
                <c:pt idx="903">
                  <c:v>53.57</c:v>
                </c:pt>
                <c:pt idx="904">
                  <c:v>58.97</c:v>
                </c:pt>
                <c:pt idx="905">
                  <c:v>65.430000000000007</c:v>
                </c:pt>
                <c:pt idx="906">
                  <c:v>70.489999999999995</c:v>
                </c:pt>
                <c:pt idx="907">
                  <c:v>68.59</c:v>
                </c:pt>
                <c:pt idx="908">
                  <c:v>70.239999999999995</c:v>
                </c:pt>
                <c:pt idx="909">
                  <c:v>60.09</c:v>
                </c:pt>
                <c:pt idx="910">
                  <c:v>50.46</c:v>
                </c:pt>
                <c:pt idx="911">
                  <c:v>43.26</c:v>
                </c:pt>
                <c:pt idx="912">
                  <c:v>23.11</c:v>
                </c:pt>
                <c:pt idx="913">
                  <c:v>18.36</c:v>
                </c:pt>
                <c:pt idx="914">
                  <c:v>31.58</c:v>
                </c:pt>
                <c:pt idx="915">
                  <c:v>29.71</c:v>
                </c:pt>
                <c:pt idx="916">
                  <c:v>36.94</c:v>
                </c:pt>
                <c:pt idx="917">
                  <c:v>34.049999999999997</c:v>
                </c:pt>
                <c:pt idx="918">
                  <c:v>40.26</c:v>
                </c:pt>
                <c:pt idx="919">
                  <c:v>53.79</c:v>
                </c:pt>
                <c:pt idx="920">
                  <c:v>57.14</c:v>
                </c:pt>
                <c:pt idx="921">
                  <c:v>68.98</c:v>
                </c:pt>
                <c:pt idx="922">
                  <c:v>62.41</c:v>
                </c:pt>
                <c:pt idx="923">
                  <c:v>70.53</c:v>
                </c:pt>
                <c:pt idx="924">
                  <c:v>57.86</c:v>
                </c:pt>
                <c:pt idx="925">
                  <c:v>56.28</c:v>
                </c:pt>
                <c:pt idx="926">
                  <c:v>60.07</c:v>
                </c:pt>
                <c:pt idx="927">
                  <c:v>58.06</c:v>
                </c:pt>
                <c:pt idx="928">
                  <c:v>42.54</c:v>
                </c:pt>
                <c:pt idx="929">
                  <c:v>36.32</c:v>
                </c:pt>
                <c:pt idx="930">
                  <c:v>22.47</c:v>
                </c:pt>
                <c:pt idx="931">
                  <c:v>31.64</c:v>
                </c:pt>
                <c:pt idx="932">
                  <c:v>6.23</c:v>
                </c:pt>
                <c:pt idx="933">
                  <c:v>11.29</c:v>
                </c:pt>
                <c:pt idx="934">
                  <c:v>14.19</c:v>
                </c:pt>
                <c:pt idx="935">
                  <c:v>24.21</c:v>
                </c:pt>
                <c:pt idx="936">
                  <c:v>32.42</c:v>
                </c:pt>
                <c:pt idx="937">
                  <c:v>39.380000000000003</c:v>
                </c:pt>
                <c:pt idx="938">
                  <c:v>39.159999999999997</c:v>
                </c:pt>
                <c:pt idx="939">
                  <c:v>45.66</c:v>
                </c:pt>
                <c:pt idx="940">
                  <c:v>49.61</c:v>
                </c:pt>
                <c:pt idx="941">
                  <c:v>54.57</c:v>
                </c:pt>
                <c:pt idx="942">
                  <c:v>67.39</c:v>
                </c:pt>
                <c:pt idx="943">
                  <c:v>70.599999999999994</c:v>
                </c:pt>
                <c:pt idx="944">
                  <c:v>65.709999999999994</c:v>
                </c:pt>
                <c:pt idx="945">
                  <c:v>64.790000000000006</c:v>
                </c:pt>
                <c:pt idx="946">
                  <c:v>69.31</c:v>
                </c:pt>
                <c:pt idx="947">
                  <c:v>61.94</c:v>
                </c:pt>
                <c:pt idx="948">
                  <c:v>54.4</c:v>
                </c:pt>
                <c:pt idx="949">
                  <c:v>37.520000000000003</c:v>
                </c:pt>
                <c:pt idx="950">
                  <c:v>27.61</c:v>
                </c:pt>
                <c:pt idx="951">
                  <c:v>26.47</c:v>
                </c:pt>
                <c:pt idx="952">
                  <c:v>17.559999999999999</c:v>
                </c:pt>
                <c:pt idx="953">
                  <c:v>27.64</c:v>
                </c:pt>
                <c:pt idx="954">
                  <c:v>26.26</c:v>
                </c:pt>
                <c:pt idx="955">
                  <c:v>23.63</c:v>
                </c:pt>
                <c:pt idx="956">
                  <c:v>26.28</c:v>
                </c:pt>
                <c:pt idx="957">
                  <c:v>32.020000000000003</c:v>
                </c:pt>
                <c:pt idx="958">
                  <c:v>43.92</c:v>
                </c:pt>
                <c:pt idx="959">
                  <c:v>48.86</c:v>
                </c:pt>
                <c:pt idx="960">
                  <c:v>49.96</c:v>
                </c:pt>
                <c:pt idx="961">
                  <c:v>54.13</c:v>
                </c:pt>
                <c:pt idx="962">
                  <c:v>60.51</c:v>
                </c:pt>
                <c:pt idx="963">
                  <c:v>68.91</c:v>
                </c:pt>
                <c:pt idx="964">
                  <c:v>72.94</c:v>
                </c:pt>
                <c:pt idx="965">
                  <c:v>73.290000000000006</c:v>
                </c:pt>
                <c:pt idx="966">
                  <c:v>61.99</c:v>
                </c:pt>
                <c:pt idx="967">
                  <c:v>52.81</c:v>
                </c:pt>
                <c:pt idx="968">
                  <c:v>44.82</c:v>
                </c:pt>
                <c:pt idx="969">
                  <c:v>21.33</c:v>
                </c:pt>
                <c:pt idx="970">
                  <c:v>26.41</c:v>
                </c:pt>
                <c:pt idx="971">
                  <c:v>37.17</c:v>
                </c:pt>
                <c:pt idx="972">
                  <c:v>42.39</c:v>
                </c:pt>
                <c:pt idx="973">
                  <c:v>45.63</c:v>
                </c:pt>
                <c:pt idx="974">
                  <c:v>59.91</c:v>
                </c:pt>
                <c:pt idx="975">
                  <c:v>65.64</c:v>
                </c:pt>
                <c:pt idx="976">
                  <c:v>70.28</c:v>
                </c:pt>
                <c:pt idx="977">
                  <c:v>64.08</c:v>
                </c:pt>
                <c:pt idx="978">
                  <c:v>71.22</c:v>
                </c:pt>
                <c:pt idx="979">
                  <c:v>79.75</c:v>
                </c:pt>
                <c:pt idx="980">
                  <c:v>73.67</c:v>
                </c:pt>
                <c:pt idx="981">
                  <c:v>75.42</c:v>
                </c:pt>
                <c:pt idx="982">
                  <c:v>67.09</c:v>
                </c:pt>
                <c:pt idx="983">
                  <c:v>67.760000000000005</c:v>
                </c:pt>
                <c:pt idx="984">
                  <c:v>54.73</c:v>
                </c:pt>
                <c:pt idx="985">
                  <c:v>42.05</c:v>
                </c:pt>
                <c:pt idx="986">
                  <c:v>43.17</c:v>
                </c:pt>
                <c:pt idx="987">
                  <c:v>37.090000000000003</c:v>
                </c:pt>
                <c:pt idx="988">
                  <c:v>25.64</c:v>
                </c:pt>
                <c:pt idx="989">
                  <c:v>30.1</c:v>
                </c:pt>
                <c:pt idx="990">
                  <c:v>20.79</c:v>
                </c:pt>
                <c:pt idx="991">
                  <c:v>24.3</c:v>
                </c:pt>
                <c:pt idx="992">
                  <c:v>28.49</c:v>
                </c:pt>
                <c:pt idx="993">
                  <c:v>38.4</c:v>
                </c:pt>
                <c:pt idx="994">
                  <c:v>35.06</c:v>
                </c:pt>
                <c:pt idx="995">
                  <c:v>43.32</c:v>
                </c:pt>
                <c:pt idx="996">
                  <c:v>54.17</c:v>
                </c:pt>
                <c:pt idx="997">
                  <c:v>70.900000000000006</c:v>
                </c:pt>
                <c:pt idx="998">
                  <c:v>69.489999999999995</c:v>
                </c:pt>
                <c:pt idx="999">
                  <c:v>69.75</c:v>
                </c:pt>
                <c:pt idx="1000">
                  <c:v>73.12</c:v>
                </c:pt>
                <c:pt idx="1001">
                  <c:v>74.58</c:v>
                </c:pt>
                <c:pt idx="1002">
                  <c:v>73.569999999999993</c:v>
                </c:pt>
                <c:pt idx="1003">
                  <c:v>68.23</c:v>
                </c:pt>
                <c:pt idx="1004">
                  <c:v>68.11</c:v>
                </c:pt>
                <c:pt idx="1005">
                  <c:v>54.65</c:v>
                </c:pt>
                <c:pt idx="1006">
                  <c:v>38.29</c:v>
                </c:pt>
                <c:pt idx="1007">
                  <c:v>45.69</c:v>
                </c:pt>
                <c:pt idx="1008">
                  <c:v>46.25</c:v>
                </c:pt>
                <c:pt idx="1009">
                  <c:v>42.36</c:v>
                </c:pt>
                <c:pt idx="1010">
                  <c:v>31.27</c:v>
                </c:pt>
                <c:pt idx="1011">
                  <c:v>37.619999999999997</c:v>
                </c:pt>
                <c:pt idx="1012">
                  <c:v>32.83</c:v>
                </c:pt>
                <c:pt idx="1013">
                  <c:v>33.590000000000003</c:v>
                </c:pt>
                <c:pt idx="1014">
                  <c:v>38.1</c:v>
                </c:pt>
                <c:pt idx="1015">
                  <c:v>43.8</c:v>
                </c:pt>
                <c:pt idx="1016">
                  <c:v>49.66</c:v>
                </c:pt>
                <c:pt idx="1017">
                  <c:v>57.44</c:v>
                </c:pt>
                <c:pt idx="1018">
                  <c:v>71.42</c:v>
                </c:pt>
                <c:pt idx="1019">
                  <c:v>59.1</c:v>
                </c:pt>
                <c:pt idx="1020">
                  <c:v>76.08</c:v>
                </c:pt>
                <c:pt idx="1021">
                  <c:v>72.67</c:v>
                </c:pt>
                <c:pt idx="1022">
                  <c:v>75.7</c:v>
                </c:pt>
                <c:pt idx="1023">
                  <c:v>71.849999999999994</c:v>
                </c:pt>
                <c:pt idx="1024">
                  <c:v>59.68</c:v>
                </c:pt>
                <c:pt idx="1025">
                  <c:v>50.97</c:v>
                </c:pt>
                <c:pt idx="1026">
                  <c:v>20.96</c:v>
                </c:pt>
                <c:pt idx="1027">
                  <c:v>23.22</c:v>
                </c:pt>
                <c:pt idx="1028">
                  <c:v>32.92</c:v>
                </c:pt>
                <c:pt idx="1029">
                  <c:v>39.06</c:v>
                </c:pt>
                <c:pt idx="1030">
                  <c:v>45.26</c:v>
                </c:pt>
                <c:pt idx="1031">
                  <c:v>55.66</c:v>
                </c:pt>
                <c:pt idx="1032">
                  <c:v>62.54</c:v>
                </c:pt>
                <c:pt idx="1033">
                  <c:v>68.88</c:v>
                </c:pt>
                <c:pt idx="1034">
                  <c:v>61.64</c:v>
                </c:pt>
                <c:pt idx="1035">
                  <c:v>66.25</c:v>
                </c:pt>
                <c:pt idx="1036">
                  <c:v>78.22</c:v>
                </c:pt>
                <c:pt idx="1037">
                  <c:v>74.2</c:v>
                </c:pt>
                <c:pt idx="1038">
                  <c:v>74.69</c:v>
                </c:pt>
                <c:pt idx="1039">
                  <c:v>63.36</c:v>
                </c:pt>
                <c:pt idx="1040">
                  <c:v>59.91</c:v>
                </c:pt>
                <c:pt idx="1041">
                  <c:v>53.74</c:v>
                </c:pt>
                <c:pt idx="1042">
                  <c:v>41.78</c:v>
                </c:pt>
                <c:pt idx="1043">
                  <c:v>40.299999999999997</c:v>
                </c:pt>
                <c:pt idx="1044">
                  <c:v>36.64</c:v>
                </c:pt>
                <c:pt idx="1045">
                  <c:v>25.12</c:v>
                </c:pt>
                <c:pt idx="1046">
                  <c:v>31.34</c:v>
                </c:pt>
                <c:pt idx="1047">
                  <c:v>21.02</c:v>
                </c:pt>
                <c:pt idx="1048">
                  <c:v>21.79</c:v>
                </c:pt>
                <c:pt idx="1049">
                  <c:v>29.28</c:v>
                </c:pt>
                <c:pt idx="1050">
                  <c:v>35.590000000000003</c:v>
                </c:pt>
                <c:pt idx="1051">
                  <c:v>30.68</c:v>
                </c:pt>
                <c:pt idx="1052">
                  <c:v>41.26</c:v>
                </c:pt>
                <c:pt idx="1053">
                  <c:v>50.43</c:v>
                </c:pt>
                <c:pt idx="1054">
                  <c:v>66.010000000000005</c:v>
                </c:pt>
                <c:pt idx="1055">
                  <c:v>68.260000000000005</c:v>
                </c:pt>
                <c:pt idx="1056">
                  <c:v>67.64</c:v>
                </c:pt>
                <c:pt idx="1057">
                  <c:v>73.2</c:v>
                </c:pt>
                <c:pt idx="1058">
                  <c:v>73.84</c:v>
                </c:pt>
                <c:pt idx="1059">
                  <c:v>70.92</c:v>
                </c:pt>
                <c:pt idx="1060">
                  <c:v>69.27</c:v>
                </c:pt>
                <c:pt idx="1061">
                  <c:v>68.28</c:v>
                </c:pt>
                <c:pt idx="1062">
                  <c:v>53.1</c:v>
                </c:pt>
                <c:pt idx="1063">
                  <c:v>44.97</c:v>
                </c:pt>
                <c:pt idx="1064">
                  <c:v>48.22</c:v>
                </c:pt>
                <c:pt idx="1065">
                  <c:v>45.67</c:v>
                </c:pt>
                <c:pt idx="1066">
                  <c:v>40.18</c:v>
                </c:pt>
                <c:pt idx="1067">
                  <c:v>31.84</c:v>
                </c:pt>
                <c:pt idx="1068">
                  <c:v>36.22</c:v>
                </c:pt>
                <c:pt idx="1069">
                  <c:v>32.61</c:v>
                </c:pt>
                <c:pt idx="1070">
                  <c:v>34.83</c:v>
                </c:pt>
                <c:pt idx="1071">
                  <c:v>38.15</c:v>
                </c:pt>
                <c:pt idx="1072">
                  <c:v>40.229999999999997</c:v>
                </c:pt>
                <c:pt idx="1073">
                  <c:v>50.76</c:v>
                </c:pt>
                <c:pt idx="1074">
                  <c:v>55.33</c:v>
                </c:pt>
                <c:pt idx="1075">
                  <c:v>68.180000000000007</c:v>
                </c:pt>
                <c:pt idx="1076">
                  <c:v>60.19</c:v>
                </c:pt>
                <c:pt idx="1077">
                  <c:v>76.069999999999993</c:v>
                </c:pt>
                <c:pt idx="1078">
                  <c:v>73.41</c:v>
                </c:pt>
                <c:pt idx="1079">
                  <c:v>74.45</c:v>
                </c:pt>
                <c:pt idx="1080">
                  <c:v>72.2</c:v>
                </c:pt>
                <c:pt idx="1081">
                  <c:v>59.86</c:v>
                </c:pt>
                <c:pt idx="1082">
                  <c:v>48.29</c:v>
                </c:pt>
                <c:pt idx="1083">
                  <c:v>25.92</c:v>
                </c:pt>
                <c:pt idx="1084">
                  <c:v>22.12</c:v>
                </c:pt>
                <c:pt idx="1085">
                  <c:v>31.75</c:v>
                </c:pt>
                <c:pt idx="1086">
                  <c:v>43.82</c:v>
                </c:pt>
                <c:pt idx="1087">
                  <c:v>51</c:v>
                </c:pt>
                <c:pt idx="1088">
                  <c:v>65.099999999999994</c:v>
                </c:pt>
                <c:pt idx="1089">
                  <c:v>66.739999999999995</c:v>
                </c:pt>
                <c:pt idx="1090">
                  <c:v>72.52</c:v>
                </c:pt>
                <c:pt idx="1091">
                  <c:v>67.319999999999993</c:v>
                </c:pt>
                <c:pt idx="1092">
                  <c:v>70.099999999999994</c:v>
                </c:pt>
                <c:pt idx="1093">
                  <c:v>78.09</c:v>
                </c:pt>
                <c:pt idx="1094">
                  <c:v>74.569999999999993</c:v>
                </c:pt>
                <c:pt idx="1095">
                  <c:v>75.5</c:v>
                </c:pt>
                <c:pt idx="1096">
                  <c:v>65.02</c:v>
                </c:pt>
                <c:pt idx="1097">
                  <c:v>61.08</c:v>
                </c:pt>
                <c:pt idx="1098">
                  <c:v>51.5</c:v>
                </c:pt>
                <c:pt idx="1099">
                  <c:v>42.78</c:v>
                </c:pt>
                <c:pt idx="1100">
                  <c:v>42.38</c:v>
                </c:pt>
                <c:pt idx="1101">
                  <c:v>35.47</c:v>
                </c:pt>
                <c:pt idx="1102">
                  <c:v>24.27</c:v>
                </c:pt>
                <c:pt idx="1103">
                  <c:v>31.43</c:v>
                </c:pt>
                <c:pt idx="1104">
                  <c:v>28.58</c:v>
                </c:pt>
                <c:pt idx="1105">
                  <c:v>25.38</c:v>
                </c:pt>
                <c:pt idx="1106">
                  <c:v>37.33</c:v>
                </c:pt>
                <c:pt idx="1107">
                  <c:v>39.53</c:v>
                </c:pt>
                <c:pt idx="1108">
                  <c:v>32.43</c:v>
                </c:pt>
                <c:pt idx="1109">
                  <c:v>47.09</c:v>
                </c:pt>
                <c:pt idx="1110">
                  <c:v>53.41</c:v>
                </c:pt>
                <c:pt idx="1111">
                  <c:v>73.510000000000005</c:v>
                </c:pt>
                <c:pt idx="1112">
                  <c:v>73.64</c:v>
                </c:pt>
                <c:pt idx="1113">
                  <c:v>69.66</c:v>
                </c:pt>
                <c:pt idx="1114">
                  <c:v>74.69</c:v>
                </c:pt>
                <c:pt idx="1115">
                  <c:v>77.8</c:v>
                </c:pt>
                <c:pt idx="1116">
                  <c:v>73.52</c:v>
                </c:pt>
                <c:pt idx="1117">
                  <c:v>70.819999999999993</c:v>
                </c:pt>
                <c:pt idx="1118">
                  <c:v>68.739999999999995</c:v>
                </c:pt>
                <c:pt idx="1119">
                  <c:v>52.42</c:v>
                </c:pt>
                <c:pt idx="1120">
                  <c:v>43.88</c:v>
                </c:pt>
                <c:pt idx="1121">
                  <c:v>47.27</c:v>
                </c:pt>
                <c:pt idx="1122">
                  <c:v>46.32</c:v>
                </c:pt>
                <c:pt idx="1123">
                  <c:v>41.64</c:v>
                </c:pt>
                <c:pt idx="1124">
                  <c:v>33.42</c:v>
                </c:pt>
                <c:pt idx="1125">
                  <c:v>39.93</c:v>
                </c:pt>
                <c:pt idx="1126">
                  <c:v>33.47</c:v>
                </c:pt>
                <c:pt idx="1127">
                  <c:v>39.979999999999997</c:v>
                </c:pt>
                <c:pt idx="1128">
                  <c:v>41.14</c:v>
                </c:pt>
                <c:pt idx="1129">
                  <c:v>50.06</c:v>
                </c:pt>
                <c:pt idx="1130">
                  <c:v>62.74</c:v>
                </c:pt>
                <c:pt idx="1131">
                  <c:v>63.19</c:v>
                </c:pt>
                <c:pt idx="1132">
                  <c:v>73.67</c:v>
                </c:pt>
                <c:pt idx="1133">
                  <c:v>62.01</c:v>
                </c:pt>
                <c:pt idx="1134">
                  <c:v>79.2</c:v>
                </c:pt>
                <c:pt idx="1135">
                  <c:v>74.73</c:v>
                </c:pt>
                <c:pt idx="1136">
                  <c:v>75.400000000000006</c:v>
                </c:pt>
                <c:pt idx="1137">
                  <c:v>76.36</c:v>
                </c:pt>
                <c:pt idx="1138">
                  <c:v>60.77</c:v>
                </c:pt>
                <c:pt idx="1139">
                  <c:v>47.2</c:v>
                </c:pt>
                <c:pt idx="1140">
                  <c:v>39.049999999999997</c:v>
                </c:pt>
                <c:pt idx="1141">
                  <c:v>37.770000000000003</c:v>
                </c:pt>
                <c:pt idx="1142">
                  <c:v>48.61</c:v>
                </c:pt>
                <c:pt idx="1143">
                  <c:v>57.1</c:v>
                </c:pt>
                <c:pt idx="1144">
                  <c:v>64.12</c:v>
                </c:pt>
                <c:pt idx="1145">
                  <c:v>65.739999999999995</c:v>
                </c:pt>
                <c:pt idx="1146">
                  <c:v>70.87</c:v>
                </c:pt>
                <c:pt idx="1147">
                  <c:v>82.68</c:v>
                </c:pt>
                <c:pt idx="1148">
                  <c:v>83.51</c:v>
                </c:pt>
                <c:pt idx="1149">
                  <c:v>82.29</c:v>
                </c:pt>
                <c:pt idx="1150">
                  <c:v>81.67</c:v>
                </c:pt>
                <c:pt idx="1151">
                  <c:v>90.3</c:v>
                </c:pt>
                <c:pt idx="1152">
                  <c:v>82.57</c:v>
                </c:pt>
                <c:pt idx="1153">
                  <c:v>79.3</c:v>
                </c:pt>
                <c:pt idx="1154">
                  <c:v>70.28</c:v>
                </c:pt>
                <c:pt idx="1155">
                  <c:v>65.760000000000005</c:v>
                </c:pt>
                <c:pt idx="1156">
                  <c:v>58.71</c:v>
                </c:pt>
                <c:pt idx="1157">
                  <c:v>60.95</c:v>
                </c:pt>
                <c:pt idx="1158">
                  <c:v>50.43</c:v>
                </c:pt>
                <c:pt idx="1159">
                  <c:v>46.35</c:v>
                </c:pt>
                <c:pt idx="1160">
                  <c:v>44.24</c:v>
                </c:pt>
                <c:pt idx="1161">
                  <c:v>36.33</c:v>
                </c:pt>
                <c:pt idx="1162">
                  <c:v>34.61</c:v>
                </c:pt>
                <c:pt idx="1163">
                  <c:v>59.52</c:v>
                </c:pt>
                <c:pt idx="1164">
                  <c:v>54.69</c:v>
                </c:pt>
                <c:pt idx="1165">
                  <c:v>56.36</c:v>
                </c:pt>
                <c:pt idx="1166">
                  <c:v>68.62</c:v>
                </c:pt>
                <c:pt idx="1167">
                  <c:v>61.87</c:v>
                </c:pt>
                <c:pt idx="1168">
                  <c:v>83.82</c:v>
                </c:pt>
                <c:pt idx="1169">
                  <c:v>84.71</c:v>
                </c:pt>
                <c:pt idx="1170">
                  <c:v>87.57</c:v>
                </c:pt>
                <c:pt idx="1171">
                  <c:v>89.16</c:v>
                </c:pt>
                <c:pt idx="1172">
                  <c:v>94.22</c:v>
                </c:pt>
                <c:pt idx="1173">
                  <c:v>92.32</c:v>
                </c:pt>
                <c:pt idx="1174">
                  <c:v>91.94</c:v>
                </c:pt>
                <c:pt idx="1175">
                  <c:v>78.87</c:v>
                </c:pt>
                <c:pt idx="1176">
                  <c:v>71.64</c:v>
                </c:pt>
                <c:pt idx="1177">
                  <c:v>56.01</c:v>
                </c:pt>
                <c:pt idx="1178">
                  <c:v>59.8</c:v>
                </c:pt>
                <c:pt idx="1179">
                  <c:v>48.72</c:v>
                </c:pt>
                <c:pt idx="1180">
                  <c:v>41.44</c:v>
                </c:pt>
                <c:pt idx="1181">
                  <c:v>48.1</c:v>
                </c:pt>
                <c:pt idx="1182">
                  <c:v>55.83</c:v>
                </c:pt>
                <c:pt idx="1183">
                  <c:v>46.52</c:v>
                </c:pt>
                <c:pt idx="1184">
                  <c:v>59.3</c:v>
                </c:pt>
                <c:pt idx="1185">
                  <c:v>57.16</c:v>
                </c:pt>
                <c:pt idx="1186">
                  <c:v>69.02</c:v>
                </c:pt>
                <c:pt idx="1187">
                  <c:v>77.53</c:v>
                </c:pt>
                <c:pt idx="1188">
                  <c:v>74.14</c:v>
                </c:pt>
                <c:pt idx="1189">
                  <c:v>79.239999999999995</c:v>
                </c:pt>
                <c:pt idx="1190">
                  <c:v>79.47</c:v>
                </c:pt>
                <c:pt idx="1191">
                  <c:v>85.26</c:v>
                </c:pt>
                <c:pt idx="1192">
                  <c:v>91.57</c:v>
                </c:pt>
                <c:pt idx="1193">
                  <c:v>89.57</c:v>
                </c:pt>
                <c:pt idx="1194">
                  <c:v>88.4</c:v>
                </c:pt>
                <c:pt idx="1195">
                  <c:v>70.28</c:v>
                </c:pt>
                <c:pt idx="1196">
                  <c:v>61.53</c:v>
                </c:pt>
                <c:pt idx="1197">
                  <c:v>24.36</c:v>
                </c:pt>
                <c:pt idx="1198">
                  <c:v>28.14</c:v>
                </c:pt>
                <c:pt idx="1199">
                  <c:v>36.82</c:v>
                </c:pt>
                <c:pt idx="1200">
                  <c:v>43.43</c:v>
                </c:pt>
                <c:pt idx="1201">
                  <c:v>44.96</c:v>
                </c:pt>
                <c:pt idx="1202">
                  <c:v>57.06</c:v>
                </c:pt>
                <c:pt idx="1203">
                  <c:v>63.81</c:v>
                </c:pt>
                <c:pt idx="1204">
                  <c:v>69.489999999999995</c:v>
                </c:pt>
                <c:pt idx="1205">
                  <c:v>65.010000000000005</c:v>
                </c:pt>
                <c:pt idx="1206">
                  <c:v>72.88</c:v>
                </c:pt>
                <c:pt idx="1207">
                  <c:v>79.22</c:v>
                </c:pt>
                <c:pt idx="1208">
                  <c:v>74.37</c:v>
                </c:pt>
                <c:pt idx="1209">
                  <c:v>75.849999999999994</c:v>
                </c:pt>
                <c:pt idx="1210">
                  <c:v>68.599999999999994</c:v>
                </c:pt>
                <c:pt idx="1211">
                  <c:v>69.31</c:v>
                </c:pt>
                <c:pt idx="1212">
                  <c:v>56.32</c:v>
                </c:pt>
                <c:pt idx="1213">
                  <c:v>44.34</c:v>
                </c:pt>
                <c:pt idx="1214">
                  <c:v>44.42</c:v>
                </c:pt>
                <c:pt idx="1215">
                  <c:v>39.42</c:v>
                </c:pt>
                <c:pt idx="1216">
                  <c:v>28.43</c:v>
                </c:pt>
                <c:pt idx="1217">
                  <c:v>32.56</c:v>
                </c:pt>
                <c:pt idx="1218">
                  <c:v>26.39</c:v>
                </c:pt>
                <c:pt idx="1219">
                  <c:v>28.89</c:v>
                </c:pt>
                <c:pt idx="1220">
                  <c:v>33.520000000000003</c:v>
                </c:pt>
                <c:pt idx="1221">
                  <c:v>41.42</c:v>
                </c:pt>
                <c:pt idx="1222">
                  <c:v>36.04</c:v>
                </c:pt>
                <c:pt idx="1223">
                  <c:v>44.42</c:v>
                </c:pt>
                <c:pt idx="1224">
                  <c:v>53.63</c:v>
                </c:pt>
                <c:pt idx="1225">
                  <c:v>70.09</c:v>
                </c:pt>
                <c:pt idx="1226">
                  <c:v>69.53</c:v>
                </c:pt>
                <c:pt idx="1227">
                  <c:v>70.8</c:v>
                </c:pt>
                <c:pt idx="1228">
                  <c:v>74.22</c:v>
                </c:pt>
                <c:pt idx="1229">
                  <c:v>75.33</c:v>
                </c:pt>
                <c:pt idx="1230">
                  <c:v>74.69</c:v>
                </c:pt>
                <c:pt idx="1231">
                  <c:v>69.16</c:v>
                </c:pt>
                <c:pt idx="1232">
                  <c:v>69.14</c:v>
                </c:pt>
                <c:pt idx="1233">
                  <c:v>56.44</c:v>
                </c:pt>
                <c:pt idx="1234">
                  <c:v>42.81</c:v>
                </c:pt>
                <c:pt idx="1235">
                  <c:v>47.8</c:v>
                </c:pt>
                <c:pt idx="1236">
                  <c:v>49.11</c:v>
                </c:pt>
                <c:pt idx="1237">
                  <c:v>45.35</c:v>
                </c:pt>
                <c:pt idx="1238">
                  <c:v>34.61</c:v>
                </c:pt>
                <c:pt idx="1239">
                  <c:v>40.58</c:v>
                </c:pt>
                <c:pt idx="1240">
                  <c:v>35.68</c:v>
                </c:pt>
                <c:pt idx="1241">
                  <c:v>37.47</c:v>
                </c:pt>
                <c:pt idx="1242">
                  <c:v>41.72</c:v>
                </c:pt>
                <c:pt idx="1243">
                  <c:v>46.38</c:v>
                </c:pt>
                <c:pt idx="1244">
                  <c:v>50.75</c:v>
                </c:pt>
                <c:pt idx="1245">
                  <c:v>56.72</c:v>
                </c:pt>
                <c:pt idx="1246">
                  <c:v>70.010000000000005</c:v>
                </c:pt>
                <c:pt idx="1247">
                  <c:v>61.71</c:v>
                </c:pt>
                <c:pt idx="1248">
                  <c:v>77.41</c:v>
                </c:pt>
                <c:pt idx="1249">
                  <c:v>72.989999999999995</c:v>
                </c:pt>
                <c:pt idx="1250">
                  <c:v>76.739999999999995</c:v>
                </c:pt>
                <c:pt idx="1251">
                  <c:v>73.3</c:v>
                </c:pt>
                <c:pt idx="1252">
                  <c:v>62.09</c:v>
                </c:pt>
                <c:pt idx="1253">
                  <c:v>54.18</c:v>
                </c:pt>
                <c:pt idx="1254">
                  <c:v>15.25</c:v>
                </c:pt>
                <c:pt idx="1255">
                  <c:v>18.75</c:v>
                </c:pt>
                <c:pt idx="1256">
                  <c:v>33.15</c:v>
                </c:pt>
                <c:pt idx="1257">
                  <c:v>36.07</c:v>
                </c:pt>
                <c:pt idx="1258">
                  <c:v>40.5</c:v>
                </c:pt>
                <c:pt idx="1259">
                  <c:v>56.82</c:v>
                </c:pt>
                <c:pt idx="1260">
                  <c:v>61.04</c:v>
                </c:pt>
                <c:pt idx="1261">
                  <c:v>64.94</c:v>
                </c:pt>
                <c:pt idx="1262">
                  <c:v>58.35</c:v>
                </c:pt>
                <c:pt idx="1263">
                  <c:v>64.760000000000005</c:v>
                </c:pt>
                <c:pt idx="1264">
                  <c:v>77.16</c:v>
                </c:pt>
                <c:pt idx="1265">
                  <c:v>70.03</c:v>
                </c:pt>
                <c:pt idx="1266">
                  <c:v>72.91</c:v>
                </c:pt>
                <c:pt idx="1267">
                  <c:v>63.21</c:v>
                </c:pt>
                <c:pt idx="1268">
                  <c:v>62.07</c:v>
                </c:pt>
                <c:pt idx="1269">
                  <c:v>50.75</c:v>
                </c:pt>
                <c:pt idx="1270">
                  <c:v>36.6</c:v>
                </c:pt>
                <c:pt idx="1271">
                  <c:v>35.590000000000003</c:v>
                </c:pt>
                <c:pt idx="1272">
                  <c:v>34.299999999999997</c:v>
                </c:pt>
                <c:pt idx="1273">
                  <c:v>20.12</c:v>
                </c:pt>
                <c:pt idx="1274">
                  <c:v>27.81</c:v>
                </c:pt>
                <c:pt idx="1275">
                  <c:v>14.5</c:v>
                </c:pt>
                <c:pt idx="1276">
                  <c:v>21.52</c:v>
                </c:pt>
                <c:pt idx="1277">
                  <c:v>20.67</c:v>
                </c:pt>
                <c:pt idx="1278">
                  <c:v>29.36</c:v>
                </c:pt>
                <c:pt idx="1279">
                  <c:v>29.44</c:v>
                </c:pt>
                <c:pt idx="1280">
                  <c:v>36.74</c:v>
                </c:pt>
                <c:pt idx="1281">
                  <c:v>50.07</c:v>
                </c:pt>
                <c:pt idx="1282">
                  <c:v>67.209999999999994</c:v>
                </c:pt>
                <c:pt idx="1283">
                  <c:v>65.23</c:v>
                </c:pt>
                <c:pt idx="1284">
                  <c:v>65.650000000000006</c:v>
                </c:pt>
                <c:pt idx="1285">
                  <c:v>69.92</c:v>
                </c:pt>
                <c:pt idx="1286">
                  <c:v>69.53</c:v>
                </c:pt>
                <c:pt idx="1287">
                  <c:v>69.86</c:v>
                </c:pt>
                <c:pt idx="1288">
                  <c:v>65.33</c:v>
                </c:pt>
                <c:pt idx="1289">
                  <c:v>66.040000000000006</c:v>
                </c:pt>
                <c:pt idx="1290">
                  <c:v>49</c:v>
                </c:pt>
                <c:pt idx="1291">
                  <c:v>39.18</c:v>
                </c:pt>
                <c:pt idx="1292">
                  <c:v>44.04</c:v>
                </c:pt>
                <c:pt idx="1293">
                  <c:v>43.6</c:v>
                </c:pt>
                <c:pt idx="1294">
                  <c:v>36.4</c:v>
                </c:pt>
                <c:pt idx="1295">
                  <c:v>24.29</c:v>
                </c:pt>
                <c:pt idx="1296">
                  <c:v>29.71</c:v>
                </c:pt>
                <c:pt idx="1297">
                  <c:v>26.6</c:v>
                </c:pt>
                <c:pt idx="1298">
                  <c:v>25.91</c:v>
                </c:pt>
                <c:pt idx="1299">
                  <c:v>33.11</c:v>
                </c:pt>
                <c:pt idx="1300">
                  <c:v>37.43</c:v>
                </c:pt>
                <c:pt idx="1301">
                  <c:v>45.88</c:v>
                </c:pt>
                <c:pt idx="1302">
                  <c:v>52.9</c:v>
                </c:pt>
                <c:pt idx="1303">
                  <c:v>66.22</c:v>
                </c:pt>
                <c:pt idx="1304">
                  <c:v>56.82</c:v>
                </c:pt>
                <c:pt idx="1305">
                  <c:v>70.86</c:v>
                </c:pt>
                <c:pt idx="1306">
                  <c:v>71.510000000000005</c:v>
                </c:pt>
                <c:pt idx="1307">
                  <c:v>71.12</c:v>
                </c:pt>
                <c:pt idx="1308">
                  <c:v>66.739999999999995</c:v>
                </c:pt>
                <c:pt idx="1309">
                  <c:v>56.65</c:v>
                </c:pt>
                <c:pt idx="1310">
                  <c:v>48.1</c:v>
                </c:pt>
                <c:pt idx="1311">
                  <c:v>22.43</c:v>
                </c:pt>
                <c:pt idx="1312">
                  <c:v>25.94</c:v>
                </c:pt>
                <c:pt idx="1313">
                  <c:v>36.729999999999997</c:v>
                </c:pt>
                <c:pt idx="1314">
                  <c:v>42.31</c:v>
                </c:pt>
                <c:pt idx="1315">
                  <c:v>45.22</c:v>
                </c:pt>
                <c:pt idx="1316">
                  <c:v>62.06</c:v>
                </c:pt>
                <c:pt idx="1317">
                  <c:v>66.650000000000006</c:v>
                </c:pt>
                <c:pt idx="1318">
                  <c:v>71.989999999999995</c:v>
                </c:pt>
                <c:pt idx="1319">
                  <c:v>64.84</c:v>
                </c:pt>
                <c:pt idx="1320">
                  <c:v>71.12</c:v>
                </c:pt>
                <c:pt idx="1321">
                  <c:v>79.05</c:v>
                </c:pt>
                <c:pt idx="1322">
                  <c:v>74.540000000000006</c:v>
                </c:pt>
                <c:pt idx="1323">
                  <c:v>73.52</c:v>
                </c:pt>
                <c:pt idx="1324">
                  <c:v>67.11</c:v>
                </c:pt>
                <c:pt idx="1325">
                  <c:v>66.88</c:v>
                </c:pt>
                <c:pt idx="1326">
                  <c:v>54.82</c:v>
                </c:pt>
                <c:pt idx="1327">
                  <c:v>42.2</c:v>
                </c:pt>
                <c:pt idx="1328">
                  <c:v>41.76</c:v>
                </c:pt>
                <c:pt idx="1329">
                  <c:v>37.08</c:v>
                </c:pt>
                <c:pt idx="1330">
                  <c:v>27.11</c:v>
                </c:pt>
                <c:pt idx="1331">
                  <c:v>30.72</c:v>
                </c:pt>
                <c:pt idx="1332">
                  <c:v>23.83</c:v>
                </c:pt>
                <c:pt idx="1333">
                  <c:v>26.51</c:v>
                </c:pt>
                <c:pt idx="1334">
                  <c:v>31.36</c:v>
                </c:pt>
                <c:pt idx="1335">
                  <c:v>39.51</c:v>
                </c:pt>
                <c:pt idx="1336">
                  <c:v>35.729999999999997</c:v>
                </c:pt>
                <c:pt idx="1337">
                  <c:v>44.7</c:v>
                </c:pt>
                <c:pt idx="1338">
                  <c:v>55.75</c:v>
                </c:pt>
                <c:pt idx="1339">
                  <c:v>73.12</c:v>
                </c:pt>
                <c:pt idx="1340">
                  <c:v>70.02</c:v>
                </c:pt>
                <c:pt idx="1341">
                  <c:v>70.27</c:v>
                </c:pt>
                <c:pt idx="1342">
                  <c:v>72.56</c:v>
                </c:pt>
                <c:pt idx="1343">
                  <c:v>74.64</c:v>
                </c:pt>
                <c:pt idx="1344">
                  <c:v>72.52</c:v>
                </c:pt>
                <c:pt idx="1345">
                  <c:v>68.14</c:v>
                </c:pt>
                <c:pt idx="1346">
                  <c:v>68.319999999999993</c:v>
                </c:pt>
                <c:pt idx="1347">
                  <c:v>53.87</c:v>
                </c:pt>
                <c:pt idx="1348">
                  <c:v>39.869999999999997</c:v>
                </c:pt>
                <c:pt idx="1349">
                  <c:v>46.78</c:v>
                </c:pt>
                <c:pt idx="1350">
                  <c:v>47.21</c:v>
                </c:pt>
                <c:pt idx="1351">
                  <c:v>42.3</c:v>
                </c:pt>
                <c:pt idx="1352">
                  <c:v>32.86</c:v>
                </c:pt>
                <c:pt idx="1353">
                  <c:v>38.61</c:v>
                </c:pt>
                <c:pt idx="1354">
                  <c:v>33.82</c:v>
                </c:pt>
                <c:pt idx="1355">
                  <c:v>35.36</c:v>
                </c:pt>
                <c:pt idx="1356">
                  <c:v>41.5</c:v>
                </c:pt>
                <c:pt idx="1357">
                  <c:v>45.25</c:v>
                </c:pt>
                <c:pt idx="1358">
                  <c:v>52.14</c:v>
                </c:pt>
                <c:pt idx="1359">
                  <c:v>58.7</c:v>
                </c:pt>
                <c:pt idx="1360">
                  <c:v>71.790000000000006</c:v>
                </c:pt>
                <c:pt idx="1361">
                  <c:v>59.93</c:v>
                </c:pt>
                <c:pt idx="1362">
                  <c:v>77.180000000000007</c:v>
                </c:pt>
                <c:pt idx="1363">
                  <c:v>73.260000000000005</c:v>
                </c:pt>
                <c:pt idx="1364">
                  <c:v>75.53</c:v>
                </c:pt>
                <c:pt idx="1365">
                  <c:v>72.81</c:v>
                </c:pt>
                <c:pt idx="1366">
                  <c:v>60.35</c:v>
                </c:pt>
                <c:pt idx="1367">
                  <c:v>51.64</c:v>
                </c:pt>
                <c:pt idx="1368">
                  <c:v>21.1</c:v>
                </c:pt>
                <c:pt idx="1369">
                  <c:v>19.64</c:v>
                </c:pt>
                <c:pt idx="1370">
                  <c:v>29.45</c:v>
                </c:pt>
                <c:pt idx="1371">
                  <c:v>40.049999999999997</c:v>
                </c:pt>
                <c:pt idx="1372">
                  <c:v>47.2</c:v>
                </c:pt>
                <c:pt idx="1373">
                  <c:v>61.36</c:v>
                </c:pt>
                <c:pt idx="1374">
                  <c:v>63.67</c:v>
                </c:pt>
                <c:pt idx="1375">
                  <c:v>69.22</c:v>
                </c:pt>
                <c:pt idx="1376">
                  <c:v>63.68</c:v>
                </c:pt>
                <c:pt idx="1377">
                  <c:v>66.42</c:v>
                </c:pt>
                <c:pt idx="1378">
                  <c:v>75.239999999999995</c:v>
                </c:pt>
                <c:pt idx="1379">
                  <c:v>71.790000000000006</c:v>
                </c:pt>
                <c:pt idx="1380">
                  <c:v>71.17</c:v>
                </c:pt>
                <c:pt idx="1381">
                  <c:v>61.14</c:v>
                </c:pt>
                <c:pt idx="1382">
                  <c:v>57.56</c:v>
                </c:pt>
                <c:pt idx="1383">
                  <c:v>48.46</c:v>
                </c:pt>
                <c:pt idx="1384">
                  <c:v>38.799999999999997</c:v>
                </c:pt>
                <c:pt idx="1385">
                  <c:v>40.68</c:v>
                </c:pt>
                <c:pt idx="1386">
                  <c:v>32.409999999999997</c:v>
                </c:pt>
                <c:pt idx="1387">
                  <c:v>22.65</c:v>
                </c:pt>
                <c:pt idx="1388">
                  <c:v>29</c:v>
                </c:pt>
                <c:pt idx="1389">
                  <c:v>23.94</c:v>
                </c:pt>
                <c:pt idx="1390">
                  <c:v>21.18</c:v>
                </c:pt>
                <c:pt idx="1391">
                  <c:v>31.59</c:v>
                </c:pt>
                <c:pt idx="1392">
                  <c:v>36.729999999999997</c:v>
                </c:pt>
                <c:pt idx="1393">
                  <c:v>28.5</c:v>
                </c:pt>
                <c:pt idx="1394">
                  <c:v>42.11</c:v>
                </c:pt>
                <c:pt idx="1395">
                  <c:v>49.5</c:v>
                </c:pt>
                <c:pt idx="1396">
                  <c:v>70.69</c:v>
                </c:pt>
                <c:pt idx="1397">
                  <c:v>71.45</c:v>
                </c:pt>
                <c:pt idx="1398">
                  <c:v>66.61</c:v>
                </c:pt>
                <c:pt idx="1399">
                  <c:v>71.64</c:v>
                </c:pt>
                <c:pt idx="1400">
                  <c:v>74</c:v>
                </c:pt>
                <c:pt idx="1401">
                  <c:v>70.930000000000007</c:v>
                </c:pt>
                <c:pt idx="1402">
                  <c:v>67.2</c:v>
                </c:pt>
                <c:pt idx="1403">
                  <c:v>67.510000000000005</c:v>
                </c:pt>
                <c:pt idx="1404">
                  <c:v>50.82</c:v>
                </c:pt>
                <c:pt idx="1405">
                  <c:v>40.880000000000003</c:v>
                </c:pt>
                <c:pt idx="1406">
                  <c:v>44.81</c:v>
                </c:pt>
                <c:pt idx="1407">
                  <c:v>42.85</c:v>
                </c:pt>
                <c:pt idx="1408">
                  <c:v>38.69</c:v>
                </c:pt>
                <c:pt idx="1409">
                  <c:v>30.23</c:v>
                </c:pt>
                <c:pt idx="1410">
                  <c:v>34.979999999999997</c:v>
                </c:pt>
                <c:pt idx="1411">
                  <c:v>32.47</c:v>
                </c:pt>
                <c:pt idx="1412">
                  <c:v>36.01</c:v>
                </c:pt>
                <c:pt idx="1413">
                  <c:v>37.44</c:v>
                </c:pt>
                <c:pt idx="1414">
                  <c:v>44.73</c:v>
                </c:pt>
                <c:pt idx="1415">
                  <c:v>58.76</c:v>
                </c:pt>
                <c:pt idx="1416">
                  <c:v>59.21</c:v>
                </c:pt>
                <c:pt idx="1417">
                  <c:v>69.540000000000006</c:v>
                </c:pt>
                <c:pt idx="1418">
                  <c:v>58.48</c:v>
                </c:pt>
                <c:pt idx="1419">
                  <c:v>75.52</c:v>
                </c:pt>
                <c:pt idx="1420">
                  <c:v>72.08</c:v>
                </c:pt>
                <c:pt idx="1421">
                  <c:v>71.930000000000007</c:v>
                </c:pt>
                <c:pt idx="1422">
                  <c:v>72.790000000000006</c:v>
                </c:pt>
                <c:pt idx="1423">
                  <c:v>57.58</c:v>
                </c:pt>
                <c:pt idx="1424">
                  <c:v>43.74</c:v>
                </c:pt>
                <c:pt idx="1425">
                  <c:v>9.5500000000000007</c:v>
                </c:pt>
                <c:pt idx="1426">
                  <c:v>18.14</c:v>
                </c:pt>
                <c:pt idx="1427">
                  <c:v>28.6</c:v>
                </c:pt>
                <c:pt idx="1428">
                  <c:v>31.1</c:v>
                </c:pt>
                <c:pt idx="1429">
                  <c:v>36.53</c:v>
                </c:pt>
                <c:pt idx="1430">
                  <c:v>50.13</c:v>
                </c:pt>
                <c:pt idx="1431">
                  <c:v>54.72</c:v>
                </c:pt>
                <c:pt idx="1432">
                  <c:v>58.46</c:v>
                </c:pt>
                <c:pt idx="1433">
                  <c:v>51.62</c:v>
                </c:pt>
                <c:pt idx="1434">
                  <c:v>58.9</c:v>
                </c:pt>
                <c:pt idx="1435">
                  <c:v>71.08</c:v>
                </c:pt>
                <c:pt idx="1436">
                  <c:v>62.93</c:v>
                </c:pt>
                <c:pt idx="1437">
                  <c:v>66.930000000000007</c:v>
                </c:pt>
                <c:pt idx="1438">
                  <c:v>54.82</c:v>
                </c:pt>
                <c:pt idx="1439">
                  <c:v>57.8</c:v>
                </c:pt>
                <c:pt idx="1440">
                  <c:v>46.81</c:v>
                </c:pt>
                <c:pt idx="1441">
                  <c:v>30.51</c:v>
                </c:pt>
                <c:pt idx="1442">
                  <c:v>37.51</c:v>
                </c:pt>
                <c:pt idx="1443">
                  <c:v>27.73</c:v>
                </c:pt>
                <c:pt idx="1444">
                  <c:v>16.600000000000001</c:v>
                </c:pt>
                <c:pt idx="1445">
                  <c:v>21.13</c:v>
                </c:pt>
                <c:pt idx="1446">
                  <c:v>11.17</c:v>
                </c:pt>
                <c:pt idx="1447">
                  <c:v>15.12</c:v>
                </c:pt>
                <c:pt idx="1448">
                  <c:v>14.31</c:v>
                </c:pt>
                <c:pt idx="1449">
                  <c:v>28.13</c:v>
                </c:pt>
                <c:pt idx="1450">
                  <c:v>22.99</c:v>
                </c:pt>
                <c:pt idx="1451">
                  <c:v>29.09</c:v>
                </c:pt>
                <c:pt idx="1452">
                  <c:v>45</c:v>
                </c:pt>
                <c:pt idx="1453">
                  <c:v>60.49</c:v>
                </c:pt>
                <c:pt idx="1454">
                  <c:v>59.85</c:v>
                </c:pt>
                <c:pt idx="1455">
                  <c:v>59.89</c:v>
                </c:pt>
                <c:pt idx="1456">
                  <c:v>63.34</c:v>
                </c:pt>
                <c:pt idx="1457">
                  <c:v>63.16</c:v>
                </c:pt>
                <c:pt idx="1458">
                  <c:v>62.99</c:v>
                </c:pt>
                <c:pt idx="1459">
                  <c:v>59.67</c:v>
                </c:pt>
                <c:pt idx="1460">
                  <c:v>60.98</c:v>
                </c:pt>
                <c:pt idx="1461">
                  <c:v>46.84</c:v>
                </c:pt>
                <c:pt idx="1462">
                  <c:v>31.7</c:v>
                </c:pt>
                <c:pt idx="1463">
                  <c:v>40.08</c:v>
                </c:pt>
                <c:pt idx="1464">
                  <c:v>36.74</c:v>
                </c:pt>
                <c:pt idx="1465">
                  <c:v>34.24</c:v>
                </c:pt>
                <c:pt idx="1466">
                  <c:v>22.94</c:v>
                </c:pt>
                <c:pt idx="1467">
                  <c:v>25.24</c:v>
                </c:pt>
                <c:pt idx="1468">
                  <c:v>23.89</c:v>
                </c:pt>
                <c:pt idx="1469">
                  <c:v>22.49</c:v>
                </c:pt>
                <c:pt idx="1470">
                  <c:v>29.03</c:v>
                </c:pt>
                <c:pt idx="1471">
                  <c:v>33.35</c:v>
                </c:pt>
                <c:pt idx="1472">
                  <c:v>40.29</c:v>
                </c:pt>
                <c:pt idx="1473">
                  <c:v>47.11</c:v>
                </c:pt>
                <c:pt idx="1474">
                  <c:v>58.51</c:v>
                </c:pt>
                <c:pt idx="1475">
                  <c:v>49.43</c:v>
                </c:pt>
                <c:pt idx="1476">
                  <c:v>64.94</c:v>
                </c:pt>
                <c:pt idx="1477">
                  <c:v>65.599999999999994</c:v>
                </c:pt>
                <c:pt idx="1478">
                  <c:v>67.010000000000005</c:v>
                </c:pt>
                <c:pt idx="1479">
                  <c:v>61.58</c:v>
                </c:pt>
                <c:pt idx="1480">
                  <c:v>54.07</c:v>
                </c:pt>
                <c:pt idx="1481">
                  <c:v>45.19</c:v>
                </c:pt>
                <c:pt idx="1482">
                  <c:v>27.19</c:v>
                </c:pt>
                <c:pt idx="1483">
                  <c:v>29.81</c:v>
                </c:pt>
                <c:pt idx="1484">
                  <c:v>38.07</c:v>
                </c:pt>
                <c:pt idx="1485">
                  <c:v>45.98</c:v>
                </c:pt>
                <c:pt idx="1486">
                  <c:v>46.9</c:v>
                </c:pt>
                <c:pt idx="1487">
                  <c:v>62.62</c:v>
                </c:pt>
                <c:pt idx="1488">
                  <c:v>69.02</c:v>
                </c:pt>
                <c:pt idx="1489">
                  <c:v>74.290000000000006</c:v>
                </c:pt>
                <c:pt idx="1490">
                  <c:v>68.900000000000006</c:v>
                </c:pt>
                <c:pt idx="1491">
                  <c:v>76.25</c:v>
                </c:pt>
                <c:pt idx="1492">
                  <c:v>82.69</c:v>
                </c:pt>
                <c:pt idx="1493">
                  <c:v>77.45</c:v>
                </c:pt>
                <c:pt idx="1494">
                  <c:v>78.52</c:v>
                </c:pt>
                <c:pt idx="1495">
                  <c:v>70.38</c:v>
                </c:pt>
                <c:pt idx="1496">
                  <c:v>70.19</c:v>
                </c:pt>
                <c:pt idx="1497">
                  <c:v>57.78</c:v>
                </c:pt>
                <c:pt idx="1498">
                  <c:v>45.91</c:v>
                </c:pt>
                <c:pt idx="1499">
                  <c:v>45.9</c:v>
                </c:pt>
                <c:pt idx="1500">
                  <c:v>41.81</c:v>
                </c:pt>
                <c:pt idx="1501">
                  <c:v>30.83</c:v>
                </c:pt>
                <c:pt idx="1502">
                  <c:v>34.42</c:v>
                </c:pt>
                <c:pt idx="1503">
                  <c:v>28.7</c:v>
                </c:pt>
                <c:pt idx="1504">
                  <c:v>30.45</c:v>
                </c:pt>
                <c:pt idx="1505">
                  <c:v>36.99</c:v>
                </c:pt>
                <c:pt idx="1506">
                  <c:v>43.64</c:v>
                </c:pt>
                <c:pt idx="1507">
                  <c:v>37.270000000000003</c:v>
                </c:pt>
                <c:pt idx="1508">
                  <c:v>46.87</c:v>
                </c:pt>
                <c:pt idx="1509">
                  <c:v>56.48</c:v>
                </c:pt>
                <c:pt idx="1510">
                  <c:v>74.17</c:v>
                </c:pt>
                <c:pt idx="1511">
                  <c:v>73.260000000000005</c:v>
                </c:pt>
                <c:pt idx="1512">
                  <c:v>73.760000000000005</c:v>
                </c:pt>
                <c:pt idx="1513">
                  <c:v>76.87</c:v>
                </c:pt>
                <c:pt idx="1514">
                  <c:v>78.14</c:v>
                </c:pt>
                <c:pt idx="1515">
                  <c:v>76.67</c:v>
                </c:pt>
                <c:pt idx="1516">
                  <c:v>71.44</c:v>
                </c:pt>
                <c:pt idx="1517">
                  <c:v>70.930000000000007</c:v>
                </c:pt>
                <c:pt idx="1518">
                  <c:v>56.91</c:v>
                </c:pt>
                <c:pt idx="1519">
                  <c:v>44.46</c:v>
                </c:pt>
                <c:pt idx="1520">
                  <c:v>49.69</c:v>
                </c:pt>
                <c:pt idx="1521">
                  <c:v>50.55</c:v>
                </c:pt>
                <c:pt idx="1522">
                  <c:v>46.28</c:v>
                </c:pt>
                <c:pt idx="1523">
                  <c:v>35.799999999999997</c:v>
                </c:pt>
                <c:pt idx="1524">
                  <c:v>42.52</c:v>
                </c:pt>
                <c:pt idx="1525">
                  <c:v>37.86</c:v>
                </c:pt>
                <c:pt idx="1526">
                  <c:v>40.07</c:v>
                </c:pt>
                <c:pt idx="1527">
                  <c:v>44.32</c:v>
                </c:pt>
                <c:pt idx="1528">
                  <c:v>48.73</c:v>
                </c:pt>
                <c:pt idx="1529">
                  <c:v>53.68</c:v>
                </c:pt>
                <c:pt idx="1530">
                  <c:v>58.97</c:v>
                </c:pt>
                <c:pt idx="1531">
                  <c:v>73.400000000000006</c:v>
                </c:pt>
                <c:pt idx="1532">
                  <c:v>64.05</c:v>
                </c:pt>
                <c:pt idx="1533">
                  <c:v>82.08</c:v>
                </c:pt>
                <c:pt idx="1534">
                  <c:v>75.22</c:v>
                </c:pt>
                <c:pt idx="1535">
                  <c:v>78.44</c:v>
                </c:pt>
                <c:pt idx="1536">
                  <c:v>76</c:v>
                </c:pt>
                <c:pt idx="1537">
                  <c:v>64.5</c:v>
                </c:pt>
                <c:pt idx="1538">
                  <c:v>55.4</c:v>
                </c:pt>
                <c:pt idx="1539">
                  <c:v>49.47</c:v>
                </c:pt>
                <c:pt idx="1540">
                  <c:v>47.87</c:v>
                </c:pt>
                <c:pt idx="1541">
                  <c:v>53.77</c:v>
                </c:pt>
                <c:pt idx="1542">
                  <c:v>50.11</c:v>
                </c:pt>
                <c:pt idx="1543">
                  <c:v>59.84</c:v>
                </c:pt>
                <c:pt idx="1544">
                  <c:v>59.25</c:v>
                </c:pt>
                <c:pt idx="1545">
                  <c:v>70.150000000000006</c:v>
                </c:pt>
                <c:pt idx="1546">
                  <c:v>81.39</c:v>
                </c:pt>
                <c:pt idx="1547">
                  <c:v>90.84</c:v>
                </c:pt>
                <c:pt idx="1548">
                  <c:v>91.98</c:v>
                </c:pt>
                <c:pt idx="1549">
                  <c:v>90.37</c:v>
                </c:pt>
                <c:pt idx="1550">
                  <c:v>92.95</c:v>
                </c:pt>
                <c:pt idx="1551">
                  <c:v>83.12</c:v>
                </c:pt>
                <c:pt idx="1552">
                  <c:v>83.63</c:v>
                </c:pt>
                <c:pt idx="1553">
                  <c:v>85.2</c:v>
                </c:pt>
                <c:pt idx="1554">
                  <c:v>71.819999999999993</c:v>
                </c:pt>
                <c:pt idx="1555">
                  <c:v>65.489999999999995</c:v>
                </c:pt>
                <c:pt idx="1556">
                  <c:v>57.79</c:v>
                </c:pt>
                <c:pt idx="1557">
                  <c:v>43.33</c:v>
                </c:pt>
                <c:pt idx="1558">
                  <c:v>50.01</c:v>
                </c:pt>
                <c:pt idx="1559">
                  <c:v>37.64</c:v>
                </c:pt>
                <c:pt idx="1560">
                  <c:v>45.14</c:v>
                </c:pt>
                <c:pt idx="1561">
                  <c:v>51.3</c:v>
                </c:pt>
                <c:pt idx="1562">
                  <c:v>51.72</c:v>
                </c:pt>
                <c:pt idx="1563">
                  <c:v>57.75</c:v>
                </c:pt>
                <c:pt idx="1564">
                  <c:v>63.63</c:v>
                </c:pt>
                <c:pt idx="1565">
                  <c:v>64.47</c:v>
                </c:pt>
                <c:pt idx="1566">
                  <c:v>68.400000000000006</c:v>
                </c:pt>
                <c:pt idx="1567">
                  <c:v>71.81</c:v>
                </c:pt>
                <c:pt idx="1568">
                  <c:v>78.72</c:v>
                </c:pt>
                <c:pt idx="1569">
                  <c:v>89.85</c:v>
                </c:pt>
                <c:pt idx="1570">
                  <c:v>89.9</c:v>
                </c:pt>
                <c:pt idx="1571">
                  <c:v>90.61</c:v>
                </c:pt>
                <c:pt idx="1572">
                  <c:v>91.04</c:v>
                </c:pt>
                <c:pt idx="1573">
                  <c:v>93.66</c:v>
                </c:pt>
                <c:pt idx="1574">
                  <c:v>88</c:v>
                </c:pt>
                <c:pt idx="1575">
                  <c:v>70.44</c:v>
                </c:pt>
                <c:pt idx="1576">
                  <c:v>59.77</c:v>
                </c:pt>
                <c:pt idx="1577">
                  <c:v>48.76</c:v>
                </c:pt>
                <c:pt idx="1578">
                  <c:v>52.5</c:v>
                </c:pt>
                <c:pt idx="1579">
                  <c:v>42.17</c:v>
                </c:pt>
                <c:pt idx="1580">
                  <c:v>50.43</c:v>
                </c:pt>
                <c:pt idx="1581">
                  <c:v>50.58</c:v>
                </c:pt>
                <c:pt idx="1582">
                  <c:v>52.27</c:v>
                </c:pt>
                <c:pt idx="1583">
                  <c:v>52.27</c:v>
                </c:pt>
                <c:pt idx="1584">
                  <c:v>54.54</c:v>
                </c:pt>
                <c:pt idx="1585">
                  <c:v>64.05</c:v>
                </c:pt>
                <c:pt idx="1586">
                  <c:v>76.03</c:v>
                </c:pt>
                <c:pt idx="1587">
                  <c:v>77.27</c:v>
                </c:pt>
                <c:pt idx="1588">
                  <c:v>78.11</c:v>
                </c:pt>
                <c:pt idx="1589">
                  <c:v>84.83</c:v>
                </c:pt>
                <c:pt idx="1590">
                  <c:v>89.13</c:v>
                </c:pt>
                <c:pt idx="1591">
                  <c:v>88.16</c:v>
                </c:pt>
                <c:pt idx="1592">
                  <c:v>95.91</c:v>
                </c:pt>
                <c:pt idx="1593">
                  <c:v>88.52</c:v>
                </c:pt>
                <c:pt idx="1594">
                  <c:v>81.61</c:v>
                </c:pt>
                <c:pt idx="1595">
                  <c:v>71.739999999999995</c:v>
                </c:pt>
                <c:pt idx="1596">
                  <c:v>24.36</c:v>
                </c:pt>
                <c:pt idx="1597">
                  <c:v>28.14</c:v>
                </c:pt>
                <c:pt idx="1598">
                  <c:v>36.82</c:v>
                </c:pt>
                <c:pt idx="1599">
                  <c:v>43.43</c:v>
                </c:pt>
                <c:pt idx="1600">
                  <c:v>44.96</c:v>
                </c:pt>
                <c:pt idx="1601">
                  <c:v>57.06</c:v>
                </c:pt>
                <c:pt idx="1602">
                  <c:v>63.81</c:v>
                </c:pt>
                <c:pt idx="1603">
                  <c:v>69.489999999999995</c:v>
                </c:pt>
                <c:pt idx="1604">
                  <c:v>65.010000000000005</c:v>
                </c:pt>
                <c:pt idx="1605">
                  <c:v>72.88</c:v>
                </c:pt>
                <c:pt idx="1606">
                  <c:v>79.22</c:v>
                </c:pt>
                <c:pt idx="1607">
                  <c:v>74.37</c:v>
                </c:pt>
                <c:pt idx="1608">
                  <c:v>75.849999999999994</c:v>
                </c:pt>
                <c:pt idx="1609">
                  <c:v>68.599999999999994</c:v>
                </c:pt>
                <c:pt idx="1610">
                  <c:v>69.31</c:v>
                </c:pt>
                <c:pt idx="1611">
                  <c:v>56.32</c:v>
                </c:pt>
                <c:pt idx="1612">
                  <c:v>44.34</c:v>
                </c:pt>
                <c:pt idx="1613">
                  <c:v>44.42</c:v>
                </c:pt>
                <c:pt idx="1614">
                  <c:v>39.42</c:v>
                </c:pt>
                <c:pt idx="1615">
                  <c:v>28.43</c:v>
                </c:pt>
                <c:pt idx="1616">
                  <c:v>32.56</c:v>
                </c:pt>
                <c:pt idx="1617">
                  <c:v>26.39</c:v>
                </c:pt>
                <c:pt idx="1618">
                  <c:v>28.89</c:v>
                </c:pt>
                <c:pt idx="1619">
                  <c:v>33.520000000000003</c:v>
                </c:pt>
                <c:pt idx="1620">
                  <c:v>41.42</c:v>
                </c:pt>
                <c:pt idx="1621">
                  <c:v>36.04</c:v>
                </c:pt>
                <c:pt idx="1622">
                  <c:v>44.42</c:v>
                </c:pt>
                <c:pt idx="1623">
                  <c:v>53.63</c:v>
                </c:pt>
                <c:pt idx="1624">
                  <c:v>70.09</c:v>
                </c:pt>
                <c:pt idx="1625">
                  <c:v>69.53</c:v>
                </c:pt>
                <c:pt idx="1626">
                  <c:v>70.8</c:v>
                </c:pt>
                <c:pt idx="1627">
                  <c:v>74.22</c:v>
                </c:pt>
                <c:pt idx="1628">
                  <c:v>75.33</c:v>
                </c:pt>
                <c:pt idx="1629">
                  <c:v>74.69</c:v>
                </c:pt>
                <c:pt idx="1630">
                  <c:v>69.16</c:v>
                </c:pt>
                <c:pt idx="1631">
                  <c:v>69.14</c:v>
                </c:pt>
                <c:pt idx="1632">
                  <c:v>56.44</c:v>
                </c:pt>
                <c:pt idx="1633">
                  <c:v>42.81</c:v>
                </c:pt>
                <c:pt idx="1634">
                  <c:v>47.8</c:v>
                </c:pt>
                <c:pt idx="1635">
                  <c:v>49.11</c:v>
                </c:pt>
                <c:pt idx="1636">
                  <c:v>45.35</c:v>
                </c:pt>
                <c:pt idx="1637">
                  <c:v>34.61</c:v>
                </c:pt>
                <c:pt idx="1638">
                  <c:v>40.58</c:v>
                </c:pt>
                <c:pt idx="1639">
                  <c:v>35.68</c:v>
                </c:pt>
                <c:pt idx="1640">
                  <c:v>37.47</c:v>
                </c:pt>
                <c:pt idx="1641">
                  <c:v>41.72</c:v>
                </c:pt>
                <c:pt idx="1642">
                  <c:v>46.38</c:v>
                </c:pt>
                <c:pt idx="1643">
                  <c:v>50.75</c:v>
                </c:pt>
                <c:pt idx="1644">
                  <c:v>56.72</c:v>
                </c:pt>
                <c:pt idx="1645">
                  <c:v>70.010000000000005</c:v>
                </c:pt>
                <c:pt idx="1646">
                  <c:v>61.71</c:v>
                </c:pt>
                <c:pt idx="1647">
                  <c:v>77.41</c:v>
                </c:pt>
                <c:pt idx="1648">
                  <c:v>72.989999999999995</c:v>
                </c:pt>
                <c:pt idx="1649">
                  <c:v>76.739999999999995</c:v>
                </c:pt>
                <c:pt idx="1650">
                  <c:v>73.3</c:v>
                </c:pt>
                <c:pt idx="1651">
                  <c:v>62.09</c:v>
                </c:pt>
                <c:pt idx="1652">
                  <c:v>54.18</c:v>
                </c:pt>
                <c:pt idx="1653">
                  <c:v>39.049999999999997</c:v>
                </c:pt>
                <c:pt idx="1654">
                  <c:v>37.770000000000003</c:v>
                </c:pt>
                <c:pt idx="1655">
                  <c:v>48.61</c:v>
                </c:pt>
                <c:pt idx="1656">
                  <c:v>57.1</c:v>
                </c:pt>
                <c:pt idx="1657">
                  <c:v>64.12</c:v>
                </c:pt>
                <c:pt idx="1658">
                  <c:v>65.739999999999995</c:v>
                </c:pt>
                <c:pt idx="1659">
                  <c:v>70.87</c:v>
                </c:pt>
                <c:pt idx="1660">
                  <c:v>82.68</c:v>
                </c:pt>
                <c:pt idx="1661">
                  <c:v>83.51</c:v>
                </c:pt>
                <c:pt idx="1662">
                  <c:v>82.29</c:v>
                </c:pt>
                <c:pt idx="1663">
                  <c:v>81.67</c:v>
                </c:pt>
                <c:pt idx="1664">
                  <c:v>90.3</c:v>
                </c:pt>
                <c:pt idx="1665">
                  <c:v>82.57</c:v>
                </c:pt>
                <c:pt idx="1666">
                  <c:v>79.3</c:v>
                </c:pt>
                <c:pt idx="1667">
                  <c:v>70.28</c:v>
                </c:pt>
                <c:pt idx="1668">
                  <c:v>65.760000000000005</c:v>
                </c:pt>
                <c:pt idx="1669">
                  <c:v>58.71</c:v>
                </c:pt>
                <c:pt idx="1670">
                  <c:v>60.95</c:v>
                </c:pt>
                <c:pt idx="1671">
                  <c:v>50.43</c:v>
                </c:pt>
                <c:pt idx="1672">
                  <c:v>46.35</c:v>
                </c:pt>
                <c:pt idx="1673">
                  <c:v>44.24</c:v>
                </c:pt>
                <c:pt idx="1674">
                  <c:v>36.33</c:v>
                </c:pt>
                <c:pt idx="1675">
                  <c:v>34.61</c:v>
                </c:pt>
                <c:pt idx="1676">
                  <c:v>59.52</c:v>
                </c:pt>
                <c:pt idx="1677">
                  <c:v>54.69</c:v>
                </c:pt>
                <c:pt idx="1678">
                  <c:v>56.36</c:v>
                </c:pt>
                <c:pt idx="1679">
                  <c:v>68.62</c:v>
                </c:pt>
                <c:pt idx="1680">
                  <c:v>61.87</c:v>
                </c:pt>
                <c:pt idx="1681">
                  <c:v>83.82</c:v>
                </c:pt>
                <c:pt idx="1682">
                  <c:v>84.71</c:v>
                </c:pt>
                <c:pt idx="1683">
                  <c:v>87.57</c:v>
                </c:pt>
                <c:pt idx="1684">
                  <c:v>89.16</c:v>
                </c:pt>
                <c:pt idx="1685">
                  <c:v>94.22</c:v>
                </c:pt>
                <c:pt idx="1686">
                  <c:v>92.32</c:v>
                </c:pt>
                <c:pt idx="1687">
                  <c:v>91.94</c:v>
                </c:pt>
                <c:pt idx="1688">
                  <c:v>78.87</c:v>
                </c:pt>
                <c:pt idx="1689">
                  <c:v>71.64</c:v>
                </c:pt>
                <c:pt idx="1690">
                  <c:v>56.01</c:v>
                </c:pt>
                <c:pt idx="1691">
                  <c:v>59.8</c:v>
                </c:pt>
                <c:pt idx="1692">
                  <c:v>48.72</c:v>
                </c:pt>
                <c:pt idx="1693">
                  <c:v>41.44</c:v>
                </c:pt>
                <c:pt idx="1694">
                  <c:v>48.1</c:v>
                </c:pt>
                <c:pt idx="1695">
                  <c:v>55.83</c:v>
                </c:pt>
                <c:pt idx="1696">
                  <c:v>46.52</c:v>
                </c:pt>
                <c:pt idx="1697">
                  <c:v>59.3</c:v>
                </c:pt>
                <c:pt idx="1698">
                  <c:v>57.16</c:v>
                </c:pt>
                <c:pt idx="1699">
                  <c:v>69.02</c:v>
                </c:pt>
                <c:pt idx="1700">
                  <c:v>77.53</c:v>
                </c:pt>
                <c:pt idx="1701">
                  <c:v>74.14</c:v>
                </c:pt>
                <c:pt idx="1702">
                  <c:v>79.239999999999995</c:v>
                </c:pt>
                <c:pt idx="1703">
                  <c:v>79.47</c:v>
                </c:pt>
                <c:pt idx="1704">
                  <c:v>85.26</c:v>
                </c:pt>
                <c:pt idx="1705">
                  <c:v>91.57</c:v>
                </c:pt>
                <c:pt idx="1706">
                  <c:v>89.57</c:v>
                </c:pt>
                <c:pt idx="1707">
                  <c:v>88.4</c:v>
                </c:pt>
                <c:pt idx="1708">
                  <c:v>70.28</c:v>
                </c:pt>
                <c:pt idx="1709">
                  <c:v>61.53</c:v>
                </c:pt>
                <c:pt idx="1710">
                  <c:v>39.049999999999997</c:v>
                </c:pt>
                <c:pt idx="1711">
                  <c:v>37.770000000000003</c:v>
                </c:pt>
                <c:pt idx="1712">
                  <c:v>48.61</c:v>
                </c:pt>
                <c:pt idx="1713">
                  <c:v>57.1</c:v>
                </c:pt>
                <c:pt idx="1714">
                  <c:v>64.12</c:v>
                </c:pt>
                <c:pt idx="1715">
                  <c:v>65.739999999999995</c:v>
                </c:pt>
                <c:pt idx="1716">
                  <c:v>70.87</c:v>
                </c:pt>
                <c:pt idx="1717">
                  <c:v>82.68</c:v>
                </c:pt>
                <c:pt idx="1718">
                  <c:v>83.51</c:v>
                </c:pt>
                <c:pt idx="1719">
                  <c:v>82.29</c:v>
                </c:pt>
                <c:pt idx="1720">
                  <c:v>81.67</c:v>
                </c:pt>
                <c:pt idx="1721">
                  <c:v>90.3</c:v>
                </c:pt>
                <c:pt idx="1722">
                  <c:v>82.57</c:v>
                </c:pt>
                <c:pt idx="1723">
                  <c:v>79.3</c:v>
                </c:pt>
                <c:pt idx="1724">
                  <c:v>70.28</c:v>
                </c:pt>
                <c:pt idx="1725">
                  <c:v>65.760000000000005</c:v>
                </c:pt>
                <c:pt idx="1726">
                  <c:v>58.71</c:v>
                </c:pt>
                <c:pt idx="1727">
                  <c:v>60.95</c:v>
                </c:pt>
                <c:pt idx="1728">
                  <c:v>50.43</c:v>
                </c:pt>
                <c:pt idx="1729">
                  <c:v>46.35</c:v>
                </c:pt>
                <c:pt idx="1730">
                  <c:v>44.24</c:v>
                </c:pt>
                <c:pt idx="1731">
                  <c:v>36.33</c:v>
                </c:pt>
                <c:pt idx="1732">
                  <c:v>34.61</c:v>
                </c:pt>
                <c:pt idx="1733">
                  <c:v>59.52</c:v>
                </c:pt>
                <c:pt idx="1734">
                  <c:v>54.69</c:v>
                </c:pt>
                <c:pt idx="1735">
                  <c:v>56.36</c:v>
                </c:pt>
                <c:pt idx="1736">
                  <c:v>68.62</c:v>
                </c:pt>
                <c:pt idx="1737">
                  <c:v>61.87</c:v>
                </c:pt>
                <c:pt idx="1738">
                  <c:v>83.82</c:v>
                </c:pt>
                <c:pt idx="1739">
                  <c:v>84.71</c:v>
                </c:pt>
                <c:pt idx="1740">
                  <c:v>87.57</c:v>
                </c:pt>
                <c:pt idx="1741">
                  <c:v>89.16</c:v>
                </c:pt>
                <c:pt idx="1742">
                  <c:v>94.22</c:v>
                </c:pt>
                <c:pt idx="1743">
                  <c:v>92.32</c:v>
                </c:pt>
                <c:pt idx="1744">
                  <c:v>91.94</c:v>
                </c:pt>
                <c:pt idx="1745">
                  <c:v>78.87</c:v>
                </c:pt>
                <c:pt idx="1746">
                  <c:v>71.64</c:v>
                </c:pt>
                <c:pt idx="1747">
                  <c:v>56.01</c:v>
                </c:pt>
                <c:pt idx="1748">
                  <c:v>59.8</c:v>
                </c:pt>
                <c:pt idx="1749">
                  <c:v>48.72</c:v>
                </c:pt>
                <c:pt idx="1750">
                  <c:v>41.44</c:v>
                </c:pt>
                <c:pt idx="1751">
                  <c:v>48.1</c:v>
                </c:pt>
                <c:pt idx="1752">
                  <c:v>55.83</c:v>
                </c:pt>
                <c:pt idx="1753">
                  <c:v>46.52</c:v>
                </c:pt>
                <c:pt idx="1754">
                  <c:v>59.3</c:v>
                </c:pt>
                <c:pt idx="1755">
                  <c:v>57.16</c:v>
                </c:pt>
                <c:pt idx="1756">
                  <c:v>69.02</c:v>
                </c:pt>
                <c:pt idx="1757">
                  <c:v>77.53</c:v>
                </c:pt>
                <c:pt idx="1758">
                  <c:v>74.14</c:v>
                </c:pt>
                <c:pt idx="1759">
                  <c:v>79.239999999999995</c:v>
                </c:pt>
                <c:pt idx="1760">
                  <c:v>79.47</c:v>
                </c:pt>
                <c:pt idx="1761">
                  <c:v>85.26</c:v>
                </c:pt>
                <c:pt idx="1762">
                  <c:v>91.57</c:v>
                </c:pt>
                <c:pt idx="1763">
                  <c:v>89.57</c:v>
                </c:pt>
                <c:pt idx="1764">
                  <c:v>88.4</c:v>
                </c:pt>
                <c:pt idx="1765">
                  <c:v>70.28</c:v>
                </c:pt>
                <c:pt idx="1766">
                  <c:v>61.53</c:v>
                </c:pt>
                <c:pt idx="1767">
                  <c:v>34.43</c:v>
                </c:pt>
                <c:pt idx="1768">
                  <c:v>28.09</c:v>
                </c:pt>
                <c:pt idx="1769">
                  <c:v>37.72</c:v>
                </c:pt>
                <c:pt idx="1770">
                  <c:v>39.880000000000003</c:v>
                </c:pt>
                <c:pt idx="1771">
                  <c:v>48.28</c:v>
                </c:pt>
                <c:pt idx="1772">
                  <c:v>44.88</c:v>
                </c:pt>
                <c:pt idx="1773">
                  <c:v>48.94</c:v>
                </c:pt>
                <c:pt idx="1774">
                  <c:v>66.69</c:v>
                </c:pt>
                <c:pt idx="1775">
                  <c:v>70.86</c:v>
                </c:pt>
                <c:pt idx="1776">
                  <c:v>74.739999999999995</c:v>
                </c:pt>
                <c:pt idx="1777">
                  <c:v>67.55</c:v>
                </c:pt>
                <c:pt idx="1778">
                  <c:v>72.95</c:v>
                </c:pt>
                <c:pt idx="1779">
                  <c:v>70.2</c:v>
                </c:pt>
                <c:pt idx="1780">
                  <c:v>68.44</c:v>
                </c:pt>
                <c:pt idx="1781">
                  <c:v>66.14</c:v>
                </c:pt>
                <c:pt idx="1782">
                  <c:v>61.81</c:v>
                </c:pt>
                <c:pt idx="1783">
                  <c:v>49.2</c:v>
                </c:pt>
                <c:pt idx="1784">
                  <c:v>42.3</c:v>
                </c:pt>
                <c:pt idx="1785">
                  <c:v>35.18</c:v>
                </c:pt>
                <c:pt idx="1786">
                  <c:v>36.619999999999997</c:v>
                </c:pt>
                <c:pt idx="1787">
                  <c:v>23.78</c:v>
                </c:pt>
                <c:pt idx="1788">
                  <c:v>15.47</c:v>
                </c:pt>
                <c:pt idx="1789">
                  <c:v>18.510000000000002</c:v>
                </c:pt>
                <c:pt idx="1790">
                  <c:v>39.17</c:v>
                </c:pt>
                <c:pt idx="1791">
                  <c:v>36.51</c:v>
                </c:pt>
                <c:pt idx="1792">
                  <c:v>44.83</c:v>
                </c:pt>
                <c:pt idx="1793">
                  <c:v>48.81</c:v>
                </c:pt>
                <c:pt idx="1794">
                  <c:v>46.65</c:v>
                </c:pt>
                <c:pt idx="1795">
                  <c:v>61.25</c:v>
                </c:pt>
                <c:pt idx="1796">
                  <c:v>65.489999999999995</c:v>
                </c:pt>
                <c:pt idx="1797">
                  <c:v>72.86</c:v>
                </c:pt>
                <c:pt idx="1798">
                  <c:v>72.56</c:v>
                </c:pt>
                <c:pt idx="1799">
                  <c:v>74.83</c:v>
                </c:pt>
                <c:pt idx="1800">
                  <c:v>74.2</c:v>
                </c:pt>
                <c:pt idx="1801">
                  <c:v>74.599999999999994</c:v>
                </c:pt>
                <c:pt idx="1802">
                  <c:v>61.24</c:v>
                </c:pt>
                <c:pt idx="1803">
                  <c:v>62.62</c:v>
                </c:pt>
                <c:pt idx="1804">
                  <c:v>37.950000000000003</c:v>
                </c:pt>
                <c:pt idx="1805">
                  <c:v>38.1</c:v>
                </c:pt>
                <c:pt idx="1806">
                  <c:v>33.799999999999997</c:v>
                </c:pt>
                <c:pt idx="1807">
                  <c:v>17.940000000000001</c:v>
                </c:pt>
                <c:pt idx="1808">
                  <c:v>36.75</c:v>
                </c:pt>
                <c:pt idx="1809">
                  <c:v>35.89</c:v>
                </c:pt>
                <c:pt idx="1810">
                  <c:v>23.34</c:v>
                </c:pt>
                <c:pt idx="1811">
                  <c:v>33.4</c:v>
                </c:pt>
                <c:pt idx="1812">
                  <c:v>39.9</c:v>
                </c:pt>
                <c:pt idx="1813">
                  <c:v>51.49</c:v>
                </c:pt>
                <c:pt idx="1814">
                  <c:v>58.29</c:v>
                </c:pt>
                <c:pt idx="1815">
                  <c:v>55.4</c:v>
                </c:pt>
                <c:pt idx="1816">
                  <c:v>62.84</c:v>
                </c:pt>
                <c:pt idx="1817">
                  <c:v>71.14</c:v>
                </c:pt>
                <c:pt idx="1818">
                  <c:v>78.680000000000007</c:v>
                </c:pt>
                <c:pt idx="1819">
                  <c:v>75.09</c:v>
                </c:pt>
                <c:pt idx="1820">
                  <c:v>75.930000000000007</c:v>
                </c:pt>
                <c:pt idx="1821">
                  <c:v>72.56</c:v>
                </c:pt>
                <c:pt idx="1822">
                  <c:v>55.34</c:v>
                </c:pt>
                <c:pt idx="1823">
                  <c:v>43.49</c:v>
                </c:pt>
                <c:pt idx="1824">
                  <c:v>58.4</c:v>
                </c:pt>
                <c:pt idx="1825">
                  <c:v>55.47</c:v>
                </c:pt>
                <c:pt idx="1826">
                  <c:v>59.17</c:v>
                </c:pt>
                <c:pt idx="1827">
                  <c:v>55.61</c:v>
                </c:pt>
                <c:pt idx="1828">
                  <c:v>66.790000000000006</c:v>
                </c:pt>
                <c:pt idx="1829">
                  <c:v>68.430000000000007</c:v>
                </c:pt>
                <c:pt idx="1830">
                  <c:v>75.400000000000006</c:v>
                </c:pt>
                <c:pt idx="1831">
                  <c:v>86.06</c:v>
                </c:pt>
                <c:pt idx="1832">
                  <c:v>93.52</c:v>
                </c:pt>
                <c:pt idx="1833">
                  <c:v>97.66</c:v>
                </c:pt>
                <c:pt idx="1834">
                  <c:v>95.88</c:v>
                </c:pt>
                <c:pt idx="1835">
                  <c:v>92.51</c:v>
                </c:pt>
                <c:pt idx="1836">
                  <c:v>90.82</c:v>
                </c:pt>
                <c:pt idx="1837">
                  <c:v>91.77</c:v>
                </c:pt>
                <c:pt idx="1838">
                  <c:v>91.45</c:v>
                </c:pt>
                <c:pt idx="1839">
                  <c:v>79.02</c:v>
                </c:pt>
                <c:pt idx="1840">
                  <c:v>74.23</c:v>
                </c:pt>
                <c:pt idx="1841">
                  <c:v>65.209999999999994</c:v>
                </c:pt>
                <c:pt idx="1842">
                  <c:v>52.82</c:v>
                </c:pt>
                <c:pt idx="1843">
                  <c:v>60.72</c:v>
                </c:pt>
                <c:pt idx="1844">
                  <c:v>46.25</c:v>
                </c:pt>
                <c:pt idx="1845">
                  <c:v>49.26</c:v>
                </c:pt>
                <c:pt idx="1846">
                  <c:v>53.35</c:v>
                </c:pt>
                <c:pt idx="1847">
                  <c:v>59.51</c:v>
                </c:pt>
                <c:pt idx="1848">
                  <c:v>66.510000000000005</c:v>
                </c:pt>
                <c:pt idx="1849">
                  <c:v>71.41</c:v>
                </c:pt>
                <c:pt idx="1850">
                  <c:v>75.11</c:v>
                </c:pt>
                <c:pt idx="1851">
                  <c:v>77.92</c:v>
                </c:pt>
                <c:pt idx="1852">
                  <c:v>82.93</c:v>
                </c:pt>
                <c:pt idx="1853">
                  <c:v>87.02</c:v>
                </c:pt>
                <c:pt idx="1854">
                  <c:v>98.43</c:v>
                </c:pt>
                <c:pt idx="1855">
                  <c:v>96.44</c:v>
                </c:pt>
                <c:pt idx="1856">
                  <c:v>96.93</c:v>
                </c:pt>
                <c:pt idx="1857">
                  <c:v>96</c:v>
                </c:pt>
                <c:pt idx="1858">
                  <c:v>99.2</c:v>
                </c:pt>
                <c:pt idx="1859">
                  <c:v>96.22</c:v>
                </c:pt>
                <c:pt idx="1860">
                  <c:v>81.16</c:v>
                </c:pt>
                <c:pt idx="1861">
                  <c:v>71.91</c:v>
                </c:pt>
                <c:pt idx="1862">
                  <c:v>58.75</c:v>
                </c:pt>
                <c:pt idx="1863">
                  <c:v>59.12</c:v>
                </c:pt>
                <c:pt idx="1864">
                  <c:v>47.7</c:v>
                </c:pt>
                <c:pt idx="1865">
                  <c:v>60.92</c:v>
                </c:pt>
                <c:pt idx="1866">
                  <c:v>59.53</c:v>
                </c:pt>
                <c:pt idx="1867">
                  <c:v>59.94</c:v>
                </c:pt>
                <c:pt idx="1868">
                  <c:v>60.91</c:v>
                </c:pt>
                <c:pt idx="1869">
                  <c:v>62.2</c:v>
                </c:pt>
                <c:pt idx="1870">
                  <c:v>70.75</c:v>
                </c:pt>
                <c:pt idx="1871">
                  <c:v>82.43</c:v>
                </c:pt>
                <c:pt idx="1872">
                  <c:v>81.02</c:v>
                </c:pt>
                <c:pt idx="1873">
                  <c:v>83.57</c:v>
                </c:pt>
                <c:pt idx="1874">
                  <c:v>90.94</c:v>
                </c:pt>
                <c:pt idx="1875">
                  <c:v>93.21</c:v>
                </c:pt>
                <c:pt idx="1876">
                  <c:v>92.13</c:v>
                </c:pt>
                <c:pt idx="1877">
                  <c:v>100.07</c:v>
                </c:pt>
                <c:pt idx="1878">
                  <c:v>92.02</c:v>
                </c:pt>
                <c:pt idx="1879">
                  <c:v>85.18</c:v>
                </c:pt>
                <c:pt idx="1880">
                  <c:v>79.64</c:v>
                </c:pt>
                <c:pt idx="1881">
                  <c:v>35.44</c:v>
                </c:pt>
                <c:pt idx="1882">
                  <c:v>36.130000000000003</c:v>
                </c:pt>
                <c:pt idx="1883">
                  <c:v>42.65</c:v>
                </c:pt>
                <c:pt idx="1884">
                  <c:v>42.26</c:v>
                </c:pt>
                <c:pt idx="1885">
                  <c:v>50.07</c:v>
                </c:pt>
                <c:pt idx="1886">
                  <c:v>51.26</c:v>
                </c:pt>
                <c:pt idx="1887">
                  <c:v>57.39</c:v>
                </c:pt>
                <c:pt idx="1888">
                  <c:v>72.17</c:v>
                </c:pt>
                <c:pt idx="1889">
                  <c:v>80.84</c:v>
                </c:pt>
                <c:pt idx="1890">
                  <c:v>73.66</c:v>
                </c:pt>
                <c:pt idx="1891">
                  <c:v>75</c:v>
                </c:pt>
                <c:pt idx="1892">
                  <c:v>73.8</c:v>
                </c:pt>
                <c:pt idx="1893">
                  <c:v>72.59</c:v>
                </c:pt>
                <c:pt idx="1894">
                  <c:v>72.61</c:v>
                </c:pt>
                <c:pt idx="1895">
                  <c:v>70.13</c:v>
                </c:pt>
                <c:pt idx="1896">
                  <c:v>65.209999999999994</c:v>
                </c:pt>
                <c:pt idx="1897">
                  <c:v>52.43</c:v>
                </c:pt>
                <c:pt idx="1898">
                  <c:v>47.2</c:v>
                </c:pt>
                <c:pt idx="1899">
                  <c:v>34.700000000000003</c:v>
                </c:pt>
                <c:pt idx="1900">
                  <c:v>41.93</c:v>
                </c:pt>
                <c:pt idx="1901">
                  <c:v>24.5</c:v>
                </c:pt>
                <c:pt idx="1902">
                  <c:v>23.82</c:v>
                </c:pt>
                <c:pt idx="1903">
                  <c:v>28.66</c:v>
                </c:pt>
                <c:pt idx="1904">
                  <c:v>46.21</c:v>
                </c:pt>
                <c:pt idx="1905">
                  <c:v>45.87</c:v>
                </c:pt>
                <c:pt idx="1906">
                  <c:v>55.46</c:v>
                </c:pt>
                <c:pt idx="1907">
                  <c:v>58.59</c:v>
                </c:pt>
                <c:pt idx="1908">
                  <c:v>54.4</c:v>
                </c:pt>
                <c:pt idx="1909">
                  <c:v>74.64</c:v>
                </c:pt>
                <c:pt idx="1910">
                  <c:v>74.569999999999993</c:v>
                </c:pt>
                <c:pt idx="1911">
                  <c:v>81.96</c:v>
                </c:pt>
                <c:pt idx="1912">
                  <c:v>80.84</c:v>
                </c:pt>
                <c:pt idx="1913">
                  <c:v>76.709999999999994</c:v>
                </c:pt>
                <c:pt idx="1914">
                  <c:v>80.23</c:v>
                </c:pt>
                <c:pt idx="1915">
                  <c:v>78.239999999999995</c:v>
                </c:pt>
                <c:pt idx="1916">
                  <c:v>70.05</c:v>
                </c:pt>
                <c:pt idx="1917">
                  <c:v>60.42</c:v>
                </c:pt>
                <c:pt idx="1918">
                  <c:v>48.04</c:v>
                </c:pt>
                <c:pt idx="1919">
                  <c:v>41.04</c:v>
                </c:pt>
                <c:pt idx="1920">
                  <c:v>39.75</c:v>
                </c:pt>
                <c:pt idx="1921">
                  <c:v>24.69</c:v>
                </c:pt>
                <c:pt idx="1922">
                  <c:v>36.39</c:v>
                </c:pt>
                <c:pt idx="1923">
                  <c:v>38.64</c:v>
                </c:pt>
                <c:pt idx="1924">
                  <c:v>36.700000000000003</c:v>
                </c:pt>
                <c:pt idx="1925">
                  <c:v>42.74</c:v>
                </c:pt>
                <c:pt idx="1926">
                  <c:v>42.7</c:v>
                </c:pt>
                <c:pt idx="1927">
                  <c:v>54.42</c:v>
                </c:pt>
                <c:pt idx="1928">
                  <c:v>65.040000000000006</c:v>
                </c:pt>
                <c:pt idx="1929">
                  <c:v>61.92</c:v>
                </c:pt>
                <c:pt idx="1930">
                  <c:v>70.41</c:v>
                </c:pt>
                <c:pt idx="1931">
                  <c:v>75.349999999999994</c:v>
                </c:pt>
                <c:pt idx="1932">
                  <c:v>77.95</c:v>
                </c:pt>
                <c:pt idx="1933">
                  <c:v>78.930000000000007</c:v>
                </c:pt>
                <c:pt idx="1934">
                  <c:v>78.260000000000005</c:v>
                </c:pt>
                <c:pt idx="1935">
                  <c:v>78.260000000000005</c:v>
                </c:pt>
                <c:pt idx="1936">
                  <c:v>65.41</c:v>
                </c:pt>
                <c:pt idx="1937">
                  <c:v>59.94</c:v>
                </c:pt>
                <c:pt idx="1938">
                  <c:v>27.19</c:v>
                </c:pt>
                <c:pt idx="1939">
                  <c:v>29.81</c:v>
                </c:pt>
                <c:pt idx="1940">
                  <c:v>38.07</c:v>
                </c:pt>
                <c:pt idx="1941">
                  <c:v>45.98</c:v>
                </c:pt>
                <c:pt idx="1942">
                  <c:v>46.9</c:v>
                </c:pt>
                <c:pt idx="1943">
                  <c:v>62.62</c:v>
                </c:pt>
                <c:pt idx="1944">
                  <c:v>69.02</c:v>
                </c:pt>
                <c:pt idx="1945">
                  <c:v>74.290000000000006</c:v>
                </c:pt>
                <c:pt idx="1946">
                  <c:v>68.900000000000006</c:v>
                </c:pt>
                <c:pt idx="1947">
                  <c:v>76.25</c:v>
                </c:pt>
                <c:pt idx="1948">
                  <c:v>82.69</c:v>
                </c:pt>
                <c:pt idx="1949">
                  <c:v>77.45</c:v>
                </c:pt>
                <c:pt idx="1950">
                  <c:v>78.52</c:v>
                </c:pt>
                <c:pt idx="1951">
                  <c:v>70.38</c:v>
                </c:pt>
                <c:pt idx="1952">
                  <c:v>70.19</c:v>
                </c:pt>
                <c:pt idx="1953">
                  <c:v>57.78</c:v>
                </c:pt>
                <c:pt idx="1954">
                  <c:v>45.91</c:v>
                </c:pt>
                <c:pt idx="1955">
                  <c:v>45.9</c:v>
                </c:pt>
                <c:pt idx="1956">
                  <c:v>41.81</c:v>
                </c:pt>
                <c:pt idx="1957">
                  <c:v>30.83</c:v>
                </c:pt>
                <c:pt idx="1958">
                  <c:v>34.42</c:v>
                </c:pt>
                <c:pt idx="1959">
                  <c:v>28.7</c:v>
                </c:pt>
                <c:pt idx="1960">
                  <c:v>30.45</c:v>
                </c:pt>
                <c:pt idx="1961">
                  <c:v>36.99</c:v>
                </c:pt>
                <c:pt idx="1962">
                  <c:v>43.64</c:v>
                </c:pt>
                <c:pt idx="1963">
                  <c:v>37.270000000000003</c:v>
                </c:pt>
                <c:pt idx="1964">
                  <c:v>46.87</c:v>
                </c:pt>
                <c:pt idx="1965">
                  <c:v>56.48</c:v>
                </c:pt>
                <c:pt idx="1966">
                  <c:v>74.17</c:v>
                </c:pt>
                <c:pt idx="1967">
                  <c:v>73.260000000000005</c:v>
                </c:pt>
                <c:pt idx="1968">
                  <c:v>73.760000000000005</c:v>
                </c:pt>
                <c:pt idx="1969">
                  <c:v>76.87</c:v>
                </c:pt>
                <c:pt idx="1970">
                  <c:v>78.14</c:v>
                </c:pt>
                <c:pt idx="1971">
                  <c:v>76.67</c:v>
                </c:pt>
                <c:pt idx="1972">
                  <c:v>71.44</c:v>
                </c:pt>
                <c:pt idx="1973">
                  <c:v>70.930000000000007</c:v>
                </c:pt>
                <c:pt idx="1974">
                  <c:v>56.91</c:v>
                </c:pt>
                <c:pt idx="1975">
                  <c:v>44.46</c:v>
                </c:pt>
                <c:pt idx="1976">
                  <c:v>49.69</c:v>
                </c:pt>
                <c:pt idx="1977">
                  <c:v>50.55</c:v>
                </c:pt>
                <c:pt idx="1978">
                  <c:v>46.28</c:v>
                </c:pt>
                <c:pt idx="1979">
                  <c:v>35.799999999999997</c:v>
                </c:pt>
                <c:pt idx="1980">
                  <c:v>42.52</c:v>
                </c:pt>
                <c:pt idx="1981">
                  <c:v>37.86</c:v>
                </c:pt>
                <c:pt idx="1982">
                  <c:v>40.07</c:v>
                </c:pt>
                <c:pt idx="1983">
                  <c:v>44.32</c:v>
                </c:pt>
                <c:pt idx="1984">
                  <c:v>48.73</c:v>
                </c:pt>
                <c:pt idx="1985">
                  <c:v>53.68</c:v>
                </c:pt>
                <c:pt idx="1986">
                  <c:v>58.97</c:v>
                </c:pt>
                <c:pt idx="1987">
                  <c:v>73.400000000000006</c:v>
                </c:pt>
                <c:pt idx="1988">
                  <c:v>64.05</c:v>
                </c:pt>
                <c:pt idx="1989">
                  <c:v>82.08</c:v>
                </c:pt>
                <c:pt idx="1990">
                  <c:v>75.22</c:v>
                </c:pt>
                <c:pt idx="1991">
                  <c:v>78.44</c:v>
                </c:pt>
                <c:pt idx="1992">
                  <c:v>76</c:v>
                </c:pt>
                <c:pt idx="1993">
                  <c:v>64.5</c:v>
                </c:pt>
                <c:pt idx="1994">
                  <c:v>55.4</c:v>
                </c:pt>
                <c:pt idx="1995">
                  <c:v>45.97</c:v>
                </c:pt>
                <c:pt idx="1996">
                  <c:v>46.11</c:v>
                </c:pt>
                <c:pt idx="1997">
                  <c:v>51.33</c:v>
                </c:pt>
                <c:pt idx="1998">
                  <c:v>61.96</c:v>
                </c:pt>
                <c:pt idx="1999">
                  <c:v>63.43</c:v>
                </c:pt>
                <c:pt idx="2000">
                  <c:v>68.540000000000006</c:v>
                </c:pt>
                <c:pt idx="2001">
                  <c:v>75.56</c:v>
                </c:pt>
                <c:pt idx="2002">
                  <c:v>79.930000000000007</c:v>
                </c:pt>
                <c:pt idx="2003">
                  <c:v>82.3</c:v>
                </c:pt>
                <c:pt idx="2004">
                  <c:v>81.849999999999994</c:v>
                </c:pt>
                <c:pt idx="2005">
                  <c:v>81.739999999999995</c:v>
                </c:pt>
                <c:pt idx="2006">
                  <c:v>85.49</c:v>
                </c:pt>
                <c:pt idx="2007">
                  <c:v>82.29</c:v>
                </c:pt>
                <c:pt idx="2008">
                  <c:v>80.58</c:v>
                </c:pt>
                <c:pt idx="2009">
                  <c:v>74.66</c:v>
                </c:pt>
                <c:pt idx="2010">
                  <c:v>66.34</c:v>
                </c:pt>
                <c:pt idx="2011">
                  <c:v>62.72</c:v>
                </c:pt>
                <c:pt idx="2012">
                  <c:v>61.97</c:v>
                </c:pt>
                <c:pt idx="2013">
                  <c:v>54.44</c:v>
                </c:pt>
                <c:pt idx="2014">
                  <c:v>51.83</c:v>
                </c:pt>
                <c:pt idx="2015">
                  <c:v>54.11</c:v>
                </c:pt>
                <c:pt idx="2016">
                  <c:v>46.68</c:v>
                </c:pt>
                <c:pt idx="2017">
                  <c:v>41.16</c:v>
                </c:pt>
                <c:pt idx="2018">
                  <c:v>64.55</c:v>
                </c:pt>
                <c:pt idx="2019">
                  <c:v>59.15</c:v>
                </c:pt>
                <c:pt idx="2020">
                  <c:v>67.31</c:v>
                </c:pt>
                <c:pt idx="2021">
                  <c:v>69.39</c:v>
                </c:pt>
                <c:pt idx="2022">
                  <c:v>69.56</c:v>
                </c:pt>
                <c:pt idx="2023">
                  <c:v>82.96</c:v>
                </c:pt>
                <c:pt idx="2024">
                  <c:v>82.41</c:v>
                </c:pt>
                <c:pt idx="2025">
                  <c:v>85.33</c:v>
                </c:pt>
                <c:pt idx="2026">
                  <c:v>84.71</c:v>
                </c:pt>
                <c:pt idx="2027">
                  <c:v>86.71</c:v>
                </c:pt>
                <c:pt idx="2028">
                  <c:v>87.64</c:v>
                </c:pt>
                <c:pt idx="2029">
                  <c:v>87.5</c:v>
                </c:pt>
                <c:pt idx="2030">
                  <c:v>77.94</c:v>
                </c:pt>
                <c:pt idx="2031">
                  <c:v>71.2</c:v>
                </c:pt>
                <c:pt idx="2032">
                  <c:v>58.97</c:v>
                </c:pt>
                <c:pt idx="2033">
                  <c:v>63.5</c:v>
                </c:pt>
                <c:pt idx="2034">
                  <c:v>53.57</c:v>
                </c:pt>
                <c:pt idx="2035">
                  <c:v>50.64</c:v>
                </c:pt>
                <c:pt idx="2036">
                  <c:v>57.18</c:v>
                </c:pt>
                <c:pt idx="2037">
                  <c:v>61.33</c:v>
                </c:pt>
                <c:pt idx="2038">
                  <c:v>54.49</c:v>
                </c:pt>
                <c:pt idx="2039">
                  <c:v>64.540000000000006</c:v>
                </c:pt>
                <c:pt idx="2040">
                  <c:v>63.19</c:v>
                </c:pt>
                <c:pt idx="2041">
                  <c:v>73.95</c:v>
                </c:pt>
                <c:pt idx="2042">
                  <c:v>77.17</c:v>
                </c:pt>
                <c:pt idx="2043">
                  <c:v>76.55</c:v>
                </c:pt>
                <c:pt idx="2044">
                  <c:v>80.739999999999995</c:v>
                </c:pt>
                <c:pt idx="2045">
                  <c:v>81.5</c:v>
                </c:pt>
                <c:pt idx="2046">
                  <c:v>81.52</c:v>
                </c:pt>
                <c:pt idx="2047">
                  <c:v>85.56</c:v>
                </c:pt>
                <c:pt idx="2048">
                  <c:v>84.41</c:v>
                </c:pt>
                <c:pt idx="2049">
                  <c:v>84.19</c:v>
                </c:pt>
                <c:pt idx="2050">
                  <c:v>73.569999999999993</c:v>
                </c:pt>
                <c:pt idx="2051">
                  <c:v>71.28</c:v>
                </c:pt>
                <c:pt idx="2052">
                  <c:v>45.97</c:v>
                </c:pt>
                <c:pt idx="2053">
                  <c:v>46.11</c:v>
                </c:pt>
                <c:pt idx="2054">
                  <c:v>51.33</c:v>
                </c:pt>
                <c:pt idx="2055">
                  <c:v>61.96</c:v>
                </c:pt>
                <c:pt idx="2056">
                  <c:v>63.43</c:v>
                </c:pt>
                <c:pt idx="2057">
                  <c:v>68.540000000000006</c:v>
                </c:pt>
                <c:pt idx="2058">
                  <c:v>75.56</c:v>
                </c:pt>
                <c:pt idx="2059">
                  <c:v>79.930000000000007</c:v>
                </c:pt>
                <c:pt idx="2060">
                  <c:v>82.3</c:v>
                </c:pt>
                <c:pt idx="2061">
                  <c:v>81.849999999999994</c:v>
                </c:pt>
                <c:pt idx="2062">
                  <c:v>81.739999999999995</c:v>
                </c:pt>
                <c:pt idx="2063">
                  <c:v>85.49</c:v>
                </c:pt>
                <c:pt idx="2064">
                  <c:v>82.29</c:v>
                </c:pt>
                <c:pt idx="2065">
                  <c:v>80.58</c:v>
                </c:pt>
                <c:pt idx="2066">
                  <c:v>74.66</c:v>
                </c:pt>
                <c:pt idx="2067">
                  <c:v>66.34</c:v>
                </c:pt>
                <c:pt idx="2068">
                  <c:v>62.72</c:v>
                </c:pt>
                <c:pt idx="2069">
                  <c:v>61.97</c:v>
                </c:pt>
                <c:pt idx="2070">
                  <c:v>54.44</c:v>
                </c:pt>
                <c:pt idx="2071">
                  <c:v>51.83</c:v>
                </c:pt>
                <c:pt idx="2072">
                  <c:v>54.11</c:v>
                </c:pt>
                <c:pt idx="2073">
                  <c:v>46.68</c:v>
                </c:pt>
                <c:pt idx="2074">
                  <c:v>41.16</c:v>
                </c:pt>
                <c:pt idx="2075">
                  <c:v>64.55</c:v>
                </c:pt>
                <c:pt idx="2076">
                  <c:v>59.15</c:v>
                </c:pt>
                <c:pt idx="2077">
                  <c:v>67.31</c:v>
                </c:pt>
                <c:pt idx="2078">
                  <c:v>69.39</c:v>
                </c:pt>
                <c:pt idx="2079">
                  <c:v>69.56</c:v>
                </c:pt>
                <c:pt idx="2080">
                  <c:v>82.96</c:v>
                </c:pt>
                <c:pt idx="2081">
                  <c:v>82.41</c:v>
                </c:pt>
                <c:pt idx="2082">
                  <c:v>85.33</c:v>
                </c:pt>
                <c:pt idx="2083">
                  <c:v>84.71</c:v>
                </c:pt>
                <c:pt idx="2084">
                  <c:v>86.71</c:v>
                </c:pt>
                <c:pt idx="2085">
                  <c:v>87.64</c:v>
                </c:pt>
                <c:pt idx="2086">
                  <c:v>87.5</c:v>
                </c:pt>
                <c:pt idx="2087">
                  <c:v>77.94</c:v>
                </c:pt>
                <c:pt idx="2088">
                  <c:v>71.2</c:v>
                </c:pt>
                <c:pt idx="2089">
                  <c:v>58.97</c:v>
                </c:pt>
                <c:pt idx="2090">
                  <c:v>63.5</c:v>
                </c:pt>
                <c:pt idx="2091">
                  <c:v>53.57</c:v>
                </c:pt>
                <c:pt idx="2092">
                  <c:v>50.64</c:v>
                </c:pt>
                <c:pt idx="2093">
                  <c:v>57.18</c:v>
                </c:pt>
                <c:pt idx="2094">
                  <c:v>61.33</c:v>
                </c:pt>
                <c:pt idx="2095">
                  <c:v>54.49</c:v>
                </c:pt>
                <c:pt idx="2096">
                  <c:v>64.540000000000006</c:v>
                </c:pt>
                <c:pt idx="2097">
                  <c:v>63.19</c:v>
                </c:pt>
                <c:pt idx="2098">
                  <c:v>73.95</c:v>
                </c:pt>
                <c:pt idx="2099">
                  <c:v>77.17</c:v>
                </c:pt>
                <c:pt idx="2100">
                  <c:v>76.55</c:v>
                </c:pt>
                <c:pt idx="2101">
                  <c:v>80.739999999999995</c:v>
                </c:pt>
                <c:pt idx="2102">
                  <c:v>81.5</c:v>
                </c:pt>
                <c:pt idx="2103">
                  <c:v>81.52</c:v>
                </c:pt>
                <c:pt idx="2104">
                  <c:v>85.56</c:v>
                </c:pt>
                <c:pt idx="2105">
                  <c:v>84.41</c:v>
                </c:pt>
                <c:pt idx="2106">
                  <c:v>84.19</c:v>
                </c:pt>
                <c:pt idx="2107">
                  <c:v>73.569999999999993</c:v>
                </c:pt>
                <c:pt idx="2108">
                  <c:v>71.28</c:v>
                </c:pt>
                <c:pt idx="2109">
                  <c:v>49.47</c:v>
                </c:pt>
                <c:pt idx="2110">
                  <c:v>47.87</c:v>
                </c:pt>
                <c:pt idx="2111">
                  <c:v>53.77</c:v>
                </c:pt>
                <c:pt idx="2112">
                  <c:v>50.11</c:v>
                </c:pt>
                <c:pt idx="2113">
                  <c:v>59.84</c:v>
                </c:pt>
                <c:pt idx="2114">
                  <c:v>59.25</c:v>
                </c:pt>
                <c:pt idx="2115">
                  <c:v>70.150000000000006</c:v>
                </c:pt>
                <c:pt idx="2116">
                  <c:v>81.39</c:v>
                </c:pt>
                <c:pt idx="2117">
                  <c:v>90.84</c:v>
                </c:pt>
                <c:pt idx="2118">
                  <c:v>91.98</c:v>
                </c:pt>
                <c:pt idx="2119">
                  <c:v>90.37</c:v>
                </c:pt>
                <c:pt idx="2120">
                  <c:v>92.95</c:v>
                </c:pt>
                <c:pt idx="2121">
                  <c:v>83.12</c:v>
                </c:pt>
                <c:pt idx="2122">
                  <c:v>83.63</c:v>
                </c:pt>
                <c:pt idx="2123">
                  <c:v>85.2</c:v>
                </c:pt>
                <c:pt idx="2124">
                  <c:v>71.819999999999993</c:v>
                </c:pt>
                <c:pt idx="2125">
                  <c:v>65.489999999999995</c:v>
                </c:pt>
                <c:pt idx="2126">
                  <c:v>57.79</c:v>
                </c:pt>
                <c:pt idx="2127">
                  <c:v>43.33</c:v>
                </c:pt>
                <c:pt idx="2128">
                  <c:v>50.01</c:v>
                </c:pt>
                <c:pt idx="2129">
                  <c:v>37.64</c:v>
                </c:pt>
                <c:pt idx="2130">
                  <c:v>45.14</c:v>
                </c:pt>
                <c:pt idx="2131">
                  <c:v>51.3</c:v>
                </c:pt>
                <c:pt idx="2132">
                  <c:v>51.72</c:v>
                </c:pt>
                <c:pt idx="2133">
                  <c:v>57.75</c:v>
                </c:pt>
                <c:pt idx="2134">
                  <c:v>63.63</c:v>
                </c:pt>
                <c:pt idx="2135">
                  <c:v>64.47</c:v>
                </c:pt>
                <c:pt idx="2136">
                  <c:v>68.400000000000006</c:v>
                </c:pt>
                <c:pt idx="2137">
                  <c:v>71.81</c:v>
                </c:pt>
                <c:pt idx="2138">
                  <c:v>78.72</c:v>
                </c:pt>
                <c:pt idx="2139">
                  <c:v>89.85</c:v>
                </c:pt>
                <c:pt idx="2140">
                  <c:v>89.9</c:v>
                </c:pt>
                <c:pt idx="2141">
                  <c:v>90.61</c:v>
                </c:pt>
                <c:pt idx="2142">
                  <c:v>91.04</c:v>
                </c:pt>
                <c:pt idx="2143">
                  <c:v>93.66</c:v>
                </c:pt>
                <c:pt idx="2144">
                  <c:v>88</c:v>
                </c:pt>
                <c:pt idx="2145">
                  <c:v>70.44</c:v>
                </c:pt>
                <c:pt idx="2146">
                  <c:v>59.77</c:v>
                </c:pt>
                <c:pt idx="2147">
                  <c:v>48.76</c:v>
                </c:pt>
                <c:pt idx="2148">
                  <c:v>52.5</c:v>
                </c:pt>
                <c:pt idx="2149">
                  <c:v>42.17</c:v>
                </c:pt>
                <c:pt idx="2150">
                  <c:v>50.43</c:v>
                </c:pt>
                <c:pt idx="2151">
                  <c:v>50.58</c:v>
                </c:pt>
                <c:pt idx="2152">
                  <c:v>52.27</c:v>
                </c:pt>
                <c:pt idx="2153">
                  <c:v>52.27</c:v>
                </c:pt>
                <c:pt idx="2154">
                  <c:v>54.54</c:v>
                </c:pt>
                <c:pt idx="2155">
                  <c:v>64.05</c:v>
                </c:pt>
                <c:pt idx="2156">
                  <c:v>76.03</c:v>
                </c:pt>
                <c:pt idx="2157">
                  <c:v>77.27</c:v>
                </c:pt>
                <c:pt idx="2158">
                  <c:v>78.11</c:v>
                </c:pt>
                <c:pt idx="2159">
                  <c:v>84.83</c:v>
                </c:pt>
                <c:pt idx="2160">
                  <c:v>89.13</c:v>
                </c:pt>
                <c:pt idx="2161">
                  <c:v>88.16</c:v>
                </c:pt>
                <c:pt idx="2162">
                  <c:v>95.91</c:v>
                </c:pt>
                <c:pt idx="2163">
                  <c:v>88.52</c:v>
                </c:pt>
                <c:pt idx="2164">
                  <c:v>81.61</c:v>
                </c:pt>
                <c:pt idx="2165">
                  <c:v>71.739999999999995</c:v>
                </c:pt>
                <c:pt idx="2166">
                  <c:v>44.3</c:v>
                </c:pt>
                <c:pt idx="2167">
                  <c:v>44.58</c:v>
                </c:pt>
                <c:pt idx="2168">
                  <c:v>50.93</c:v>
                </c:pt>
                <c:pt idx="2169">
                  <c:v>61.88</c:v>
                </c:pt>
                <c:pt idx="2170">
                  <c:v>63.31</c:v>
                </c:pt>
                <c:pt idx="2171">
                  <c:v>68.150000000000006</c:v>
                </c:pt>
                <c:pt idx="2172">
                  <c:v>74.86</c:v>
                </c:pt>
                <c:pt idx="2173">
                  <c:v>79.83</c:v>
                </c:pt>
                <c:pt idx="2174">
                  <c:v>81.78</c:v>
                </c:pt>
                <c:pt idx="2175">
                  <c:v>81.349999999999994</c:v>
                </c:pt>
                <c:pt idx="2176">
                  <c:v>81.099999999999994</c:v>
                </c:pt>
                <c:pt idx="2177">
                  <c:v>84.92</c:v>
                </c:pt>
                <c:pt idx="2178">
                  <c:v>82.13</c:v>
                </c:pt>
                <c:pt idx="2179">
                  <c:v>79.94</c:v>
                </c:pt>
                <c:pt idx="2180">
                  <c:v>72.739999999999995</c:v>
                </c:pt>
                <c:pt idx="2181">
                  <c:v>64.8</c:v>
                </c:pt>
                <c:pt idx="2182">
                  <c:v>61.62</c:v>
                </c:pt>
                <c:pt idx="2183">
                  <c:v>62.21</c:v>
                </c:pt>
                <c:pt idx="2184">
                  <c:v>53.55</c:v>
                </c:pt>
                <c:pt idx="2185">
                  <c:v>50.81</c:v>
                </c:pt>
                <c:pt idx="2186">
                  <c:v>52.74</c:v>
                </c:pt>
                <c:pt idx="2187">
                  <c:v>45.96</c:v>
                </c:pt>
                <c:pt idx="2188">
                  <c:v>40.340000000000003</c:v>
                </c:pt>
                <c:pt idx="2189">
                  <c:v>63.56</c:v>
                </c:pt>
                <c:pt idx="2190">
                  <c:v>58.35</c:v>
                </c:pt>
                <c:pt idx="2191">
                  <c:v>66.569999999999993</c:v>
                </c:pt>
                <c:pt idx="2192">
                  <c:v>69.45</c:v>
                </c:pt>
                <c:pt idx="2193">
                  <c:v>68.75</c:v>
                </c:pt>
                <c:pt idx="2194">
                  <c:v>83.59</c:v>
                </c:pt>
                <c:pt idx="2195">
                  <c:v>82.75</c:v>
                </c:pt>
                <c:pt idx="2196">
                  <c:v>84.93</c:v>
                </c:pt>
                <c:pt idx="2197">
                  <c:v>84.33</c:v>
                </c:pt>
                <c:pt idx="2198">
                  <c:v>87.73</c:v>
                </c:pt>
                <c:pt idx="2199">
                  <c:v>88.27</c:v>
                </c:pt>
                <c:pt idx="2200">
                  <c:v>88.65</c:v>
                </c:pt>
                <c:pt idx="2201">
                  <c:v>79.150000000000006</c:v>
                </c:pt>
                <c:pt idx="2202">
                  <c:v>71.680000000000007</c:v>
                </c:pt>
                <c:pt idx="2203">
                  <c:v>58.04</c:v>
                </c:pt>
                <c:pt idx="2204">
                  <c:v>63.11</c:v>
                </c:pt>
                <c:pt idx="2205">
                  <c:v>53.14</c:v>
                </c:pt>
                <c:pt idx="2206">
                  <c:v>49.36</c:v>
                </c:pt>
                <c:pt idx="2207">
                  <c:v>55.83</c:v>
                </c:pt>
                <c:pt idx="2208">
                  <c:v>60.69</c:v>
                </c:pt>
                <c:pt idx="2209">
                  <c:v>52.89</c:v>
                </c:pt>
                <c:pt idx="2210">
                  <c:v>64.05</c:v>
                </c:pt>
                <c:pt idx="2211">
                  <c:v>61.64</c:v>
                </c:pt>
                <c:pt idx="2212">
                  <c:v>73.489999999999995</c:v>
                </c:pt>
                <c:pt idx="2213">
                  <c:v>77.150000000000006</c:v>
                </c:pt>
                <c:pt idx="2214">
                  <c:v>75.52</c:v>
                </c:pt>
                <c:pt idx="2215">
                  <c:v>80.33</c:v>
                </c:pt>
                <c:pt idx="2216">
                  <c:v>81.12</c:v>
                </c:pt>
                <c:pt idx="2217">
                  <c:v>81.05</c:v>
                </c:pt>
                <c:pt idx="2218">
                  <c:v>84.05</c:v>
                </c:pt>
                <c:pt idx="2219">
                  <c:v>83.47</c:v>
                </c:pt>
                <c:pt idx="2220">
                  <c:v>83.71</c:v>
                </c:pt>
                <c:pt idx="2221">
                  <c:v>72.05</c:v>
                </c:pt>
                <c:pt idx="2222">
                  <c:v>69.88</c:v>
                </c:pt>
                <c:pt idx="2223">
                  <c:v>14.48</c:v>
                </c:pt>
                <c:pt idx="2224">
                  <c:v>20.84</c:v>
                </c:pt>
                <c:pt idx="2225">
                  <c:v>34.78</c:v>
                </c:pt>
                <c:pt idx="2226">
                  <c:v>35.1</c:v>
                </c:pt>
                <c:pt idx="2227">
                  <c:v>41.39</c:v>
                </c:pt>
                <c:pt idx="2228">
                  <c:v>54.31</c:v>
                </c:pt>
                <c:pt idx="2229">
                  <c:v>60.05</c:v>
                </c:pt>
                <c:pt idx="2230">
                  <c:v>65.7</c:v>
                </c:pt>
                <c:pt idx="2231">
                  <c:v>59.42</c:v>
                </c:pt>
                <c:pt idx="2232">
                  <c:v>65.47</c:v>
                </c:pt>
                <c:pt idx="2233">
                  <c:v>76.67</c:v>
                </c:pt>
                <c:pt idx="2234">
                  <c:v>69.16</c:v>
                </c:pt>
                <c:pt idx="2235">
                  <c:v>70.66</c:v>
                </c:pt>
                <c:pt idx="2236">
                  <c:v>62.75</c:v>
                </c:pt>
                <c:pt idx="2237">
                  <c:v>62.01</c:v>
                </c:pt>
                <c:pt idx="2238">
                  <c:v>52.02</c:v>
                </c:pt>
                <c:pt idx="2239">
                  <c:v>36.450000000000003</c:v>
                </c:pt>
                <c:pt idx="2240">
                  <c:v>38.5</c:v>
                </c:pt>
                <c:pt idx="2241">
                  <c:v>33.6</c:v>
                </c:pt>
                <c:pt idx="2242">
                  <c:v>21.64</c:v>
                </c:pt>
                <c:pt idx="2243">
                  <c:v>24.05</c:v>
                </c:pt>
                <c:pt idx="2244">
                  <c:v>13.29</c:v>
                </c:pt>
                <c:pt idx="2245">
                  <c:v>16.87</c:v>
                </c:pt>
                <c:pt idx="2246">
                  <c:v>18.489999999999998</c:v>
                </c:pt>
                <c:pt idx="2247">
                  <c:v>30.53</c:v>
                </c:pt>
                <c:pt idx="2248">
                  <c:v>28.6</c:v>
                </c:pt>
                <c:pt idx="2249">
                  <c:v>34.770000000000003</c:v>
                </c:pt>
                <c:pt idx="2250">
                  <c:v>50.81</c:v>
                </c:pt>
                <c:pt idx="2251">
                  <c:v>66.16</c:v>
                </c:pt>
                <c:pt idx="2252">
                  <c:v>64.19</c:v>
                </c:pt>
                <c:pt idx="2253">
                  <c:v>65.25</c:v>
                </c:pt>
                <c:pt idx="2254">
                  <c:v>67.86</c:v>
                </c:pt>
                <c:pt idx="2255">
                  <c:v>68.099999999999994</c:v>
                </c:pt>
                <c:pt idx="2256">
                  <c:v>68.3</c:v>
                </c:pt>
                <c:pt idx="2257">
                  <c:v>63.79</c:v>
                </c:pt>
                <c:pt idx="2258">
                  <c:v>64.83</c:v>
                </c:pt>
                <c:pt idx="2259">
                  <c:v>50.21</c:v>
                </c:pt>
                <c:pt idx="2260">
                  <c:v>35.4</c:v>
                </c:pt>
                <c:pt idx="2261">
                  <c:v>40.75</c:v>
                </c:pt>
                <c:pt idx="2262">
                  <c:v>38.51</c:v>
                </c:pt>
                <c:pt idx="2263">
                  <c:v>34.479999999999997</c:v>
                </c:pt>
                <c:pt idx="2264">
                  <c:v>23.29</c:v>
                </c:pt>
                <c:pt idx="2265">
                  <c:v>27.86</c:v>
                </c:pt>
                <c:pt idx="2266">
                  <c:v>23.92</c:v>
                </c:pt>
                <c:pt idx="2267">
                  <c:v>23.79</c:v>
                </c:pt>
                <c:pt idx="2268">
                  <c:v>30.58</c:v>
                </c:pt>
                <c:pt idx="2269">
                  <c:v>36.54</c:v>
                </c:pt>
                <c:pt idx="2270">
                  <c:v>44.47</c:v>
                </c:pt>
                <c:pt idx="2271">
                  <c:v>52.06</c:v>
                </c:pt>
                <c:pt idx="2272">
                  <c:v>64.75</c:v>
                </c:pt>
                <c:pt idx="2273">
                  <c:v>55.78</c:v>
                </c:pt>
                <c:pt idx="2274">
                  <c:v>69.08</c:v>
                </c:pt>
                <c:pt idx="2275">
                  <c:v>70.150000000000006</c:v>
                </c:pt>
                <c:pt idx="2276">
                  <c:v>70.09</c:v>
                </c:pt>
                <c:pt idx="2277">
                  <c:v>65.06</c:v>
                </c:pt>
                <c:pt idx="2278">
                  <c:v>57.21</c:v>
                </c:pt>
                <c:pt idx="2279">
                  <c:v>47.35</c:v>
                </c:pt>
                <c:pt idx="2280">
                  <c:v>30.27</c:v>
                </c:pt>
                <c:pt idx="2281">
                  <c:v>23.04</c:v>
                </c:pt>
                <c:pt idx="2282">
                  <c:v>32.49</c:v>
                </c:pt>
                <c:pt idx="2283">
                  <c:v>33.4</c:v>
                </c:pt>
                <c:pt idx="2284">
                  <c:v>41.31</c:v>
                </c:pt>
                <c:pt idx="2285">
                  <c:v>37.299999999999997</c:v>
                </c:pt>
                <c:pt idx="2286">
                  <c:v>41.5</c:v>
                </c:pt>
                <c:pt idx="2287">
                  <c:v>60.13</c:v>
                </c:pt>
                <c:pt idx="2288">
                  <c:v>63.36</c:v>
                </c:pt>
                <c:pt idx="2289">
                  <c:v>69.39</c:v>
                </c:pt>
                <c:pt idx="2290">
                  <c:v>60.93</c:v>
                </c:pt>
                <c:pt idx="2291">
                  <c:v>69.209999999999994</c:v>
                </c:pt>
                <c:pt idx="2292">
                  <c:v>64.13</c:v>
                </c:pt>
                <c:pt idx="2293">
                  <c:v>63.3</c:v>
                </c:pt>
                <c:pt idx="2294">
                  <c:v>62.67</c:v>
                </c:pt>
                <c:pt idx="2295">
                  <c:v>57.1</c:v>
                </c:pt>
                <c:pt idx="2296">
                  <c:v>46.74</c:v>
                </c:pt>
                <c:pt idx="2297">
                  <c:v>38.99</c:v>
                </c:pt>
                <c:pt idx="2298">
                  <c:v>33</c:v>
                </c:pt>
                <c:pt idx="2299">
                  <c:v>33.9</c:v>
                </c:pt>
                <c:pt idx="2300">
                  <c:v>23.76</c:v>
                </c:pt>
                <c:pt idx="2301">
                  <c:v>14.56</c:v>
                </c:pt>
                <c:pt idx="2302">
                  <c:v>16.809999999999999</c:v>
                </c:pt>
                <c:pt idx="2303">
                  <c:v>34.99</c:v>
                </c:pt>
                <c:pt idx="2304">
                  <c:v>31.6</c:v>
                </c:pt>
                <c:pt idx="2305">
                  <c:v>38.159999999999997</c:v>
                </c:pt>
                <c:pt idx="2306">
                  <c:v>42.87</c:v>
                </c:pt>
                <c:pt idx="2307">
                  <c:v>41.2</c:v>
                </c:pt>
                <c:pt idx="2308">
                  <c:v>54.81</c:v>
                </c:pt>
                <c:pt idx="2309">
                  <c:v>61.1</c:v>
                </c:pt>
                <c:pt idx="2310">
                  <c:v>67.010000000000005</c:v>
                </c:pt>
                <c:pt idx="2311">
                  <c:v>68.489999999999995</c:v>
                </c:pt>
                <c:pt idx="2312">
                  <c:v>72.19</c:v>
                </c:pt>
                <c:pt idx="2313">
                  <c:v>67.650000000000006</c:v>
                </c:pt>
                <c:pt idx="2314">
                  <c:v>70.37</c:v>
                </c:pt>
                <c:pt idx="2315">
                  <c:v>58.31</c:v>
                </c:pt>
                <c:pt idx="2316">
                  <c:v>58.74</c:v>
                </c:pt>
                <c:pt idx="2317">
                  <c:v>35.04</c:v>
                </c:pt>
                <c:pt idx="2318">
                  <c:v>32.869999999999997</c:v>
                </c:pt>
                <c:pt idx="2319">
                  <c:v>34.53</c:v>
                </c:pt>
                <c:pt idx="2320">
                  <c:v>17.05</c:v>
                </c:pt>
                <c:pt idx="2321">
                  <c:v>37.21</c:v>
                </c:pt>
                <c:pt idx="2322">
                  <c:v>31.65</c:v>
                </c:pt>
                <c:pt idx="2323">
                  <c:v>22</c:v>
                </c:pt>
                <c:pt idx="2324">
                  <c:v>27.39</c:v>
                </c:pt>
                <c:pt idx="2325">
                  <c:v>35.299999999999997</c:v>
                </c:pt>
                <c:pt idx="2326">
                  <c:v>48.48</c:v>
                </c:pt>
                <c:pt idx="2327">
                  <c:v>52.86</c:v>
                </c:pt>
                <c:pt idx="2328">
                  <c:v>50.22</c:v>
                </c:pt>
                <c:pt idx="2329">
                  <c:v>57.29</c:v>
                </c:pt>
                <c:pt idx="2330">
                  <c:v>65.11</c:v>
                </c:pt>
                <c:pt idx="2331">
                  <c:v>74.47</c:v>
                </c:pt>
                <c:pt idx="2332">
                  <c:v>73.16</c:v>
                </c:pt>
                <c:pt idx="2333">
                  <c:v>71.73</c:v>
                </c:pt>
                <c:pt idx="2334">
                  <c:v>67.41</c:v>
                </c:pt>
                <c:pt idx="2335">
                  <c:v>50.14</c:v>
                </c:pt>
                <c:pt idx="2336">
                  <c:v>39.380000000000003</c:v>
                </c:pt>
                <c:pt idx="2337">
                  <c:v>54.34</c:v>
                </c:pt>
                <c:pt idx="2338">
                  <c:v>49.96</c:v>
                </c:pt>
                <c:pt idx="2339">
                  <c:v>55.92</c:v>
                </c:pt>
                <c:pt idx="2340">
                  <c:v>52.33</c:v>
                </c:pt>
                <c:pt idx="2341">
                  <c:v>63.66</c:v>
                </c:pt>
                <c:pt idx="2342">
                  <c:v>65.290000000000006</c:v>
                </c:pt>
                <c:pt idx="2343">
                  <c:v>71.06</c:v>
                </c:pt>
                <c:pt idx="2344">
                  <c:v>82.82</c:v>
                </c:pt>
                <c:pt idx="2345">
                  <c:v>89.67</c:v>
                </c:pt>
                <c:pt idx="2346">
                  <c:v>92.89</c:v>
                </c:pt>
                <c:pt idx="2347">
                  <c:v>91.03</c:v>
                </c:pt>
                <c:pt idx="2348">
                  <c:v>86.13</c:v>
                </c:pt>
                <c:pt idx="2349">
                  <c:v>83.8</c:v>
                </c:pt>
                <c:pt idx="2350">
                  <c:v>84.04</c:v>
                </c:pt>
                <c:pt idx="2351">
                  <c:v>86.01</c:v>
                </c:pt>
                <c:pt idx="2352">
                  <c:v>77.040000000000006</c:v>
                </c:pt>
                <c:pt idx="2353">
                  <c:v>71.040000000000006</c:v>
                </c:pt>
                <c:pt idx="2354">
                  <c:v>61.24</c:v>
                </c:pt>
                <c:pt idx="2355">
                  <c:v>51.17</c:v>
                </c:pt>
                <c:pt idx="2356">
                  <c:v>60.51</c:v>
                </c:pt>
                <c:pt idx="2357">
                  <c:v>43.43</c:v>
                </c:pt>
                <c:pt idx="2358">
                  <c:v>44.88</c:v>
                </c:pt>
                <c:pt idx="2359">
                  <c:v>51.51</c:v>
                </c:pt>
                <c:pt idx="2360">
                  <c:v>56.96</c:v>
                </c:pt>
                <c:pt idx="2361">
                  <c:v>64.22</c:v>
                </c:pt>
                <c:pt idx="2362">
                  <c:v>67.64</c:v>
                </c:pt>
                <c:pt idx="2363">
                  <c:v>73.03</c:v>
                </c:pt>
                <c:pt idx="2364">
                  <c:v>73.56</c:v>
                </c:pt>
                <c:pt idx="2365">
                  <c:v>81.87</c:v>
                </c:pt>
                <c:pt idx="2366">
                  <c:v>84.57</c:v>
                </c:pt>
                <c:pt idx="2367">
                  <c:v>95.36</c:v>
                </c:pt>
                <c:pt idx="2368">
                  <c:v>88.57</c:v>
                </c:pt>
                <c:pt idx="2369">
                  <c:v>89.8</c:v>
                </c:pt>
                <c:pt idx="2370">
                  <c:v>85.61</c:v>
                </c:pt>
                <c:pt idx="2371">
                  <c:v>91.61</c:v>
                </c:pt>
                <c:pt idx="2372">
                  <c:v>89.06</c:v>
                </c:pt>
                <c:pt idx="2373">
                  <c:v>75.010000000000005</c:v>
                </c:pt>
                <c:pt idx="2374">
                  <c:v>68.569999999999993</c:v>
                </c:pt>
                <c:pt idx="2375">
                  <c:v>55.28</c:v>
                </c:pt>
                <c:pt idx="2376">
                  <c:v>57.29</c:v>
                </c:pt>
                <c:pt idx="2377">
                  <c:v>42.58</c:v>
                </c:pt>
                <c:pt idx="2378">
                  <c:v>59.85</c:v>
                </c:pt>
                <c:pt idx="2379">
                  <c:v>56.85</c:v>
                </c:pt>
                <c:pt idx="2380">
                  <c:v>55.73</c:v>
                </c:pt>
                <c:pt idx="2381">
                  <c:v>57.62</c:v>
                </c:pt>
                <c:pt idx="2382">
                  <c:v>57.65</c:v>
                </c:pt>
                <c:pt idx="2383">
                  <c:v>65.989999999999995</c:v>
                </c:pt>
                <c:pt idx="2384">
                  <c:v>77.02</c:v>
                </c:pt>
                <c:pt idx="2385">
                  <c:v>76.03</c:v>
                </c:pt>
                <c:pt idx="2386">
                  <c:v>80.06</c:v>
                </c:pt>
                <c:pt idx="2387">
                  <c:v>86.87</c:v>
                </c:pt>
                <c:pt idx="2388">
                  <c:v>86.87</c:v>
                </c:pt>
                <c:pt idx="2389">
                  <c:v>84.76</c:v>
                </c:pt>
                <c:pt idx="2390">
                  <c:v>90.78</c:v>
                </c:pt>
                <c:pt idx="2391">
                  <c:v>83.07</c:v>
                </c:pt>
                <c:pt idx="2392">
                  <c:v>80.88</c:v>
                </c:pt>
                <c:pt idx="2393">
                  <c:v>76.03</c:v>
                </c:pt>
                <c:pt idx="2394">
                  <c:v>47.31</c:v>
                </c:pt>
                <c:pt idx="2395">
                  <c:v>47.99</c:v>
                </c:pt>
                <c:pt idx="2396">
                  <c:v>52.89</c:v>
                </c:pt>
                <c:pt idx="2397">
                  <c:v>53.67</c:v>
                </c:pt>
                <c:pt idx="2398">
                  <c:v>62.19</c:v>
                </c:pt>
                <c:pt idx="2399">
                  <c:v>64.37</c:v>
                </c:pt>
                <c:pt idx="2400">
                  <c:v>67.16</c:v>
                </c:pt>
                <c:pt idx="2401">
                  <c:v>82.76</c:v>
                </c:pt>
                <c:pt idx="2402">
                  <c:v>88.12</c:v>
                </c:pt>
                <c:pt idx="2403">
                  <c:v>80.17</c:v>
                </c:pt>
                <c:pt idx="2404">
                  <c:v>81.52</c:v>
                </c:pt>
                <c:pt idx="2405">
                  <c:v>84.66</c:v>
                </c:pt>
                <c:pt idx="2406">
                  <c:v>80.430000000000007</c:v>
                </c:pt>
                <c:pt idx="2407">
                  <c:v>81.319999999999993</c:v>
                </c:pt>
                <c:pt idx="2408">
                  <c:v>77.930000000000007</c:v>
                </c:pt>
                <c:pt idx="2409">
                  <c:v>72.81</c:v>
                </c:pt>
                <c:pt idx="2410">
                  <c:v>62.52</c:v>
                </c:pt>
                <c:pt idx="2411">
                  <c:v>59.98</c:v>
                </c:pt>
                <c:pt idx="2412">
                  <c:v>44.56</c:v>
                </c:pt>
                <c:pt idx="2413">
                  <c:v>52.52</c:v>
                </c:pt>
                <c:pt idx="2414">
                  <c:v>40.47</c:v>
                </c:pt>
                <c:pt idx="2415">
                  <c:v>33.21</c:v>
                </c:pt>
                <c:pt idx="2416">
                  <c:v>40.65</c:v>
                </c:pt>
                <c:pt idx="2417">
                  <c:v>60.26</c:v>
                </c:pt>
                <c:pt idx="2418">
                  <c:v>60.24</c:v>
                </c:pt>
                <c:pt idx="2419">
                  <c:v>67.790000000000006</c:v>
                </c:pt>
                <c:pt idx="2420">
                  <c:v>70.349999999999994</c:v>
                </c:pt>
                <c:pt idx="2421">
                  <c:v>66.77</c:v>
                </c:pt>
                <c:pt idx="2422">
                  <c:v>83.49</c:v>
                </c:pt>
                <c:pt idx="2423">
                  <c:v>85.81</c:v>
                </c:pt>
                <c:pt idx="2424">
                  <c:v>91.36</c:v>
                </c:pt>
                <c:pt idx="2425">
                  <c:v>87.02</c:v>
                </c:pt>
                <c:pt idx="2426">
                  <c:v>87.47</c:v>
                </c:pt>
                <c:pt idx="2427">
                  <c:v>86.64</c:v>
                </c:pt>
                <c:pt idx="2428">
                  <c:v>87.84</c:v>
                </c:pt>
                <c:pt idx="2429">
                  <c:v>79.290000000000006</c:v>
                </c:pt>
                <c:pt idx="2430">
                  <c:v>74.17</c:v>
                </c:pt>
                <c:pt idx="2431">
                  <c:v>59.08</c:v>
                </c:pt>
                <c:pt idx="2432">
                  <c:v>51.26</c:v>
                </c:pt>
                <c:pt idx="2433">
                  <c:v>47.49</c:v>
                </c:pt>
                <c:pt idx="2434">
                  <c:v>34.229999999999997</c:v>
                </c:pt>
                <c:pt idx="2435">
                  <c:v>47.59</c:v>
                </c:pt>
                <c:pt idx="2436">
                  <c:v>51.92</c:v>
                </c:pt>
                <c:pt idx="2437">
                  <c:v>46.54</c:v>
                </c:pt>
                <c:pt idx="2438">
                  <c:v>56.43</c:v>
                </c:pt>
                <c:pt idx="2439">
                  <c:v>54.52</c:v>
                </c:pt>
                <c:pt idx="2440">
                  <c:v>64.7</c:v>
                </c:pt>
                <c:pt idx="2441">
                  <c:v>77.47</c:v>
                </c:pt>
                <c:pt idx="2442">
                  <c:v>67.59</c:v>
                </c:pt>
                <c:pt idx="2443">
                  <c:v>80.89</c:v>
                </c:pt>
                <c:pt idx="2444">
                  <c:v>85.73</c:v>
                </c:pt>
                <c:pt idx="2445">
                  <c:v>82.68</c:v>
                </c:pt>
                <c:pt idx="2446">
                  <c:v>85.06</c:v>
                </c:pt>
                <c:pt idx="2447">
                  <c:v>86.36</c:v>
                </c:pt>
                <c:pt idx="2448">
                  <c:v>84.99</c:v>
                </c:pt>
                <c:pt idx="2449">
                  <c:v>74.09</c:v>
                </c:pt>
                <c:pt idx="2450">
                  <c:v>71.14</c:v>
                </c:pt>
                <c:pt idx="2451">
                  <c:v>31.53</c:v>
                </c:pt>
                <c:pt idx="2452">
                  <c:v>33.159999999999997</c:v>
                </c:pt>
                <c:pt idx="2453">
                  <c:v>40.65</c:v>
                </c:pt>
                <c:pt idx="2454">
                  <c:v>37.619999999999997</c:v>
                </c:pt>
                <c:pt idx="2455">
                  <c:v>42.15</c:v>
                </c:pt>
                <c:pt idx="2456">
                  <c:v>38.97</c:v>
                </c:pt>
                <c:pt idx="2457">
                  <c:v>44.42</c:v>
                </c:pt>
                <c:pt idx="2458">
                  <c:v>59.85</c:v>
                </c:pt>
                <c:pt idx="2459">
                  <c:v>65.239999999999995</c:v>
                </c:pt>
                <c:pt idx="2460">
                  <c:v>78.819999999999993</c:v>
                </c:pt>
                <c:pt idx="2461">
                  <c:v>71.33</c:v>
                </c:pt>
                <c:pt idx="2462">
                  <c:v>81.239999999999995</c:v>
                </c:pt>
                <c:pt idx="2463">
                  <c:v>65.709999999999994</c:v>
                </c:pt>
                <c:pt idx="2464">
                  <c:v>65.739999999999995</c:v>
                </c:pt>
                <c:pt idx="2465">
                  <c:v>68.739999999999995</c:v>
                </c:pt>
                <c:pt idx="2466">
                  <c:v>63.03</c:v>
                </c:pt>
                <c:pt idx="2467">
                  <c:v>49.96</c:v>
                </c:pt>
                <c:pt idx="2468">
                  <c:v>42.55</c:v>
                </c:pt>
                <c:pt idx="2469">
                  <c:v>25.8</c:v>
                </c:pt>
                <c:pt idx="2470">
                  <c:v>36.78</c:v>
                </c:pt>
                <c:pt idx="2471">
                  <c:v>16.940000000000001</c:v>
                </c:pt>
                <c:pt idx="2472">
                  <c:v>23.35</c:v>
                </c:pt>
                <c:pt idx="2473">
                  <c:v>30.83</c:v>
                </c:pt>
                <c:pt idx="2474">
                  <c:v>34.229999999999997</c:v>
                </c:pt>
                <c:pt idx="2475">
                  <c:v>41.28</c:v>
                </c:pt>
                <c:pt idx="2476">
                  <c:v>42.49</c:v>
                </c:pt>
                <c:pt idx="2477">
                  <c:v>42.75</c:v>
                </c:pt>
                <c:pt idx="2478">
                  <c:v>47.75</c:v>
                </c:pt>
                <c:pt idx="2479">
                  <c:v>52.76</c:v>
                </c:pt>
                <c:pt idx="2480">
                  <c:v>61.39</c:v>
                </c:pt>
                <c:pt idx="2481">
                  <c:v>74.290000000000006</c:v>
                </c:pt>
                <c:pt idx="2482">
                  <c:v>77.3</c:v>
                </c:pt>
                <c:pt idx="2483">
                  <c:v>75.56</c:v>
                </c:pt>
                <c:pt idx="2484">
                  <c:v>75.95</c:v>
                </c:pt>
                <c:pt idx="2485">
                  <c:v>77</c:v>
                </c:pt>
                <c:pt idx="2486">
                  <c:v>70.19</c:v>
                </c:pt>
                <c:pt idx="2487">
                  <c:v>60.62</c:v>
                </c:pt>
                <c:pt idx="2488">
                  <c:v>43.51</c:v>
                </c:pt>
                <c:pt idx="2489">
                  <c:v>33.799999999999997</c:v>
                </c:pt>
                <c:pt idx="2490">
                  <c:v>33.94</c:v>
                </c:pt>
                <c:pt idx="2491">
                  <c:v>24.82</c:v>
                </c:pt>
                <c:pt idx="2492">
                  <c:v>33.799999999999997</c:v>
                </c:pt>
                <c:pt idx="2493">
                  <c:v>31.39</c:v>
                </c:pt>
                <c:pt idx="2494">
                  <c:v>33.729999999999997</c:v>
                </c:pt>
                <c:pt idx="2495">
                  <c:v>32.36</c:v>
                </c:pt>
                <c:pt idx="2496">
                  <c:v>38.24</c:v>
                </c:pt>
                <c:pt idx="2497">
                  <c:v>48.85</c:v>
                </c:pt>
                <c:pt idx="2498">
                  <c:v>54.41</c:v>
                </c:pt>
                <c:pt idx="2499">
                  <c:v>56.47</c:v>
                </c:pt>
                <c:pt idx="2500">
                  <c:v>61.11</c:v>
                </c:pt>
                <c:pt idx="2501">
                  <c:v>68.400000000000006</c:v>
                </c:pt>
                <c:pt idx="2502">
                  <c:v>79.23</c:v>
                </c:pt>
                <c:pt idx="2503">
                  <c:v>81.99</c:v>
                </c:pt>
                <c:pt idx="2504">
                  <c:v>81.69</c:v>
                </c:pt>
                <c:pt idx="2505">
                  <c:v>70.650000000000006</c:v>
                </c:pt>
                <c:pt idx="2506">
                  <c:v>61.79</c:v>
                </c:pt>
                <c:pt idx="2507">
                  <c:v>55.1</c:v>
                </c:pt>
                <c:pt idx="2508">
                  <c:v>27.31</c:v>
                </c:pt>
                <c:pt idx="2509">
                  <c:v>27.73</c:v>
                </c:pt>
                <c:pt idx="2510">
                  <c:v>37.130000000000003</c:v>
                </c:pt>
                <c:pt idx="2511">
                  <c:v>45.8</c:v>
                </c:pt>
                <c:pt idx="2512">
                  <c:v>47.74</c:v>
                </c:pt>
                <c:pt idx="2513">
                  <c:v>65.45</c:v>
                </c:pt>
                <c:pt idx="2514">
                  <c:v>70.75</c:v>
                </c:pt>
                <c:pt idx="2515">
                  <c:v>75.930000000000007</c:v>
                </c:pt>
                <c:pt idx="2516">
                  <c:v>69.709999999999994</c:v>
                </c:pt>
                <c:pt idx="2517">
                  <c:v>76.61</c:v>
                </c:pt>
                <c:pt idx="2518">
                  <c:v>82.45</c:v>
                </c:pt>
                <c:pt idx="2519">
                  <c:v>77.17</c:v>
                </c:pt>
                <c:pt idx="2520">
                  <c:v>78.37</c:v>
                </c:pt>
                <c:pt idx="2521">
                  <c:v>70.87</c:v>
                </c:pt>
                <c:pt idx="2522">
                  <c:v>70.58</c:v>
                </c:pt>
                <c:pt idx="2523">
                  <c:v>56.49</c:v>
                </c:pt>
                <c:pt idx="2524">
                  <c:v>45.65</c:v>
                </c:pt>
                <c:pt idx="2525">
                  <c:v>46.14</c:v>
                </c:pt>
                <c:pt idx="2526">
                  <c:v>40.93</c:v>
                </c:pt>
                <c:pt idx="2527">
                  <c:v>30.54</c:v>
                </c:pt>
                <c:pt idx="2528">
                  <c:v>34.32</c:v>
                </c:pt>
                <c:pt idx="2529">
                  <c:v>28.73</c:v>
                </c:pt>
                <c:pt idx="2530">
                  <c:v>30.3</c:v>
                </c:pt>
                <c:pt idx="2531">
                  <c:v>38.65</c:v>
                </c:pt>
                <c:pt idx="2532">
                  <c:v>45.01</c:v>
                </c:pt>
                <c:pt idx="2533">
                  <c:v>37.270000000000003</c:v>
                </c:pt>
                <c:pt idx="2534">
                  <c:v>48.71</c:v>
                </c:pt>
                <c:pt idx="2535">
                  <c:v>58.21</c:v>
                </c:pt>
                <c:pt idx="2536">
                  <c:v>76.38</c:v>
                </c:pt>
                <c:pt idx="2537">
                  <c:v>73.88</c:v>
                </c:pt>
                <c:pt idx="2538">
                  <c:v>74.040000000000006</c:v>
                </c:pt>
                <c:pt idx="2539">
                  <c:v>77.489999999999995</c:v>
                </c:pt>
                <c:pt idx="2540">
                  <c:v>78.22</c:v>
                </c:pt>
                <c:pt idx="2541">
                  <c:v>77</c:v>
                </c:pt>
                <c:pt idx="2542">
                  <c:v>70.63</c:v>
                </c:pt>
                <c:pt idx="2543">
                  <c:v>71.48</c:v>
                </c:pt>
                <c:pt idx="2544">
                  <c:v>55.82</c:v>
                </c:pt>
                <c:pt idx="2545">
                  <c:v>43.92</c:v>
                </c:pt>
                <c:pt idx="2546">
                  <c:v>47.65</c:v>
                </c:pt>
                <c:pt idx="2547">
                  <c:v>50.19</c:v>
                </c:pt>
                <c:pt idx="2548">
                  <c:v>46.57</c:v>
                </c:pt>
                <c:pt idx="2549">
                  <c:v>35.880000000000003</c:v>
                </c:pt>
                <c:pt idx="2550">
                  <c:v>42.96</c:v>
                </c:pt>
                <c:pt idx="2551">
                  <c:v>37</c:v>
                </c:pt>
                <c:pt idx="2552">
                  <c:v>41.55</c:v>
                </c:pt>
                <c:pt idx="2553">
                  <c:v>45.52</c:v>
                </c:pt>
                <c:pt idx="2554">
                  <c:v>49.73</c:v>
                </c:pt>
                <c:pt idx="2555">
                  <c:v>55.21</c:v>
                </c:pt>
                <c:pt idx="2556">
                  <c:v>61.24</c:v>
                </c:pt>
                <c:pt idx="2557">
                  <c:v>74.48</c:v>
                </c:pt>
                <c:pt idx="2558">
                  <c:v>64.3</c:v>
                </c:pt>
                <c:pt idx="2559">
                  <c:v>82.99</c:v>
                </c:pt>
                <c:pt idx="2560">
                  <c:v>76.58</c:v>
                </c:pt>
                <c:pt idx="2561">
                  <c:v>78.650000000000006</c:v>
                </c:pt>
                <c:pt idx="2562">
                  <c:v>75.7</c:v>
                </c:pt>
                <c:pt idx="2563">
                  <c:v>64.89</c:v>
                </c:pt>
                <c:pt idx="2564">
                  <c:v>54.47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2F-46E8-8340-48E47A68AD91}"/>
            </c:ext>
          </c:extLst>
        </c:ser>
        <c:ser>
          <c:idx val="1"/>
          <c:order val="1"/>
          <c:tx>
            <c:v>Weekly_Sales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A2F-46E8-8340-48E47A68A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1472"/>
        <c:axId val="6082432"/>
      </c:scatterChart>
      <c:valAx>
        <c:axId val="6081472"/>
        <c:scaling>
          <c:orientation val="minMax"/>
          <c:max val="2800000"/>
          <c:min val="209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82432"/>
        <c:crosses val="autoZero"/>
        <c:crossBetween val="midCat"/>
      </c:valAx>
      <c:valAx>
        <c:axId val="6082432"/>
        <c:scaling>
          <c:orientation val="minMax"/>
          <c:min val="-2.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8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872746866906539"/>
          <c:y val="0.94078907562119751"/>
          <c:w val="0.64254488884253702"/>
          <c:h val="5.9210924378802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Preço</a:t>
            </a:r>
            <a:r>
              <a:rPr lang="pt-BR" baseline="0"/>
              <a:t> do Combustivél vs Vendas Semanais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740322335741085"/>
          <c:y val="0.13048369296637982"/>
          <c:w val="0.7471312119042971"/>
          <c:h val="0.65801850206206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Walmart_Sales!$H$1</c:f>
              <c:strCache>
                <c:ptCount val="1"/>
                <c:pt idx="0">
                  <c:v>Fuel_Price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47625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313203618142773E-2"/>
                  <c:y val="-0.380646851945830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Walmart_Sales!$H$2:$H$2566</c:f>
              <c:numCache>
                <c:formatCode>"R$"\ #,##0.00</c:formatCode>
                <c:ptCount val="2565"/>
                <c:pt idx="0">
                  <c:v>2.5720000000000001</c:v>
                </c:pt>
                <c:pt idx="1">
                  <c:v>2.548</c:v>
                </c:pt>
                <c:pt idx="2">
                  <c:v>2.625</c:v>
                </c:pt>
                <c:pt idx="3">
                  <c:v>2.6669999999999998</c:v>
                </c:pt>
                <c:pt idx="4">
                  <c:v>2.7189999999999999</c:v>
                </c:pt>
                <c:pt idx="5">
                  <c:v>2.77</c:v>
                </c:pt>
                <c:pt idx="6">
                  <c:v>2.835</c:v>
                </c:pt>
                <c:pt idx="7">
                  <c:v>2.7050000000000001</c:v>
                </c:pt>
                <c:pt idx="8">
                  <c:v>2.6680000000000001</c:v>
                </c:pt>
                <c:pt idx="9">
                  <c:v>2.669</c:v>
                </c:pt>
                <c:pt idx="10">
                  <c:v>2.6419999999999999</c:v>
                </c:pt>
                <c:pt idx="11">
                  <c:v>2.6269999999999998</c:v>
                </c:pt>
                <c:pt idx="12">
                  <c:v>2.577</c:v>
                </c:pt>
                <c:pt idx="13">
                  <c:v>2.5649999999999999</c:v>
                </c:pt>
                <c:pt idx="14">
                  <c:v>2.6030000000000002</c:v>
                </c:pt>
                <c:pt idx="15">
                  <c:v>2.633</c:v>
                </c:pt>
                <c:pt idx="16">
                  <c:v>2.6890000000000001</c:v>
                </c:pt>
                <c:pt idx="17">
                  <c:v>2.7280000000000002</c:v>
                </c:pt>
                <c:pt idx="18">
                  <c:v>2.7080000000000002</c:v>
                </c:pt>
                <c:pt idx="19">
                  <c:v>2.843</c:v>
                </c:pt>
                <c:pt idx="20">
                  <c:v>2.976</c:v>
                </c:pt>
                <c:pt idx="21">
                  <c:v>2.9889999999999999</c:v>
                </c:pt>
                <c:pt idx="22">
                  <c:v>3.0219999999999998</c:v>
                </c:pt>
                <c:pt idx="23">
                  <c:v>3.2879999999999998</c:v>
                </c:pt>
                <c:pt idx="24">
                  <c:v>3.4590000000000001</c:v>
                </c:pt>
                <c:pt idx="25">
                  <c:v>3.524</c:v>
                </c:pt>
                <c:pt idx="26">
                  <c:v>3.6219999999999999</c:v>
                </c:pt>
                <c:pt idx="27">
                  <c:v>3.9060000000000001</c:v>
                </c:pt>
                <c:pt idx="28">
                  <c:v>3.6989999999999998</c:v>
                </c:pt>
                <c:pt idx="29">
                  <c:v>3.6480000000000001</c:v>
                </c:pt>
                <c:pt idx="30">
                  <c:v>3.524</c:v>
                </c:pt>
                <c:pt idx="31">
                  <c:v>3.48</c:v>
                </c:pt>
                <c:pt idx="32">
                  <c:v>3.6840000000000002</c:v>
                </c:pt>
                <c:pt idx="33">
                  <c:v>3.6379999999999999</c:v>
                </c:pt>
                <c:pt idx="34">
                  <c:v>3.5329999999999999</c:v>
                </c:pt>
                <c:pt idx="35">
                  <c:v>3.5459999999999998</c:v>
                </c:pt>
                <c:pt idx="36">
                  <c:v>3.2850000000000001</c:v>
                </c:pt>
                <c:pt idx="37">
                  <c:v>3.3319999999999999</c:v>
                </c:pt>
                <c:pt idx="38">
                  <c:v>3.2970000000000002</c:v>
                </c:pt>
                <c:pt idx="39">
                  <c:v>3.1720000000000002</c:v>
                </c:pt>
                <c:pt idx="40">
                  <c:v>3.1579999999999999</c:v>
                </c:pt>
                <c:pt idx="41">
                  <c:v>3.157</c:v>
                </c:pt>
                <c:pt idx="42">
                  <c:v>3.36</c:v>
                </c:pt>
                <c:pt idx="43">
                  <c:v>3.4089999999999998</c:v>
                </c:pt>
                <c:pt idx="44">
                  <c:v>3.63</c:v>
                </c:pt>
                <c:pt idx="45">
                  <c:v>3.669</c:v>
                </c:pt>
                <c:pt idx="46">
                  <c:v>3.891</c:v>
                </c:pt>
                <c:pt idx="47">
                  <c:v>3.7490000000000001</c:v>
                </c:pt>
                <c:pt idx="48">
                  <c:v>3.6880000000000002</c:v>
                </c:pt>
                <c:pt idx="49">
                  <c:v>3.5009999999999999</c:v>
                </c:pt>
                <c:pt idx="50">
                  <c:v>3.452</c:v>
                </c:pt>
                <c:pt idx="51">
                  <c:v>3.2269999999999999</c:v>
                </c:pt>
                <c:pt idx="52">
                  <c:v>3.4169999999999998</c:v>
                </c:pt>
                <c:pt idx="53">
                  <c:v>3.4940000000000002</c:v>
                </c:pt>
                <c:pt idx="54">
                  <c:v>3.73</c:v>
                </c:pt>
                <c:pt idx="55">
                  <c:v>3.617</c:v>
                </c:pt>
                <c:pt idx="56">
                  <c:v>3.601</c:v>
                </c:pt>
                <c:pt idx="57">
                  <c:v>2.5720000000000001</c:v>
                </c:pt>
                <c:pt idx="58">
                  <c:v>2.548</c:v>
                </c:pt>
                <c:pt idx="59">
                  <c:v>2.625</c:v>
                </c:pt>
                <c:pt idx="60">
                  <c:v>2.6669999999999998</c:v>
                </c:pt>
                <c:pt idx="61">
                  <c:v>2.7189999999999999</c:v>
                </c:pt>
                <c:pt idx="62">
                  <c:v>2.77</c:v>
                </c:pt>
                <c:pt idx="63">
                  <c:v>2.835</c:v>
                </c:pt>
                <c:pt idx="64">
                  <c:v>2.7050000000000001</c:v>
                </c:pt>
                <c:pt idx="65">
                  <c:v>2.6680000000000001</c:v>
                </c:pt>
                <c:pt idx="66">
                  <c:v>2.669</c:v>
                </c:pt>
                <c:pt idx="67">
                  <c:v>2.6419999999999999</c:v>
                </c:pt>
                <c:pt idx="68">
                  <c:v>2.6269999999999998</c:v>
                </c:pt>
                <c:pt idx="69">
                  <c:v>2.577</c:v>
                </c:pt>
                <c:pt idx="70">
                  <c:v>2.5649999999999999</c:v>
                </c:pt>
                <c:pt idx="71">
                  <c:v>2.6030000000000002</c:v>
                </c:pt>
                <c:pt idx="72">
                  <c:v>2.633</c:v>
                </c:pt>
                <c:pt idx="73">
                  <c:v>2.6890000000000001</c:v>
                </c:pt>
                <c:pt idx="74">
                  <c:v>2.7280000000000002</c:v>
                </c:pt>
                <c:pt idx="75">
                  <c:v>2.7080000000000002</c:v>
                </c:pt>
                <c:pt idx="76">
                  <c:v>2.843</c:v>
                </c:pt>
                <c:pt idx="77">
                  <c:v>2.976</c:v>
                </c:pt>
                <c:pt idx="78">
                  <c:v>2.9889999999999999</c:v>
                </c:pt>
                <c:pt idx="79">
                  <c:v>3.0219999999999998</c:v>
                </c:pt>
                <c:pt idx="80">
                  <c:v>3.2879999999999998</c:v>
                </c:pt>
                <c:pt idx="81">
                  <c:v>3.4590000000000001</c:v>
                </c:pt>
                <c:pt idx="82">
                  <c:v>3.524</c:v>
                </c:pt>
                <c:pt idx="83">
                  <c:v>3.6219999999999999</c:v>
                </c:pt>
                <c:pt idx="84">
                  <c:v>3.9060000000000001</c:v>
                </c:pt>
                <c:pt idx="85">
                  <c:v>3.6989999999999998</c:v>
                </c:pt>
                <c:pt idx="86">
                  <c:v>3.6480000000000001</c:v>
                </c:pt>
                <c:pt idx="87">
                  <c:v>3.524</c:v>
                </c:pt>
                <c:pt idx="88">
                  <c:v>3.48</c:v>
                </c:pt>
                <c:pt idx="89">
                  <c:v>3.6840000000000002</c:v>
                </c:pt>
                <c:pt idx="90">
                  <c:v>3.6379999999999999</c:v>
                </c:pt>
                <c:pt idx="91">
                  <c:v>3.5329999999999999</c:v>
                </c:pt>
                <c:pt idx="92">
                  <c:v>3.5459999999999998</c:v>
                </c:pt>
                <c:pt idx="93">
                  <c:v>3.2850000000000001</c:v>
                </c:pt>
                <c:pt idx="94">
                  <c:v>3.3319999999999999</c:v>
                </c:pt>
                <c:pt idx="95">
                  <c:v>3.2970000000000002</c:v>
                </c:pt>
                <c:pt idx="96">
                  <c:v>3.1720000000000002</c:v>
                </c:pt>
                <c:pt idx="97">
                  <c:v>3.1579999999999999</c:v>
                </c:pt>
                <c:pt idx="98">
                  <c:v>3.157</c:v>
                </c:pt>
                <c:pt idx="99">
                  <c:v>3.36</c:v>
                </c:pt>
                <c:pt idx="100">
                  <c:v>3.4089999999999998</c:v>
                </c:pt>
                <c:pt idx="101">
                  <c:v>3.63</c:v>
                </c:pt>
                <c:pt idx="102">
                  <c:v>3.669</c:v>
                </c:pt>
                <c:pt idx="103">
                  <c:v>3.891</c:v>
                </c:pt>
                <c:pt idx="104">
                  <c:v>3.7490000000000001</c:v>
                </c:pt>
                <c:pt idx="105">
                  <c:v>3.6880000000000002</c:v>
                </c:pt>
                <c:pt idx="106">
                  <c:v>3.5009999999999999</c:v>
                </c:pt>
                <c:pt idx="107">
                  <c:v>3.452</c:v>
                </c:pt>
                <c:pt idx="108">
                  <c:v>3.2269999999999999</c:v>
                </c:pt>
                <c:pt idx="109">
                  <c:v>3.4169999999999998</c:v>
                </c:pt>
                <c:pt idx="110">
                  <c:v>3.4940000000000002</c:v>
                </c:pt>
                <c:pt idx="111">
                  <c:v>3.73</c:v>
                </c:pt>
                <c:pt idx="112">
                  <c:v>3.617</c:v>
                </c:pt>
                <c:pt idx="113">
                  <c:v>3.601</c:v>
                </c:pt>
                <c:pt idx="114">
                  <c:v>2.5720000000000001</c:v>
                </c:pt>
                <c:pt idx="115">
                  <c:v>2.548</c:v>
                </c:pt>
                <c:pt idx="116">
                  <c:v>2.625</c:v>
                </c:pt>
                <c:pt idx="117">
                  <c:v>2.6669999999999998</c:v>
                </c:pt>
                <c:pt idx="118">
                  <c:v>2.7189999999999999</c:v>
                </c:pt>
                <c:pt idx="119">
                  <c:v>2.77</c:v>
                </c:pt>
                <c:pt idx="120">
                  <c:v>2.835</c:v>
                </c:pt>
                <c:pt idx="121">
                  <c:v>2.7050000000000001</c:v>
                </c:pt>
                <c:pt idx="122">
                  <c:v>2.6680000000000001</c:v>
                </c:pt>
                <c:pt idx="123">
                  <c:v>2.669</c:v>
                </c:pt>
                <c:pt idx="124">
                  <c:v>2.6419999999999999</c:v>
                </c:pt>
                <c:pt idx="125">
                  <c:v>2.6269999999999998</c:v>
                </c:pt>
                <c:pt idx="126">
                  <c:v>2.577</c:v>
                </c:pt>
                <c:pt idx="127">
                  <c:v>2.5649999999999999</c:v>
                </c:pt>
                <c:pt idx="128">
                  <c:v>2.6030000000000002</c:v>
                </c:pt>
                <c:pt idx="129">
                  <c:v>2.633</c:v>
                </c:pt>
                <c:pt idx="130">
                  <c:v>2.6890000000000001</c:v>
                </c:pt>
                <c:pt idx="131">
                  <c:v>2.7280000000000002</c:v>
                </c:pt>
                <c:pt idx="132">
                  <c:v>2.7080000000000002</c:v>
                </c:pt>
                <c:pt idx="133">
                  <c:v>2.843</c:v>
                </c:pt>
                <c:pt idx="134">
                  <c:v>2.976</c:v>
                </c:pt>
                <c:pt idx="135">
                  <c:v>2.9889999999999999</c:v>
                </c:pt>
                <c:pt idx="136">
                  <c:v>3.0219999999999998</c:v>
                </c:pt>
                <c:pt idx="137">
                  <c:v>3.2879999999999998</c:v>
                </c:pt>
                <c:pt idx="138">
                  <c:v>3.4590000000000001</c:v>
                </c:pt>
                <c:pt idx="139">
                  <c:v>3.524</c:v>
                </c:pt>
                <c:pt idx="140">
                  <c:v>3.6219999999999999</c:v>
                </c:pt>
                <c:pt idx="141">
                  <c:v>3.9060000000000001</c:v>
                </c:pt>
                <c:pt idx="142">
                  <c:v>3.6989999999999998</c:v>
                </c:pt>
                <c:pt idx="143">
                  <c:v>3.6480000000000001</c:v>
                </c:pt>
                <c:pt idx="144">
                  <c:v>3.524</c:v>
                </c:pt>
                <c:pt idx="145">
                  <c:v>3.48</c:v>
                </c:pt>
                <c:pt idx="146">
                  <c:v>3.6840000000000002</c:v>
                </c:pt>
                <c:pt idx="147">
                  <c:v>3.6379999999999999</c:v>
                </c:pt>
                <c:pt idx="148">
                  <c:v>3.5329999999999999</c:v>
                </c:pt>
                <c:pt idx="149">
                  <c:v>3.5459999999999998</c:v>
                </c:pt>
                <c:pt idx="150">
                  <c:v>3.2850000000000001</c:v>
                </c:pt>
                <c:pt idx="151">
                  <c:v>3.3319999999999999</c:v>
                </c:pt>
                <c:pt idx="152">
                  <c:v>3.2970000000000002</c:v>
                </c:pt>
                <c:pt idx="153">
                  <c:v>3.1720000000000002</c:v>
                </c:pt>
                <c:pt idx="154">
                  <c:v>3.1579999999999999</c:v>
                </c:pt>
                <c:pt idx="155">
                  <c:v>3.157</c:v>
                </c:pt>
                <c:pt idx="156">
                  <c:v>3.36</c:v>
                </c:pt>
                <c:pt idx="157">
                  <c:v>3.4089999999999998</c:v>
                </c:pt>
                <c:pt idx="158">
                  <c:v>3.63</c:v>
                </c:pt>
                <c:pt idx="159">
                  <c:v>3.669</c:v>
                </c:pt>
                <c:pt idx="160">
                  <c:v>3.891</c:v>
                </c:pt>
                <c:pt idx="161">
                  <c:v>3.7490000000000001</c:v>
                </c:pt>
                <c:pt idx="162">
                  <c:v>3.6880000000000002</c:v>
                </c:pt>
                <c:pt idx="163">
                  <c:v>3.5009999999999999</c:v>
                </c:pt>
                <c:pt idx="164">
                  <c:v>3.452</c:v>
                </c:pt>
                <c:pt idx="165">
                  <c:v>3.2269999999999999</c:v>
                </c:pt>
                <c:pt idx="166">
                  <c:v>3.4169999999999998</c:v>
                </c:pt>
                <c:pt idx="167">
                  <c:v>3.4940000000000002</c:v>
                </c:pt>
                <c:pt idx="168">
                  <c:v>3.73</c:v>
                </c:pt>
                <c:pt idx="169">
                  <c:v>3.617</c:v>
                </c:pt>
                <c:pt idx="170">
                  <c:v>3.601</c:v>
                </c:pt>
                <c:pt idx="171">
                  <c:v>2.5979999999999999</c:v>
                </c:pt>
                <c:pt idx="172">
                  <c:v>2.573</c:v>
                </c:pt>
                <c:pt idx="173">
                  <c:v>2.6539999999999999</c:v>
                </c:pt>
                <c:pt idx="174">
                  <c:v>2.7040000000000002</c:v>
                </c:pt>
                <c:pt idx="175">
                  <c:v>2.74</c:v>
                </c:pt>
                <c:pt idx="176">
                  <c:v>2.7730000000000001</c:v>
                </c:pt>
                <c:pt idx="177">
                  <c:v>2.8359999999999999</c:v>
                </c:pt>
                <c:pt idx="178">
                  <c:v>2.7010000000000001</c:v>
                </c:pt>
                <c:pt idx="179">
                  <c:v>2.6680000000000001</c:v>
                </c:pt>
                <c:pt idx="180">
                  <c:v>2.6680000000000001</c:v>
                </c:pt>
                <c:pt idx="181">
                  <c:v>2.637</c:v>
                </c:pt>
                <c:pt idx="182">
                  <c:v>2.64</c:v>
                </c:pt>
                <c:pt idx="183">
                  <c:v>2.5840000000000001</c:v>
                </c:pt>
                <c:pt idx="184">
                  <c:v>2.5739999999999998</c:v>
                </c:pt>
                <c:pt idx="185">
                  <c:v>2.6190000000000002</c:v>
                </c:pt>
                <c:pt idx="186">
                  <c:v>2.645</c:v>
                </c:pt>
                <c:pt idx="187">
                  <c:v>2.6989999999999998</c:v>
                </c:pt>
                <c:pt idx="188">
                  <c:v>2.7410000000000001</c:v>
                </c:pt>
                <c:pt idx="189">
                  <c:v>2.7269999999999999</c:v>
                </c:pt>
                <c:pt idx="190">
                  <c:v>2.86</c:v>
                </c:pt>
                <c:pt idx="191">
                  <c:v>2.98</c:v>
                </c:pt>
                <c:pt idx="192">
                  <c:v>2.996</c:v>
                </c:pt>
                <c:pt idx="193">
                  <c:v>3.0329999999999999</c:v>
                </c:pt>
                <c:pt idx="194">
                  <c:v>3.3050000000000002</c:v>
                </c:pt>
                <c:pt idx="195">
                  <c:v>3.4609999999999999</c:v>
                </c:pt>
                <c:pt idx="196">
                  <c:v>3.5209999999999999</c:v>
                </c:pt>
                <c:pt idx="197">
                  <c:v>3.605</c:v>
                </c:pt>
                <c:pt idx="198">
                  <c:v>3.8660000000000001</c:v>
                </c:pt>
                <c:pt idx="199">
                  <c:v>3.6829999999999998</c:v>
                </c:pt>
                <c:pt idx="200">
                  <c:v>3.64</c:v>
                </c:pt>
                <c:pt idx="201">
                  <c:v>3.504</c:v>
                </c:pt>
                <c:pt idx="202">
                  <c:v>3.4689999999999999</c:v>
                </c:pt>
                <c:pt idx="203">
                  <c:v>3.6619999999999999</c:v>
                </c:pt>
                <c:pt idx="204">
                  <c:v>3.617</c:v>
                </c:pt>
                <c:pt idx="205">
                  <c:v>3.5329999999999999</c:v>
                </c:pt>
                <c:pt idx="206">
                  <c:v>3.5539999999999998</c:v>
                </c:pt>
                <c:pt idx="207">
                  <c:v>3.2989999999999999</c:v>
                </c:pt>
                <c:pt idx="208">
                  <c:v>3.3220000000000001</c:v>
                </c:pt>
                <c:pt idx="209">
                  <c:v>3.286</c:v>
                </c:pt>
                <c:pt idx="210">
                  <c:v>3.1760000000000002</c:v>
                </c:pt>
                <c:pt idx="211">
                  <c:v>3.153</c:v>
                </c:pt>
                <c:pt idx="212">
                  <c:v>3.1579999999999999</c:v>
                </c:pt>
                <c:pt idx="213">
                  <c:v>3.3540000000000001</c:v>
                </c:pt>
                <c:pt idx="214">
                  <c:v>3.411</c:v>
                </c:pt>
                <c:pt idx="215">
                  <c:v>3.6190000000000002</c:v>
                </c:pt>
                <c:pt idx="216">
                  <c:v>3.6669999999999998</c:v>
                </c:pt>
                <c:pt idx="217">
                  <c:v>3.8639999999999999</c:v>
                </c:pt>
                <c:pt idx="218">
                  <c:v>3.7469999999999999</c:v>
                </c:pt>
                <c:pt idx="219">
                  <c:v>3.6850000000000001</c:v>
                </c:pt>
                <c:pt idx="220">
                  <c:v>3.4830000000000001</c:v>
                </c:pt>
                <c:pt idx="221">
                  <c:v>3.4329999999999998</c:v>
                </c:pt>
                <c:pt idx="222">
                  <c:v>3.1869999999999998</c:v>
                </c:pt>
                <c:pt idx="223">
                  <c:v>3.3740000000000001</c:v>
                </c:pt>
                <c:pt idx="224">
                  <c:v>3.476</c:v>
                </c:pt>
                <c:pt idx="225">
                  <c:v>3.7090000000000001</c:v>
                </c:pt>
                <c:pt idx="226">
                  <c:v>3.62</c:v>
                </c:pt>
                <c:pt idx="227">
                  <c:v>3.6030000000000002</c:v>
                </c:pt>
                <c:pt idx="228">
                  <c:v>2.5720000000000001</c:v>
                </c:pt>
                <c:pt idx="229">
                  <c:v>2.548</c:v>
                </c:pt>
                <c:pt idx="230">
                  <c:v>2.625</c:v>
                </c:pt>
                <c:pt idx="231">
                  <c:v>2.6669999999999998</c:v>
                </c:pt>
                <c:pt idx="232">
                  <c:v>2.7189999999999999</c:v>
                </c:pt>
                <c:pt idx="233">
                  <c:v>2.77</c:v>
                </c:pt>
                <c:pt idx="234">
                  <c:v>2.835</c:v>
                </c:pt>
                <c:pt idx="235">
                  <c:v>2.7050000000000001</c:v>
                </c:pt>
                <c:pt idx="236">
                  <c:v>2.6680000000000001</c:v>
                </c:pt>
                <c:pt idx="237">
                  <c:v>2.669</c:v>
                </c:pt>
                <c:pt idx="238">
                  <c:v>2.6419999999999999</c:v>
                </c:pt>
                <c:pt idx="239">
                  <c:v>2.6269999999999998</c:v>
                </c:pt>
                <c:pt idx="240">
                  <c:v>2.577</c:v>
                </c:pt>
                <c:pt idx="241">
                  <c:v>2.5649999999999999</c:v>
                </c:pt>
                <c:pt idx="242">
                  <c:v>2.6030000000000002</c:v>
                </c:pt>
                <c:pt idx="243">
                  <c:v>2.633</c:v>
                </c:pt>
                <c:pt idx="244">
                  <c:v>2.6890000000000001</c:v>
                </c:pt>
                <c:pt idx="245">
                  <c:v>2.7280000000000002</c:v>
                </c:pt>
                <c:pt idx="246">
                  <c:v>2.7080000000000002</c:v>
                </c:pt>
                <c:pt idx="247">
                  <c:v>2.843</c:v>
                </c:pt>
                <c:pt idx="248">
                  <c:v>2.976</c:v>
                </c:pt>
                <c:pt idx="249">
                  <c:v>2.9889999999999999</c:v>
                </c:pt>
                <c:pt idx="250">
                  <c:v>3.0219999999999998</c:v>
                </c:pt>
                <c:pt idx="251">
                  <c:v>3.2879999999999998</c:v>
                </c:pt>
                <c:pt idx="252">
                  <c:v>3.4590000000000001</c:v>
                </c:pt>
                <c:pt idx="253">
                  <c:v>3.524</c:v>
                </c:pt>
                <c:pt idx="254">
                  <c:v>3.6219999999999999</c:v>
                </c:pt>
                <c:pt idx="255">
                  <c:v>3.9060000000000001</c:v>
                </c:pt>
                <c:pt idx="256">
                  <c:v>3.6989999999999998</c:v>
                </c:pt>
                <c:pt idx="257">
                  <c:v>3.6480000000000001</c:v>
                </c:pt>
                <c:pt idx="258">
                  <c:v>3.524</c:v>
                </c:pt>
                <c:pt idx="259">
                  <c:v>3.48</c:v>
                </c:pt>
                <c:pt idx="260">
                  <c:v>3.6840000000000002</c:v>
                </c:pt>
                <c:pt idx="261">
                  <c:v>3.6379999999999999</c:v>
                </c:pt>
                <c:pt idx="262">
                  <c:v>3.5329999999999999</c:v>
                </c:pt>
                <c:pt idx="263">
                  <c:v>3.5459999999999998</c:v>
                </c:pt>
                <c:pt idx="264">
                  <c:v>3.2850000000000001</c:v>
                </c:pt>
                <c:pt idx="265">
                  <c:v>3.3319999999999999</c:v>
                </c:pt>
                <c:pt idx="266">
                  <c:v>3.2970000000000002</c:v>
                </c:pt>
                <c:pt idx="267">
                  <c:v>3.1720000000000002</c:v>
                </c:pt>
                <c:pt idx="268">
                  <c:v>3.1579999999999999</c:v>
                </c:pt>
                <c:pt idx="269">
                  <c:v>3.157</c:v>
                </c:pt>
                <c:pt idx="270">
                  <c:v>3.36</c:v>
                </c:pt>
                <c:pt idx="271">
                  <c:v>3.4089999999999998</c:v>
                </c:pt>
                <c:pt idx="272">
                  <c:v>3.63</c:v>
                </c:pt>
                <c:pt idx="273">
                  <c:v>3.669</c:v>
                </c:pt>
                <c:pt idx="274">
                  <c:v>3.891</c:v>
                </c:pt>
                <c:pt idx="275">
                  <c:v>3.7490000000000001</c:v>
                </c:pt>
                <c:pt idx="276">
                  <c:v>3.6880000000000002</c:v>
                </c:pt>
                <c:pt idx="277">
                  <c:v>3.5009999999999999</c:v>
                </c:pt>
                <c:pt idx="278">
                  <c:v>3.452</c:v>
                </c:pt>
                <c:pt idx="279">
                  <c:v>3.2269999999999999</c:v>
                </c:pt>
                <c:pt idx="280">
                  <c:v>3.4169999999999998</c:v>
                </c:pt>
                <c:pt idx="281">
                  <c:v>3.4940000000000002</c:v>
                </c:pt>
                <c:pt idx="282">
                  <c:v>3.73</c:v>
                </c:pt>
                <c:pt idx="283">
                  <c:v>3.617</c:v>
                </c:pt>
                <c:pt idx="284">
                  <c:v>3.601</c:v>
                </c:pt>
                <c:pt idx="285">
                  <c:v>2.5720000000000001</c:v>
                </c:pt>
                <c:pt idx="286">
                  <c:v>2.548</c:v>
                </c:pt>
                <c:pt idx="287">
                  <c:v>2.625</c:v>
                </c:pt>
                <c:pt idx="288">
                  <c:v>2.6669999999999998</c:v>
                </c:pt>
                <c:pt idx="289">
                  <c:v>2.7189999999999999</c:v>
                </c:pt>
                <c:pt idx="290">
                  <c:v>2.77</c:v>
                </c:pt>
                <c:pt idx="291">
                  <c:v>2.835</c:v>
                </c:pt>
                <c:pt idx="292">
                  <c:v>2.7050000000000001</c:v>
                </c:pt>
                <c:pt idx="293">
                  <c:v>2.6680000000000001</c:v>
                </c:pt>
                <c:pt idx="294">
                  <c:v>2.669</c:v>
                </c:pt>
                <c:pt idx="295">
                  <c:v>2.6419999999999999</c:v>
                </c:pt>
                <c:pt idx="296">
                  <c:v>2.6269999999999998</c:v>
                </c:pt>
                <c:pt idx="297">
                  <c:v>2.577</c:v>
                </c:pt>
                <c:pt idx="298">
                  <c:v>2.5649999999999999</c:v>
                </c:pt>
                <c:pt idx="299">
                  <c:v>2.6030000000000002</c:v>
                </c:pt>
                <c:pt idx="300">
                  <c:v>2.633</c:v>
                </c:pt>
                <c:pt idx="301">
                  <c:v>2.6890000000000001</c:v>
                </c:pt>
                <c:pt idx="302">
                  <c:v>2.7280000000000002</c:v>
                </c:pt>
                <c:pt idx="303">
                  <c:v>2.7080000000000002</c:v>
                </c:pt>
                <c:pt idx="304">
                  <c:v>2.843</c:v>
                </c:pt>
                <c:pt idx="305">
                  <c:v>2.976</c:v>
                </c:pt>
                <c:pt idx="306">
                  <c:v>2.9889999999999999</c:v>
                </c:pt>
                <c:pt idx="307">
                  <c:v>3.0219999999999998</c:v>
                </c:pt>
                <c:pt idx="308">
                  <c:v>3.2879999999999998</c:v>
                </c:pt>
                <c:pt idx="309">
                  <c:v>3.4590000000000001</c:v>
                </c:pt>
                <c:pt idx="310">
                  <c:v>3.524</c:v>
                </c:pt>
                <c:pt idx="311">
                  <c:v>3.6219999999999999</c:v>
                </c:pt>
                <c:pt idx="312">
                  <c:v>3.9060000000000001</c:v>
                </c:pt>
                <c:pt idx="313">
                  <c:v>3.6989999999999998</c:v>
                </c:pt>
                <c:pt idx="314">
                  <c:v>3.6480000000000001</c:v>
                </c:pt>
                <c:pt idx="315">
                  <c:v>3.524</c:v>
                </c:pt>
                <c:pt idx="316">
                  <c:v>3.48</c:v>
                </c:pt>
                <c:pt idx="317">
                  <c:v>3.6840000000000002</c:v>
                </c:pt>
                <c:pt idx="318">
                  <c:v>3.6379999999999999</c:v>
                </c:pt>
                <c:pt idx="319">
                  <c:v>3.5329999999999999</c:v>
                </c:pt>
                <c:pt idx="320">
                  <c:v>3.5459999999999998</c:v>
                </c:pt>
                <c:pt idx="321">
                  <c:v>3.2850000000000001</c:v>
                </c:pt>
                <c:pt idx="322">
                  <c:v>3.3319999999999999</c:v>
                </c:pt>
                <c:pt idx="323">
                  <c:v>3.2970000000000002</c:v>
                </c:pt>
                <c:pt idx="324">
                  <c:v>3.1720000000000002</c:v>
                </c:pt>
                <c:pt idx="325">
                  <c:v>3.1579999999999999</c:v>
                </c:pt>
                <c:pt idx="326">
                  <c:v>3.157</c:v>
                </c:pt>
                <c:pt idx="327">
                  <c:v>3.36</c:v>
                </c:pt>
                <c:pt idx="328">
                  <c:v>3.4089999999999998</c:v>
                </c:pt>
                <c:pt idx="329">
                  <c:v>3.63</c:v>
                </c:pt>
                <c:pt idx="330">
                  <c:v>3.669</c:v>
                </c:pt>
                <c:pt idx="331">
                  <c:v>3.891</c:v>
                </c:pt>
                <c:pt idx="332">
                  <c:v>3.7490000000000001</c:v>
                </c:pt>
                <c:pt idx="333">
                  <c:v>3.6880000000000002</c:v>
                </c:pt>
                <c:pt idx="334">
                  <c:v>3.5009999999999999</c:v>
                </c:pt>
                <c:pt idx="335">
                  <c:v>3.452</c:v>
                </c:pt>
                <c:pt idx="336">
                  <c:v>3.2269999999999999</c:v>
                </c:pt>
                <c:pt idx="337">
                  <c:v>3.4169999999999998</c:v>
                </c:pt>
                <c:pt idx="338">
                  <c:v>3.4940000000000002</c:v>
                </c:pt>
                <c:pt idx="339">
                  <c:v>3.73</c:v>
                </c:pt>
                <c:pt idx="340">
                  <c:v>3.617</c:v>
                </c:pt>
                <c:pt idx="341">
                  <c:v>3.601</c:v>
                </c:pt>
                <c:pt idx="342">
                  <c:v>2.58</c:v>
                </c:pt>
                <c:pt idx="343">
                  <c:v>2.5720000000000001</c:v>
                </c:pt>
                <c:pt idx="344">
                  <c:v>2.62</c:v>
                </c:pt>
                <c:pt idx="345">
                  <c:v>2.6840000000000002</c:v>
                </c:pt>
                <c:pt idx="346">
                  <c:v>2.7250000000000001</c:v>
                </c:pt>
                <c:pt idx="347">
                  <c:v>2.75</c:v>
                </c:pt>
                <c:pt idx="348">
                  <c:v>2.7709999999999999</c:v>
                </c:pt>
                <c:pt idx="349">
                  <c:v>2.7</c:v>
                </c:pt>
                <c:pt idx="350">
                  <c:v>2.6840000000000002</c:v>
                </c:pt>
                <c:pt idx="351">
                  <c:v>2.7280000000000002</c:v>
                </c:pt>
                <c:pt idx="352">
                  <c:v>2.7109999999999999</c:v>
                </c:pt>
                <c:pt idx="353">
                  <c:v>2.69</c:v>
                </c:pt>
                <c:pt idx="354">
                  <c:v>2.7730000000000001</c:v>
                </c:pt>
                <c:pt idx="355">
                  <c:v>2.78</c:v>
                </c:pt>
                <c:pt idx="356">
                  <c:v>2.7589999999999999</c:v>
                </c:pt>
                <c:pt idx="357">
                  <c:v>2.7450000000000001</c:v>
                </c:pt>
                <c:pt idx="358">
                  <c:v>2.7290000000000001</c:v>
                </c:pt>
                <c:pt idx="359">
                  <c:v>2.7370000000000001</c:v>
                </c:pt>
                <c:pt idx="360">
                  <c:v>2.7120000000000002</c:v>
                </c:pt>
                <c:pt idx="361">
                  <c:v>2.7280000000000002</c:v>
                </c:pt>
                <c:pt idx="362">
                  <c:v>2.8820000000000001</c:v>
                </c:pt>
                <c:pt idx="363">
                  <c:v>3.0110000000000001</c:v>
                </c:pt>
                <c:pt idx="364">
                  <c:v>3.0369999999999999</c:v>
                </c:pt>
                <c:pt idx="365">
                  <c:v>3.2320000000000002</c:v>
                </c:pt>
                <c:pt idx="366">
                  <c:v>3.3719999999999999</c:v>
                </c:pt>
                <c:pt idx="367">
                  <c:v>3.4609999999999999</c:v>
                </c:pt>
                <c:pt idx="368">
                  <c:v>3.532</c:v>
                </c:pt>
                <c:pt idx="369">
                  <c:v>3.7349999999999999</c:v>
                </c:pt>
                <c:pt idx="370">
                  <c:v>3.7629999999999999</c:v>
                </c:pt>
                <c:pt idx="371">
                  <c:v>3.7349999999999999</c:v>
                </c:pt>
                <c:pt idx="372">
                  <c:v>3.597</c:v>
                </c:pt>
                <c:pt idx="373">
                  <c:v>3.54</c:v>
                </c:pt>
                <c:pt idx="374">
                  <c:v>3.5539999999999998</c:v>
                </c:pt>
                <c:pt idx="375">
                  <c:v>3.5419999999999998</c:v>
                </c:pt>
                <c:pt idx="376">
                  <c:v>3.5110000000000001</c:v>
                </c:pt>
                <c:pt idx="377">
                  <c:v>3.5659999999999998</c:v>
                </c:pt>
                <c:pt idx="378">
                  <c:v>3.4980000000000002</c:v>
                </c:pt>
                <c:pt idx="379">
                  <c:v>3.5270000000000001</c:v>
                </c:pt>
                <c:pt idx="380">
                  <c:v>3.5049999999999999</c:v>
                </c:pt>
                <c:pt idx="381">
                  <c:v>3.3780000000000001</c:v>
                </c:pt>
                <c:pt idx="382">
                  <c:v>3.331</c:v>
                </c:pt>
                <c:pt idx="383">
                  <c:v>3.0950000000000002</c:v>
                </c:pt>
                <c:pt idx="384">
                  <c:v>3.0310000000000001</c:v>
                </c:pt>
                <c:pt idx="385">
                  <c:v>3.1030000000000002</c:v>
                </c:pt>
                <c:pt idx="386">
                  <c:v>3.1909999999999998</c:v>
                </c:pt>
                <c:pt idx="387">
                  <c:v>3.286</c:v>
                </c:pt>
                <c:pt idx="388">
                  <c:v>3.8540000000000001</c:v>
                </c:pt>
                <c:pt idx="389">
                  <c:v>3.903</c:v>
                </c:pt>
                <c:pt idx="390">
                  <c:v>3.87</c:v>
                </c:pt>
                <c:pt idx="391">
                  <c:v>3.7639999999999998</c:v>
                </c:pt>
                <c:pt idx="392">
                  <c:v>3.7410000000000001</c:v>
                </c:pt>
                <c:pt idx="393">
                  <c:v>3.6459999999999999</c:v>
                </c:pt>
                <c:pt idx="394">
                  <c:v>3.528</c:v>
                </c:pt>
                <c:pt idx="395">
                  <c:v>3.5089999999999999</c:v>
                </c:pt>
                <c:pt idx="396">
                  <c:v>3.5960000000000001</c:v>
                </c:pt>
                <c:pt idx="397">
                  <c:v>3.7789999999999999</c:v>
                </c:pt>
                <c:pt idx="398">
                  <c:v>3.76</c:v>
                </c:pt>
                <c:pt idx="399">
                  <c:v>2.5720000000000001</c:v>
                </c:pt>
                <c:pt idx="400">
                  <c:v>2.548</c:v>
                </c:pt>
                <c:pt idx="401">
                  <c:v>2.625</c:v>
                </c:pt>
                <c:pt idx="402">
                  <c:v>2.6669999999999998</c:v>
                </c:pt>
                <c:pt idx="403">
                  <c:v>2.7189999999999999</c:v>
                </c:pt>
                <c:pt idx="404">
                  <c:v>2.77</c:v>
                </c:pt>
                <c:pt idx="405">
                  <c:v>2.835</c:v>
                </c:pt>
                <c:pt idx="406">
                  <c:v>2.7050000000000001</c:v>
                </c:pt>
                <c:pt idx="407">
                  <c:v>2.6680000000000001</c:v>
                </c:pt>
                <c:pt idx="408">
                  <c:v>2.669</c:v>
                </c:pt>
                <c:pt idx="409">
                  <c:v>2.6419999999999999</c:v>
                </c:pt>
                <c:pt idx="410">
                  <c:v>2.6269999999999998</c:v>
                </c:pt>
                <c:pt idx="411">
                  <c:v>2.577</c:v>
                </c:pt>
                <c:pt idx="412">
                  <c:v>2.5649999999999999</c:v>
                </c:pt>
                <c:pt idx="413">
                  <c:v>2.6030000000000002</c:v>
                </c:pt>
                <c:pt idx="414">
                  <c:v>2.633</c:v>
                </c:pt>
                <c:pt idx="415">
                  <c:v>2.6890000000000001</c:v>
                </c:pt>
                <c:pt idx="416">
                  <c:v>2.7280000000000002</c:v>
                </c:pt>
                <c:pt idx="417">
                  <c:v>2.7080000000000002</c:v>
                </c:pt>
                <c:pt idx="418">
                  <c:v>2.843</c:v>
                </c:pt>
                <c:pt idx="419">
                  <c:v>2.976</c:v>
                </c:pt>
                <c:pt idx="420">
                  <c:v>2.9889999999999999</c:v>
                </c:pt>
                <c:pt idx="421">
                  <c:v>3.0219999999999998</c:v>
                </c:pt>
                <c:pt idx="422">
                  <c:v>3.2879999999999998</c:v>
                </c:pt>
                <c:pt idx="423">
                  <c:v>3.4590000000000001</c:v>
                </c:pt>
                <c:pt idx="424">
                  <c:v>3.524</c:v>
                </c:pt>
                <c:pt idx="425">
                  <c:v>3.6219999999999999</c:v>
                </c:pt>
                <c:pt idx="426">
                  <c:v>3.9060000000000001</c:v>
                </c:pt>
                <c:pt idx="427">
                  <c:v>3.6989999999999998</c:v>
                </c:pt>
                <c:pt idx="428">
                  <c:v>3.6480000000000001</c:v>
                </c:pt>
                <c:pt idx="429">
                  <c:v>3.524</c:v>
                </c:pt>
                <c:pt idx="430">
                  <c:v>3.48</c:v>
                </c:pt>
                <c:pt idx="431">
                  <c:v>3.6840000000000002</c:v>
                </c:pt>
                <c:pt idx="432">
                  <c:v>3.6379999999999999</c:v>
                </c:pt>
                <c:pt idx="433">
                  <c:v>3.5329999999999999</c:v>
                </c:pt>
                <c:pt idx="434">
                  <c:v>3.5459999999999998</c:v>
                </c:pt>
                <c:pt idx="435">
                  <c:v>3.2850000000000001</c:v>
                </c:pt>
                <c:pt idx="436">
                  <c:v>3.3319999999999999</c:v>
                </c:pt>
                <c:pt idx="437">
                  <c:v>3.2970000000000002</c:v>
                </c:pt>
                <c:pt idx="438">
                  <c:v>3.1720000000000002</c:v>
                </c:pt>
                <c:pt idx="439">
                  <c:v>3.1579999999999999</c:v>
                </c:pt>
                <c:pt idx="440">
                  <c:v>3.157</c:v>
                </c:pt>
                <c:pt idx="441">
                  <c:v>3.36</c:v>
                </c:pt>
                <c:pt idx="442">
                  <c:v>3.4089999999999998</c:v>
                </c:pt>
                <c:pt idx="443">
                  <c:v>3.63</c:v>
                </c:pt>
                <c:pt idx="444">
                  <c:v>3.669</c:v>
                </c:pt>
                <c:pt idx="445">
                  <c:v>3.891</c:v>
                </c:pt>
                <c:pt idx="446">
                  <c:v>3.7490000000000001</c:v>
                </c:pt>
                <c:pt idx="447">
                  <c:v>3.6880000000000002</c:v>
                </c:pt>
                <c:pt idx="448">
                  <c:v>3.5009999999999999</c:v>
                </c:pt>
                <c:pt idx="449">
                  <c:v>3.452</c:v>
                </c:pt>
                <c:pt idx="450">
                  <c:v>3.2269999999999999</c:v>
                </c:pt>
                <c:pt idx="451">
                  <c:v>3.4169999999999998</c:v>
                </c:pt>
                <c:pt idx="452">
                  <c:v>3.4940000000000002</c:v>
                </c:pt>
                <c:pt idx="453">
                  <c:v>3.73</c:v>
                </c:pt>
                <c:pt idx="454">
                  <c:v>3.617</c:v>
                </c:pt>
                <c:pt idx="455">
                  <c:v>3.601</c:v>
                </c:pt>
                <c:pt idx="456">
                  <c:v>2.5720000000000001</c:v>
                </c:pt>
                <c:pt idx="457">
                  <c:v>2.548</c:v>
                </c:pt>
                <c:pt idx="458">
                  <c:v>2.625</c:v>
                </c:pt>
                <c:pt idx="459">
                  <c:v>2.6669999999999998</c:v>
                </c:pt>
                <c:pt idx="460">
                  <c:v>2.7189999999999999</c:v>
                </c:pt>
                <c:pt idx="461">
                  <c:v>2.77</c:v>
                </c:pt>
                <c:pt idx="462">
                  <c:v>2.835</c:v>
                </c:pt>
                <c:pt idx="463">
                  <c:v>2.7050000000000001</c:v>
                </c:pt>
                <c:pt idx="464">
                  <c:v>2.6680000000000001</c:v>
                </c:pt>
                <c:pt idx="465">
                  <c:v>2.669</c:v>
                </c:pt>
                <c:pt idx="466">
                  <c:v>2.6419999999999999</c:v>
                </c:pt>
                <c:pt idx="467">
                  <c:v>2.6269999999999998</c:v>
                </c:pt>
                <c:pt idx="468">
                  <c:v>2.577</c:v>
                </c:pt>
                <c:pt idx="469">
                  <c:v>2.5649999999999999</c:v>
                </c:pt>
                <c:pt idx="470">
                  <c:v>2.6030000000000002</c:v>
                </c:pt>
                <c:pt idx="471">
                  <c:v>2.633</c:v>
                </c:pt>
                <c:pt idx="472">
                  <c:v>2.6890000000000001</c:v>
                </c:pt>
                <c:pt idx="473">
                  <c:v>2.7280000000000002</c:v>
                </c:pt>
                <c:pt idx="474">
                  <c:v>2.7080000000000002</c:v>
                </c:pt>
                <c:pt idx="475">
                  <c:v>2.843</c:v>
                </c:pt>
                <c:pt idx="476">
                  <c:v>2.976</c:v>
                </c:pt>
                <c:pt idx="477">
                  <c:v>2.9889999999999999</c:v>
                </c:pt>
                <c:pt idx="478">
                  <c:v>3.0219999999999998</c:v>
                </c:pt>
                <c:pt idx="479">
                  <c:v>3.2879999999999998</c:v>
                </c:pt>
                <c:pt idx="480">
                  <c:v>3.4590000000000001</c:v>
                </c:pt>
                <c:pt idx="481">
                  <c:v>3.524</c:v>
                </c:pt>
                <c:pt idx="482">
                  <c:v>3.6219999999999999</c:v>
                </c:pt>
                <c:pt idx="483">
                  <c:v>3.9060000000000001</c:v>
                </c:pt>
                <c:pt idx="484">
                  <c:v>3.6989999999999998</c:v>
                </c:pt>
                <c:pt idx="485">
                  <c:v>3.6480000000000001</c:v>
                </c:pt>
                <c:pt idx="486">
                  <c:v>3.524</c:v>
                </c:pt>
                <c:pt idx="487">
                  <c:v>3.48</c:v>
                </c:pt>
                <c:pt idx="488">
                  <c:v>3.6840000000000002</c:v>
                </c:pt>
                <c:pt idx="489">
                  <c:v>3.6379999999999999</c:v>
                </c:pt>
                <c:pt idx="490">
                  <c:v>3.5329999999999999</c:v>
                </c:pt>
                <c:pt idx="491">
                  <c:v>3.5459999999999998</c:v>
                </c:pt>
                <c:pt idx="492">
                  <c:v>3.2850000000000001</c:v>
                </c:pt>
                <c:pt idx="493">
                  <c:v>3.3319999999999999</c:v>
                </c:pt>
                <c:pt idx="494">
                  <c:v>3.2970000000000002</c:v>
                </c:pt>
                <c:pt idx="495">
                  <c:v>3.1720000000000002</c:v>
                </c:pt>
                <c:pt idx="496">
                  <c:v>3.1579999999999999</c:v>
                </c:pt>
                <c:pt idx="497">
                  <c:v>3.157</c:v>
                </c:pt>
                <c:pt idx="498">
                  <c:v>3.36</c:v>
                </c:pt>
                <c:pt idx="499">
                  <c:v>3.4089999999999998</c:v>
                </c:pt>
                <c:pt idx="500">
                  <c:v>3.63</c:v>
                </c:pt>
                <c:pt idx="501">
                  <c:v>3.669</c:v>
                </c:pt>
                <c:pt idx="502">
                  <c:v>3.891</c:v>
                </c:pt>
                <c:pt idx="503">
                  <c:v>3.7490000000000001</c:v>
                </c:pt>
                <c:pt idx="504">
                  <c:v>3.6880000000000002</c:v>
                </c:pt>
                <c:pt idx="505">
                  <c:v>3.5009999999999999</c:v>
                </c:pt>
                <c:pt idx="506">
                  <c:v>3.452</c:v>
                </c:pt>
                <c:pt idx="507">
                  <c:v>3.2269999999999999</c:v>
                </c:pt>
                <c:pt idx="508">
                  <c:v>3.4169999999999998</c:v>
                </c:pt>
                <c:pt idx="509">
                  <c:v>3.4940000000000002</c:v>
                </c:pt>
                <c:pt idx="510">
                  <c:v>3.73</c:v>
                </c:pt>
                <c:pt idx="511">
                  <c:v>3.617</c:v>
                </c:pt>
                <c:pt idx="512">
                  <c:v>3.601</c:v>
                </c:pt>
                <c:pt idx="513">
                  <c:v>2.9620000000000002</c:v>
                </c:pt>
                <c:pt idx="514">
                  <c:v>2.8279999999999998</c:v>
                </c:pt>
                <c:pt idx="515">
                  <c:v>2.8769999999999998</c:v>
                </c:pt>
                <c:pt idx="516">
                  <c:v>3.0339999999999998</c:v>
                </c:pt>
                <c:pt idx="517">
                  <c:v>3.0859999999999999</c:v>
                </c:pt>
                <c:pt idx="518">
                  <c:v>3.004</c:v>
                </c:pt>
                <c:pt idx="519">
                  <c:v>3.1269999999999998</c:v>
                </c:pt>
                <c:pt idx="520">
                  <c:v>2.9409999999999998</c:v>
                </c:pt>
                <c:pt idx="521">
                  <c:v>3.0569999999999999</c:v>
                </c:pt>
                <c:pt idx="522">
                  <c:v>2.9780000000000002</c:v>
                </c:pt>
                <c:pt idx="523">
                  <c:v>3.1</c:v>
                </c:pt>
                <c:pt idx="524">
                  <c:v>3.1230000000000002</c:v>
                </c:pt>
                <c:pt idx="525">
                  <c:v>3.0870000000000002</c:v>
                </c:pt>
                <c:pt idx="526">
                  <c:v>2.9609999999999999</c:v>
                </c:pt>
                <c:pt idx="527">
                  <c:v>3.0009999999999999</c:v>
                </c:pt>
                <c:pt idx="528">
                  <c:v>2.9239999999999999</c:v>
                </c:pt>
                <c:pt idx="529">
                  <c:v>3.0089999999999999</c:v>
                </c:pt>
                <c:pt idx="530">
                  <c:v>3.13</c:v>
                </c:pt>
                <c:pt idx="531">
                  <c:v>3.0409999999999999</c:v>
                </c:pt>
                <c:pt idx="532">
                  <c:v>3.0910000000000002</c:v>
                </c:pt>
                <c:pt idx="533">
                  <c:v>3.2869999999999999</c:v>
                </c:pt>
                <c:pt idx="534">
                  <c:v>3.3479999999999999</c:v>
                </c:pt>
                <c:pt idx="535">
                  <c:v>3.3809999999999998</c:v>
                </c:pt>
                <c:pt idx="536">
                  <c:v>3.6739999999999999</c:v>
                </c:pt>
                <c:pt idx="537">
                  <c:v>3.63</c:v>
                </c:pt>
                <c:pt idx="538">
                  <c:v>3.7719999999999998</c:v>
                </c:pt>
                <c:pt idx="539">
                  <c:v>3.8180000000000001</c:v>
                </c:pt>
                <c:pt idx="540">
                  <c:v>4.1929999999999996</c:v>
                </c:pt>
                <c:pt idx="541">
                  <c:v>3.8929999999999998</c:v>
                </c:pt>
                <c:pt idx="542">
                  <c:v>3.9809999999999999</c:v>
                </c:pt>
                <c:pt idx="543">
                  <c:v>3.8420000000000001</c:v>
                </c:pt>
                <c:pt idx="544">
                  <c:v>3.7930000000000001</c:v>
                </c:pt>
                <c:pt idx="545">
                  <c:v>3.8029999999999999</c:v>
                </c:pt>
                <c:pt idx="546">
                  <c:v>3.794</c:v>
                </c:pt>
                <c:pt idx="547">
                  <c:v>3.798</c:v>
                </c:pt>
                <c:pt idx="548">
                  <c:v>3.7709999999999999</c:v>
                </c:pt>
                <c:pt idx="549">
                  <c:v>3.827</c:v>
                </c:pt>
                <c:pt idx="550">
                  <c:v>3.8279999999999998</c:v>
                </c:pt>
                <c:pt idx="551">
                  <c:v>3.677</c:v>
                </c:pt>
                <c:pt idx="552">
                  <c:v>3.7010000000000001</c:v>
                </c:pt>
                <c:pt idx="553">
                  <c:v>3.6440000000000001</c:v>
                </c:pt>
                <c:pt idx="554">
                  <c:v>3.4430000000000001</c:v>
                </c:pt>
                <c:pt idx="555">
                  <c:v>3.5430000000000001</c:v>
                </c:pt>
                <c:pt idx="556">
                  <c:v>3.722</c:v>
                </c:pt>
                <c:pt idx="557">
                  <c:v>3.8820000000000001</c:v>
                </c:pt>
                <c:pt idx="558">
                  <c:v>3.9630000000000001</c:v>
                </c:pt>
                <c:pt idx="559">
                  <c:v>4.282</c:v>
                </c:pt>
                <c:pt idx="560">
                  <c:v>4.0579999999999998</c:v>
                </c:pt>
                <c:pt idx="561">
                  <c:v>4.1859999999999999</c:v>
                </c:pt>
                <c:pt idx="562">
                  <c:v>4.2770000000000001</c:v>
                </c:pt>
                <c:pt idx="563">
                  <c:v>4.1029999999999998</c:v>
                </c:pt>
                <c:pt idx="564">
                  <c:v>3.6659999999999999</c:v>
                </c:pt>
                <c:pt idx="565">
                  <c:v>3.5950000000000002</c:v>
                </c:pt>
                <c:pt idx="566">
                  <c:v>3.8109999999999999</c:v>
                </c:pt>
                <c:pt idx="567">
                  <c:v>4.1239999999999997</c:v>
                </c:pt>
                <c:pt idx="568">
                  <c:v>4.1319999999999997</c:v>
                </c:pt>
                <c:pt idx="569">
                  <c:v>4.468</c:v>
                </c:pt>
                <c:pt idx="570">
                  <c:v>2.5720000000000001</c:v>
                </c:pt>
                <c:pt idx="571">
                  <c:v>2.548</c:v>
                </c:pt>
                <c:pt idx="572">
                  <c:v>2.625</c:v>
                </c:pt>
                <c:pt idx="573">
                  <c:v>2.6669999999999998</c:v>
                </c:pt>
                <c:pt idx="574">
                  <c:v>2.7189999999999999</c:v>
                </c:pt>
                <c:pt idx="575">
                  <c:v>2.77</c:v>
                </c:pt>
                <c:pt idx="576">
                  <c:v>2.835</c:v>
                </c:pt>
                <c:pt idx="577">
                  <c:v>2.7050000000000001</c:v>
                </c:pt>
                <c:pt idx="578">
                  <c:v>2.6680000000000001</c:v>
                </c:pt>
                <c:pt idx="579">
                  <c:v>2.669</c:v>
                </c:pt>
                <c:pt idx="580">
                  <c:v>2.6419999999999999</c:v>
                </c:pt>
                <c:pt idx="581">
                  <c:v>2.6269999999999998</c:v>
                </c:pt>
                <c:pt idx="582">
                  <c:v>2.577</c:v>
                </c:pt>
                <c:pt idx="583">
                  <c:v>2.5649999999999999</c:v>
                </c:pt>
                <c:pt idx="584">
                  <c:v>2.6030000000000002</c:v>
                </c:pt>
                <c:pt idx="585">
                  <c:v>2.633</c:v>
                </c:pt>
                <c:pt idx="586">
                  <c:v>2.6890000000000001</c:v>
                </c:pt>
                <c:pt idx="587">
                  <c:v>2.7280000000000002</c:v>
                </c:pt>
                <c:pt idx="588">
                  <c:v>2.7080000000000002</c:v>
                </c:pt>
                <c:pt idx="589">
                  <c:v>2.843</c:v>
                </c:pt>
                <c:pt idx="590">
                  <c:v>2.976</c:v>
                </c:pt>
                <c:pt idx="591">
                  <c:v>2.9889999999999999</c:v>
                </c:pt>
                <c:pt idx="592">
                  <c:v>3.0219999999999998</c:v>
                </c:pt>
                <c:pt idx="593">
                  <c:v>3.2879999999999998</c:v>
                </c:pt>
                <c:pt idx="594">
                  <c:v>3.4590000000000001</c:v>
                </c:pt>
                <c:pt idx="595">
                  <c:v>3.524</c:v>
                </c:pt>
                <c:pt idx="596">
                  <c:v>3.6219999999999999</c:v>
                </c:pt>
                <c:pt idx="597">
                  <c:v>3.9060000000000001</c:v>
                </c:pt>
                <c:pt idx="598">
                  <c:v>3.6989999999999998</c:v>
                </c:pt>
                <c:pt idx="599">
                  <c:v>3.6480000000000001</c:v>
                </c:pt>
                <c:pt idx="600">
                  <c:v>3.524</c:v>
                </c:pt>
                <c:pt idx="601">
                  <c:v>3.48</c:v>
                </c:pt>
                <c:pt idx="602">
                  <c:v>3.6840000000000002</c:v>
                </c:pt>
                <c:pt idx="603">
                  <c:v>3.6379999999999999</c:v>
                </c:pt>
                <c:pt idx="604">
                  <c:v>3.5329999999999999</c:v>
                </c:pt>
                <c:pt idx="605">
                  <c:v>3.5459999999999998</c:v>
                </c:pt>
                <c:pt idx="606">
                  <c:v>3.2850000000000001</c:v>
                </c:pt>
                <c:pt idx="607">
                  <c:v>3.3319999999999999</c:v>
                </c:pt>
                <c:pt idx="608">
                  <c:v>3.2970000000000002</c:v>
                </c:pt>
                <c:pt idx="609">
                  <c:v>3.1720000000000002</c:v>
                </c:pt>
                <c:pt idx="610">
                  <c:v>3.1579999999999999</c:v>
                </c:pt>
                <c:pt idx="611">
                  <c:v>3.157</c:v>
                </c:pt>
                <c:pt idx="612">
                  <c:v>3.36</c:v>
                </c:pt>
                <c:pt idx="613">
                  <c:v>3.4089999999999998</c:v>
                </c:pt>
                <c:pt idx="614">
                  <c:v>3.63</c:v>
                </c:pt>
                <c:pt idx="615">
                  <c:v>3.669</c:v>
                </c:pt>
                <c:pt idx="616">
                  <c:v>3.891</c:v>
                </c:pt>
                <c:pt idx="617">
                  <c:v>3.7490000000000001</c:v>
                </c:pt>
                <c:pt idx="618">
                  <c:v>3.6880000000000002</c:v>
                </c:pt>
                <c:pt idx="619">
                  <c:v>3.5009999999999999</c:v>
                </c:pt>
                <c:pt idx="620">
                  <c:v>3.452</c:v>
                </c:pt>
                <c:pt idx="621">
                  <c:v>3.2269999999999999</c:v>
                </c:pt>
                <c:pt idx="622">
                  <c:v>3.4169999999999998</c:v>
                </c:pt>
                <c:pt idx="623">
                  <c:v>3.4940000000000002</c:v>
                </c:pt>
                <c:pt idx="624">
                  <c:v>3.73</c:v>
                </c:pt>
                <c:pt idx="625">
                  <c:v>3.617</c:v>
                </c:pt>
                <c:pt idx="626">
                  <c:v>3.601</c:v>
                </c:pt>
                <c:pt idx="627">
                  <c:v>2.9620000000000002</c:v>
                </c:pt>
                <c:pt idx="628">
                  <c:v>2.9460000000000002</c:v>
                </c:pt>
                <c:pt idx="629">
                  <c:v>2.9870000000000001</c:v>
                </c:pt>
                <c:pt idx="630">
                  <c:v>2.9249999999999998</c:v>
                </c:pt>
                <c:pt idx="631">
                  <c:v>3.0859999999999999</c:v>
                </c:pt>
                <c:pt idx="632">
                  <c:v>3.09</c:v>
                </c:pt>
                <c:pt idx="633">
                  <c:v>3.1269999999999998</c:v>
                </c:pt>
                <c:pt idx="634">
                  <c:v>2.9409999999999998</c:v>
                </c:pt>
                <c:pt idx="635">
                  <c:v>2.9489999999999998</c:v>
                </c:pt>
                <c:pt idx="636">
                  <c:v>3.105</c:v>
                </c:pt>
                <c:pt idx="637">
                  <c:v>3.1</c:v>
                </c:pt>
                <c:pt idx="638">
                  <c:v>3.1230000000000002</c:v>
                </c:pt>
                <c:pt idx="639">
                  <c:v>3.0870000000000002</c:v>
                </c:pt>
                <c:pt idx="640">
                  <c:v>3.044</c:v>
                </c:pt>
                <c:pt idx="641">
                  <c:v>3.0009999999999999</c:v>
                </c:pt>
                <c:pt idx="642">
                  <c:v>3.0129999999999999</c:v>
                </c:pt>
                <c:pt idx="643">
                  <c:v>3.129</c:v>
                </c:pt>
                <c:pt idx="644">
                  <c:v>3.13</c:v>
                </c:pt>
                <c:pt idx="645">
                  <c:v>3.0409999999999999</c:v>
                </c:pt>
                <c:pt idx="646">
                  <c:v>3.2029999999999998</c:v>
                </c:pt>
                <c:pt idx="647">
                  <c:v>3.2869999999999999</c:v>
                </c:pt>
                <c:pt idx="648">
                  <c:v>3.3479999999999999</c:v>
                </c:pt>
                <c:pt idx="649">
                  <c:v>3.3809999999999998</c:v>
                </c:pt>
                <c:pt idx="650">
                  <c:v>3.6739999999999999</c:v>
                </c:pt>
                <c:pt idx="651">
                  <c:v>3.8180000000000001</c:v>
                </c:pt>
                <c:pt idx="652">
                  <c:v>3.7719999999999998</c:v>
                </c:pt>
                <c:pt idx="653">
                  <c:v>4.0030000000000001</c:v>
                </c:pt>
                <c:pt idx="654">
                  <c:v>4.1929999999999996</c:v>
                </c:pt>
                <c:pt idx="655">
                  <c:v>4.0309999999999997</c:v>
                </c:pt>
                <c:pt idx="656">
                  <c:v>3.9809999999999999</c:v>
                </c:pt>
                <c:pt idx="657">
                  <c:v>3.8420000000000001</c:v>
                </c:pt>
                <c:pt idx="658">
                  <c:v>3.7050000000000001</c:v>
                </c:pt>
                <c:pt idx="659">
                  <c:v>3.8029999999999999</c:v>
                </c:pt>
                <c:pt idx="660">
                  <c:v>3.7010000000000001</c:v>
                </c:pt>
                <c:pt idx="661">
                  <c:v>3.798</c:v>
                </c:pt>
                <c:pt idx="662">
                  <c:v>3.9129999999999998</c:v>
                </c:pt>
                <c:pt idx="663">
                  <c:v>3.827</c:v>
                </c:pt>
                <c:pt idx="664">
                  <c:v>3.8279999999999998</c:v>
                </c:pt>
                <c:pt idx="665">
                  <c:v>3.8239999999999998</c:v>
                </c:pt>
                <c:pt idx="666">
                  <c:v>3.7010000000000001</c:v>
                </c:pt>
                <c:pt idx="667">
                  <c:v>3.6440000000000001</c:v>
                </c:pt>
                <c:pt idx="668">
                  <c:v>3.5990000000000002</c:v>
                </c:pt>
                <c:pt idx="669">
                  <c:v>3.702</c:v>
                </c:pt>
                <c:pt idx="670">
                  <c:v>3.722</c:v>
                </c:pt>
                <c:pt idx="671">
                  <c:v>4.1779999999999999</c:v>
                </c:pt>
                <c:pt idx="672">
                  <c:v>4.25</c:v>
                </c:pt>
                <c:pt idx="673">
                  <c:v>4.1210000000000004</c:v>
                </c:pt>
                <c:pt idx="674">
                  <c:v>4.1710000000000003</c:v>
                </c:pt>
                <c:pt idx="675">
                  <c:v>4.1859999999999999</c:v>
                </c:pt>
                <c:pt idx="676">
                  <c:v>4.2770000000000001</c:v>
                </c:pt>
                <c:pt idx="677">
                  <c:v>4.1029999999999998</c:v>
                </c:pt>
                <c:pt idx="678">
                  <c:v>3.7650000000000001</c:v>
                </c:pt>
                <c:pt idx="679">
                  <c:v>3.76</c:v>
                </c:pt>
                <c:pt idx="680">
                  <c:v>3.8109999999999999</c:v>
                </c:pt>
                <c:pt idx="681">
                  <c:v>4.1239999999999997</c:v>
                </c:pt>
                <c:pt idx="682">
                  <c:v>3.9660000000000002</c:v>
                </c:pt>
                <c:pt idx="683">
                  <c:v>4.468</c:v>
                </c:pt>
                <c:pt idx="684">
                  <c:v>2.6659999999999999</c:v>
                </c:pt>
                <c:pt idx="685">
                  <c:v>2.6709999999999998</c:v>
                </c:pt>
                <c:pt idx="686">
                  <c:v>2.681</c:v>
                </c:pt>
                <c:pt idx="687">
                  <c:v>2.7330000000000001</c:v>
                </c:pt>
                <c:pt idx="688">
                  <c:v>2.8420000000000001</c:v>
                </c:pt>
                <c:pt idx="689">
                  <c:v>2.8769999999999998</c:v>
                </c:pt>
                <c:pt idx="690">
                  <c:v>2.948</c:v>
                </c:pt>
                <c:pt idx="691">
                  <c:v>2.871</c:v>
                </c:pt>
                <c:pt idx="692">
                  <c:v>2.8410000000000002</c:v>
                </c:pt>
                <c:pt idx="693">
                  <c:v>2.8140000000000001</c:v>
                </c:pt>
                <c:pt idx="694">
                  <c:v>2.802</c:v>
                </c:pt>
                <c:pt idx="695">
                  <c:v>2.802</c:v>
                </c:pt>
                <c:pt idx="696">
                  <c:v>2.8679999999999999</c:v>
                </c:pt>
                <c:pt idx="697">
                  <c:v>2.87</c:v>
                </c:pt>
                <c:pt idx="698">
                  <c:v>2.8530000000000002</c:v>
                </c:pt>
                <c:pt idx="699">
                  <c:v>2.8410000000000002</c:v>
                </c:pt>
                <c:pt idx="700">
                  <c:v>2.831</c:v>
                </c:pt>
                <c:pt idx="701">
                  <c:v>2.831</c:v>
                </c:pt>
                <c:pt idx="702">
                  <c:v>2.8119999999999998</c:v>
                </c:pt>
                <c:pt idx="703">
                  <c:v>2.8170000000000002</c:v>
                </c:pt>
                <c:pt idx="704">
                  <c:v>2.891</c:v>
                </c:pt>
                <c:pt idx="705">
                  <c:v>2.9740000000000002</c:v>
                </c:pt>
                <c:pt idx="706">
                  <c:v>3.0339999999999998</c:v>
                </c:pt>
                <c:pt idx="707">
                  <c:v>3.23</c:v>
                </c:pt>
                <c:pt idx="708">
                  <c:v>3.3460000000000001</c:v>
                </c:pt>
                <c:pt idx="709">
                  <c:v>3.4870000000000001</c:v>
                </c:pt>
                <c:pt idx="710">
                  <c:v>3.5470000000000002</c:v>
                </c:pt>
                <c:pt idx="711">
                  <c:v>3.7440000000000002</c:v>
                </c:pt>
                <c:pt idx="712">
                  <c:v>3.7519999999999998</c:v>
                </c:pt>
                <c:pt idx="713">
                  <c:v>3.7320000000000002</c:v>
                </c:pt>
                <c:pt idx="714">
                  <c:v>3.613</c:v>
                </c:pt>
                <c:pt idx="715">
                  <c:v>3.5630000000000002</c:v>
                </c:pt>
                <c:pt idx="716">
                  <c:v>3.5950000000000002</c:v>
                </c:pt>
                <c:pt idx="717">
                  <c:v>3.6059999999999999</c:v>
                </c:pt>
                <c:pt idx="718">
                  <c:v>3.58</c:v>
                </c:pt>
                <c:pt idx="719">
                  <c:v>3.6190000000000002</c:v>
                </c:pt>
                <c:pt idx="720">
                  <c:v>3.5920000000000001</c:v>
                </c:pt>
                <c:pt idx="721">
                  <c:v>3.5379999999999998</c:v>
                </c:pt>
                <c:pt idx="722">
                  <c:v>3.5129999999999999</c:v>
                </c:pt>
                <c:pt idx="723">
                  <c:v>3.3889999999999998</c:v>
                </c:pt>
                <c:pt idx="724">
                  <c:v>3.3410000000000002</c:v>
                </c:pt>
                <c:pt idx="725">
                  <c:v>3.08</c:v>
                </c:pt>
                <c:pt idx="726">
                  <c:v>3.077</c:v>
                </c:pt>
                <c:pt idx="727">
                  <c:v>3.1160000000000001</c:v>
                </c:pt>
                <c:pt idx="728">
                  <c:v>3.242</c:v>
                </c:pt>
                <c:pt idx="729">
                  <c:v>3.38</c:v>
                </c:pt>
                <c:pt idx="730">
                  <c:v>3.7930000000000001</c:v>
                </c:pt>
                <c:pt idx="731">
                  <c:v>3.831</c:v>
                </c:pt>
                <c:pt idx="732">
                  <c:v>3.8090000000000002</c:v>
                </c:pt>
                <c:pt idx="733">
                  <c:v>3.7879999999999998</c:v>
                </c:pt>
                <c:pt idx="734">
                  <c:v>3.7759999999999998</c:v>
                </c:pt>
                <c:pt idx="735">
                  <c:v>3.63</c:v>
                </c:pt>
                <c:pt idx="736">
                  <c:v>3.512</c:v>
                </c:pt>
                <c:pt idx="737">
                  <c:v>3.5089999999999999</c:v>
                </c:pt>
                <c:pt idx="738">
                  <c:v>3.6890000000000001</c:v>
                </c:pt>
                <c:pt idx="739">
                  <c:v>3.8149999999999999</c:v>
                </c:pt>
                <c:pt idx="740">
                  <c:v>3.7970000000000002</c:v>
                </c:pt>
                <c:pt idx="741">
                  <c:v>2.7839999999999998</c:v>
                </c:pt>
                <c:pt idx="742">
                  <c:v>2.7730000000000001</c:v>
                </c:pt>
                <c:pt idx="743">
                  <c:v>2.7770000000000001</c:v>
                </c:pt>
                <c:pt idx="744">
                  <c:v>2.8180000000000001</c:v>
                </c:pt>
                <c:pt idx="745">
                  <c:v>2.85</c:v>
                </c:pt>
                <c:pt idx="746">
                  <c:v>2.8690000000000002</c:v>
                </c:pt>
                <c:pt idx="747">
                  <c:v>2.9660000000000002</c:v>
                </c:pt>
                <c:pt idx="748">
                  <c:v>2.847</c:v>
                </c:pt>
                <c:pt idx="749">
                  <c:v>2.8090000000000002</c:v>
                </c:pt>
                <c:pt idx="750">
                  <c:v>2.8149999999999999</c:v>
                </c:pt>
                <c:pt idx="751">
                  <c:v>2.7930000000000001</c:v>
                </c:pt>
                <c:pt idx="752">
                  <c:v>2.7839999999999998</c:v>
                </c:pt>
                <c:pt idx="753">
                  <c:v>2.7149999999999999</c:v>
                </c:pt>
                <c:pt idx="754">
                  <c:v>2.6989999999999998</c:v>
                </c:pt>
                <c:pt idx="755">
                  <c:v>2.7069999999999999</c:v>
                </c:pt>
                <c:pt idx="756">
                  <c:v>2.7639999999999998</c:v>
                </c:pt>
                <c:pt idx="757">
                  <c:v>2.9169999999999998</c:v>
                </c:pt>
                <c:pt idx="758">
                  <c:v>2.931</c:v>
                </c:pt>
                <c:pt idx="759">
                  <c:v>3.0459999999999998</c:v>
                </c:pt>
                <c:pt idx="760">
                  <c:v>3.109</c:v>
                </c:pt>
                <c:pt idx="761">
                  <c:v>3.1930000000000001</c:v>
                </c:pt>
                <c:pt idx="762">
                  <c:v>3.2309999999999999</c:v>
                </c:pt>
                <c:pt idx="763">
                  <c:v>3.2389999999999999</c:v>
                </c:pt>
                <c:pt idx="764">
                  <c:v>3.4329999999999998</c:v>
                </c:pt>
                <c:pt idx="765">
                  <c:v>3.5819999999999999</c:v>
                </c:pt>
                <c:pt idx="766">
                  <c:v>3.6379999999999999</c:v>
                </c:pt>
                <c:pt idx="767">
                  <c:v>3.72</c:v>
                </c:pt>
                <c:pt idx="768">
                  <c:v>4.0460000000000003</c:v>
                </c:pt>
                <c:pt idx="769">
                  <c:v>3.9220000000000002</c:v>
                </c:pt>
                <c:pt idx="770">
                  <c:v>3.8809999999999998</c:v>
                </c:pt>
                <c:pt idx="771">
                  <c:v>3.7480000000000002</c:v>
                </c:pt>
                <c:pt idx="772">
                  <c:v>3.7109999999999999</c:v>
                </c:pt>
                <c:pt idx="773">
                  <c:v>3.8420000000000001</c:v>
                </c:pt>
                <c:pt idx="774">
                  <c:v>3.8119999999999998</c:v>
                </c:pt>
                <c:pt idx="775">
                  <c:v>3.7029999999999998</c:v>
                </c:pt>
                <c:pt idx="776">
                  <c:v>3.738</c:v>
                </c:pt>
                <c:pt idx="777">
                  <c:v>3.5830000000000002</c:v>
                </c:pt>
                <c:pt idx="778">
                  <c:v>3.5510000000000002</c:v>
                </c:pt>
                <c:pt idx="779">
                  <c:v>3.53</c:v>
                </c:pt>
                <c:pt idx="780">
                  <c:v>3.452</c:v>
                </c:pt>
                <c:pt idx="781">
                  <c:v>3.415</c:v>
                </c:pt>
                <c:pt idx="782">
                  <c:v>3.4220000000000002</c:v>
                </c:pt>
                <c:pt idx="783">
                  <c:v>3.617</c:v>
                </c:pt>
                <c:pt idx="784">
                  <c:v>3.64</c:v>
                </c:pt>
                <c:pt idx="785">
                  <c:v>3.8159999999999998</c:v>
                </c:pt>
                <c:pt idx="786">
                  <c:v>3.8479999999999999</c:v>
                </c:pt>
                <c:pt idx="787">
                  <c:v>3.996</c:v>
                </c:pt>
                <c:pt idx="788">
                  <c:v>3.9510000000000001</c:v>
                </c:pt>
                <c:pt idx="789">
                  <c:v>3.8889999999999998</c:v>
                </c:pt>
                <c:pt idx="790">
                  <c:v>3.742</c:v>
                </c:pt>
                <c:pt idx="791">
                  <c:v>3.6890000000000001</c:v>
                </c:pt>
                <c:pt idx="792">
                  <c:v>3.4750000000000001</c:v>
                </c:pt>
                <c:pt idx="793">
                  <c:v>3.6539999999999999</c:v>
                </c:pt>
                <c:pt idx="794">
                  <c:v>3.722</c:v>
                </c:pt>
                <c:pt idx="795">
                  <c:v>3.911</c:v>
                </c:pt>
                <c:pt idx="796">
                  <c:v>3.9849999999999999</c:v>
                </c:pt>
                <c:pt idx="797">
                  <c:v>4</c:v>
                </c:pt>
                <c:pt idx="798">
                  <c:v>2.9540000000000002</c:v>
                </c:pt>
                <c:pt idx="799">
                  <c:v>2.94</c:v>
                </c:pt>
                <c:pt idx="800">
                  <c:v>2.919</c:v>
                </c:pt>
                <c:pt idx="801">
                  <c:v>2.9380000000000002</c:v>
                </c:pt>
                <c:pt idx="802">
                  <c:v>2.9569999999999999</c:v>
                </c:pt>
                <c:pt idx="803">
                  <c:v>2.992</c:v>
                </c:pt>
                <c:pt idx="804">
                  <c:v>3.0950000000000002</c:v>
                </c:pt>
                <c:pt idx="805">
                  <c:v>3.0059999999999998</c:v>
                </c:pt>
                <c:pt idx="806">
                  <c:v>2.972</c:v>
                </c:pt>
                <c:pt idx="807">
                  <c:v>2.9580000000000002</c:v>
                </c:pt>
                <c:pt idx="808">
                  <c:v>2.94</c:v>
                </c:pt>
                <c:pt idx="809">
                  <c:v>2.9420000000000002</c:v>
                </c:pt>
                <c:pt idx="810">
                  <c:v>2.86</c:v>
                </c:pt>
                <c:pt idx="811">
                  <c:v>2.8370000000000002</c:v>
                </c:pt>
                <c:pt idx="812">
                  <c:v>2.84</c:v>
                </c:pt>
                <c:pt idx="813">
                  <c:v>2.903</c:v>
                </c:pt>
                <c:pt idx="814">
                  <c:v>3.0489999999999999</c:v>
                </c:pt>
                <c:pt idx="815">
                  <c:v>3.0649999999999999</c:v>
                </c:pt>
                <c:pt idx="816">
                  <c:v>3.2</c:v>
                </c:pt>
                <c:pt idx="817">
                  <c:v>3.2549999999999999</c:v>
                </c:pt>
                <c:pt idx="818">
                  <c:v>3.351</c:v>
                </c:pt>
                <c:pt idx="819">
                  <c:v>3.4</c:v>
                </c:pt>
                <c:pt idx="820">
                  <c:v>3.4159999999999999</c:v>
                </c:pt>
                <c:pt idx="821">
                  <c:v>3.605</c:v>
                </c:pt>
                <c:pt idx="822">
                  <c:v>3.7519999999999998</c:v>
                </c:pt>
                <c:pt idx="823">
                  <c:v>3.8109999999999999</c:v>
                </c:pt>
                <c:pt idx="824">
                  <c:v>3.895</c:v>
                </c:pt>
                <c:pt idx="825">
                  <c:v>4.1920000000000002</c:v>
                </c:pt>
                <c:pt idx="826">
                  <c:v>4.069</c:v>
                </c:pt>
                <c:pt idx="827">
                  <c:v>4.0250000000000004</c:v>
                </c:pt>
                <c:pt idx="828">
                  <c:v>3.9159999999999999</c:v>
                </c:pt>
                <c:pt idx="829">
                  <c:v>3.8860000000000001</c:v>
                </c:pt>
                <c:pt idx="830">
                  <c:v>4.0199999999999996</c:v>
                </c:pt>
                <c:pt idx="831">
                  <c:v>3.9950000000000001</c:v>
                </c:pt>
                <c:pt idx="832">
                  <c:v>3.879</c:v>
                </c:pt>
                <c:pt idx="833">
                  <c:v>3.93</c:v>
                </c:pt>
                <c:pt idx="834">
                  <c:v>3.7749999999999999</c:v>
                </c:pt>
                <c:pt idx="835">
                  <c:v>3.738</c:v>
                </c:pt>
                <c:pt idx="836">
                  <c:v>3.7189999999999999</c:v>
                </c:pt>
                <c:pt idx="837">
                  <c:v>3.6659999999999999</c:v>
                </c:pt>
                <c:pt idx="838">
                  <c:v>3.6269999999999998</c:v>
                </c:pt>
                <c:pt idx="839">
                  <c:v>3.585</c:v>
                </c:pt>
                <c:pt idx="840">
                  <c:v>3.7959999999999998</c:v>
                </c:pt>
                <c:pt idx="841">
                  <c:v>3.8260000000000001</c:v>
                </c:pt>
                <c:pt idx="842">
                  <c:v>3.9830000000000001</c:v>
                </c:pt>
                <c:pt idx="843">
                  <c:v>4.0209999999999999</c:v>
                </c:pt>
                <c:pt idx="844">
                  <c:v>4.1429999999999998</c:v>
                </c:pt>
                <c:pt idx="845">
                  <c:v>4.1239999999999997</c:v>
                </c:pt>
                <c:pt idx="846">
                  <c:v>4.0549999999999997</c:v>
                </c:pt>
                <c:pt idx="847">
                  <c:v>3.915</c:v>
                </c:pt>
                <c:pt idx="848">
                  <c:v>3.871</c:v>
                </c:pt>
                <c:pt idx="849">
                  <c:v>3.6459999999999999</c:v>
                </c:pt>
                <c:pt idx="850">
                  <c:v>3.819</c:v>
                </c:pt>
                <c:pt idx="851">
                  <c:v>3.863</c:v>
                </c:pt>
                <c:pt idx="852">
                  <c:v>4.0759999999999996</c:v>
                </c:pt>
                <c:pt idx="853">
                  <c:v>4.1509999999999998</c:v>
                </c:pt>
                <c:pt idx="854">
                  <c:v>4.1859999999999999</c:v>
                </c:pt>
                <c:pt idx="855">
                  <c:v>2.58</c:v>
                </c:pt>
                <c:pt idx="856">
                  <c:v>2.5720000000000001</c:v>
                </c:pt>
                <c:pt idx="857">
                  <c:v>2.62</c:v>
                </c:pt>
                <c:pt idx="858">
                  <c:v>2.6840000000000002</c:v>
                </c:pt>
                <c:pt idx="859">
                  <c:v>2.7250000000000001</c:v>
                </c:pt>
                <c:pt idx="860">
                  <c:v>2.75</c:v>
                </c:pt>
                <c:pt idx="861">
                  <c:v>2.7709999999999999</c:v>
                </c:pt>
                <c:pt idx="862">
                  <c:v>2.7</c:v>
                </c:pt>
                <c:pt idx="863">
                  <c:v>2.6840000000000002</c:v>
                </c:pt>
                <c:pt idx="864">
                  <c:v>2.7280000000000002</c:v>
                </c:pt>
                <c:pt idx="865">
                  <c:v>2.7109999999999999</c:v>
                </c:pt>
                <c:pt idx="866">
                  <c:v>2.69</c:v>
                </c:pt>
                <c:pt idx="867">
                  <c:v>2.7730000000000001</c:v>
                </c:pt>
                <c:pt idx="868">
                  <c:v>2.78</c:v>
                </c:pt>
                <c:pt idx="869">
                  <c:v>2.7589999999999999</c:v>
                </c:pt>
                <c:pt idx="870">
                  <c:v>2.7450000000000001</c:v>
                </c:pt>
                <c:pt idx="871">
                  <c:v>2.7290000000000001</c:v>
                </c:pt>
                <c:pt idx="872">
                  <c:v>2.7370000000000001</c:v>
                </c:pt>
                <c:pt idx="873">
                  <c:v>2.7120000000000002</c:v>
                </c:pt>
                <c:pt idx="874">
                  <c:v>2.7280000000000002</c:v>
                </c:pt>
                <c:pt idx="875">
                  <c:v>2.8820000000000001</c:v>
                </c:pt>
                <c:pt idx="876">
                  <c:v>3.0110000000000001</c:v>
                </c:pt>
                <c:pt idx="877">
                  <c:v>3.0369999999999999</c:v>
                </c:pt>
                <c:pt idx="878">
                  <c:v>3.2320000000000002</c:v>
                </c:pt>
                <c:pt idx="879">
                  <c:v>3.3719999999999999</c:v>
                </c:pt>
                <c:pt idx="880">
                  <c:v>3.4609999999999999</c:v>
                </c:pt>
                <c:pt idx="881">
                  <c:v>3.532</c:v>
                </c:pt>
                <c:pt idx="882">
                  <c:v>3.7349999999999999</c:v>
                </c:pt>
                <c:pt idx="883">
                  <c:v>3.7629999999999999</c:v>
                </c:pt>
                <c:pt idx="884">
                  <c:v>3.7349999999999999</c:v>
                </c:pt>
                <c:pt idx="885">
                  <c:v>3.597</c:v>
                </c:pt>
                <c:pt idx="886">
                  <c:v>3.54</c:v>
                </c:pt>
                <c:pt idx="887">
                  <c:v>3.5539999999999998</c:v>
                </c:pt>
                <c:pt idx="888">
                  <c:v>3.5419999999999998</c:v>
                </c:pt>
                <c:pt idx="889">
                  <c:v>3.5110000000000001</c:v>
                </c:pt>
                <c:pt idx="890">
                  <c:v>3.5659999999999998</c:v>
                </c:pt>
                <c:pt idx="891">
                  <c:v>3.4980000000000002</c:v>
                </c:pt>
                <c:pt idx="892">
                  <c:v>3.5270000000000001</c:v>
                </c:pt>
                <c:pt idx="893">
                  <c:v>3.5049999999999999</c:v>
                </c:pt>
                <c:pt idx="894">
                  <c:v>3.3780000000000001</c:v>
                </c:pt>
                <c:pt idx="895">
                  <c:v>3.331</c:v>
                </c:pt>
                <c:pt idx="896">
                  <c:v>3.0950000000000002</c:v>
                </c:pt>
                <c:pt idx="897">
                  <c:v>3.0310000000000001</c:v>
                </c:pt>
                <c:pt idx="898">
                  <c:v>3.1030000000000002</c:v>
                </c:pt>
                <c:pt idx="899">
                  <c:v>3.1909999999999998</c:v>
                </c:pt>
                <c:pt idx="900">
                  <c:v>3.286</c:v>
                </c:pt>
                <c:pt idx="901">
                  <c:v>3.8540000000000001</c:v>
                </c:pt>
                <c:pt idx="902">
                  <c:v>3.903</c:v>
                </c:pt>
                <c:pt idx="903">
                  <c:v>3.87</c:v>
                </c:pt>
                <c:pt idx="904">
                  <c:v>3.7639999999999998</c:v>
                </c:pt>
                <c:pt idx="905">
                  <c:v>3.7410000000000001</c:v>
                </c:pt>
                <c:pt idx="906">
                  <c:v>3.6459999999999999</c:v>
                </c:pt>
                <c:pt idx="907">
                  <c:v>3.528</c:v>
                </c:pt>
                <c:pt idx="908">
                  <c:v>3.5089999999999999</c:v>
                </c:pt>
                <c:pt idx="909">
                  <c:v>3.5960000000000001</c:v>
                </c:pt>
                <c:pt idx="910">
                  <c:v>3.7789999999999999</c:v>
                </c:pt>
                <c:pt idx="911">
                  <c:v>3.76</c:v>
                </c:pt>
                <c:pt idx="912">
                  <c:v>2.6659999999999999</c:v>
                </c:pt>
                <c:pt idx="913">
                  <c:v>2.6709999999999998</c:v>
                </c:pt>
                <c:pt idx="914">
                  <c:v>2.681</c:v>
                </c:pt>
                <c:pt idx="915">
                  <c:v>2.7330000000000001</c:v>
                </c:pt>
                <c:pt idx="916">
                  <c:v>2.8420000000000001</c:v>
                </c:pt>
                <c:pt idx="917">
                  <c:v>2.8769999999999998</c:v>
                </c:pt>
                <c:pt idx="918">
                  <c:v>2.948</c:v>
                </c:pt>
                <c:pt idx="919">
                  <c:v>2.871</c:v>
                </c:pt>
                <c:pt idx="920">
                  <c:v>2.8410000000000002</c:v>
                </c:pt>
                <c:pt idx="921">
                  <c:v>2.8140000000000001</c:v>
                </c:pt>
                <c:pt idx="922">
                  <c:v>2.802</c:v>
                </c:pt>
                <c:pt idx="923">
                  <c:v>2.802</c:v>
                </c:pt>
                <c:pt idx="924">
                  <c:v>2.8679999999999999</c:v>
                </c:pt>
                <c:pt idx="925">
                  <c:v>2.87</c:v>
                </c:pt>
                <c:pt idx="926">
                  <c:v>2.8530000000000002</c:v>
                </c:pt>
                <c:pt idx="927">
                  <c:v>2.8410000000000002</c:v>
                </c:pt>
                <c:pt idx="928">
                  <c:v>2.831</c:v>
                </c:pt>
                <c:pt idx="929">
                  <c:v>2.831</c:v>
                </c:pt>
                <c:pt idx="930">
                  <c:v>2.8119999999999998</c:v>
                </c:pt>
                <c:pt idx="931">
                  <c:v>2.8170000000000002</c:v>
                </c:pt>
                <c:pt idx="932">
                  <c:v>2.891</c:v>
                </c:pt>
                <c:pt idx="933">
                  <c:v>2.9740000000000002</c:v>
                </c:pt>
                <c:pt idx="934">
                  <c:v>3.0339999999999998</c:v>
                </c:pt>
                <c:pt idx="935">
                  <c:v>3.23</c:v>
                </c:pt>
                <c:pt idx="936">
                  <c:v>3.3460000000000001</c:v>
                </c:pt>
                <c:pt idx="937">
                  <c:v>3.4870000000000001</c:v>
                </c:pt>
                <c:pt idx="938">
                  <c:v>3.5470000000000002</c:v>
                </c:pt>
                <c:pt idx="939">
                  <c:v>3.7440000000000002</c:v>
                </c:pt>
                <c:pt idx="940">
                  <c:v>3.7519999999999998</c:v>
                </c:pt>
                <c:pt idx="941">
                  <c:v>3.7320000000000002</c:v>
                </c:pt>
                <c:pt idx="942">
                  <c:v>3.613</c:v>
                </c:pt>
                <c:pt idx="943">
                  <c:v>3.5630000000000002</c:v>
                </c:pt>
                <c:pt idx="944">
                  <c:v>3.5950000000000002</c:v>
                </c:pt>
                <c:pt idx="945">
                  <c:v>3.6059999999999999</c:v>
                </c:pt>
                <c:pt idx="946">
                  <c:v>3.58</c:v>
                </c:pt>
                <c:pt idx="947">
                  <c:v>3.6190000000000002</c:v>
                </c:pt>
                <c:pt idx="948">
                  <c:v>3.5920000000000001</c:v>
                </c:pt>
                <c:pt idx="949">
                  <c:v>3.5379999999999998</c:v>
                </c:pt>
                <c:pt idx="950">
                  <c:v>3.5129999999999999</c:v>
                </c:pt>
                <c:pt idx="951">
                  <c:v>3.3889999999999998</c:v>
                </c:pt>
                <c:pt idx="952">
                  <c:v>3.3410000000000002</c:v>
                </c:pt>
                <c:pt idx="953">
                  <c:v>3.08</c:v>
                </c:pt>
                <c:pt idx="954">
                  <c:v>3.077</c:v>
                </c:pt>
                <c:pt idx="955">
                  <c:v>3.1160000000000001</c:v>
                </c:pt>
                <c:pt idx="956">
                  <c:v>3.242</c:v>
                </c:pt>
                <c:pt idx="957">
                  <c:v>3.38</c:v>
                </c:pt>
                <c:pt idx="958">
                  <c:v>3.7930000000000001</c:v>
                </c:pt>
                <c:pt idx="959">
                  <c:v>3.831</c:v>
                </c:pt>
                <c:pt idx="960">
                  <c:v>3.8090000000000002</c:v>
                </c:pt>
                <c:pt idx="961">
                  <c:v>3.7879999999999998</c:v>
                </c:pt>
                <c:pt idx="962">
                  <c:v>3.7759999999999998</c:v>
                </c:pt>
                <c:pt idx="963">
                  <c:v>3.63</c:v>
                </c:pt>
                <c:pt idx="964">
                  <c:v>3.512</c:v>
                </c:pt>
                <c:pt idx="965">
                  <c:v>3.5089999999999999</c:v>
                </c:pt>
                <c:pt idx="966">
                  <c:v>3.6890000000000001</c:v>
                </c:pt>
                <c:pt idx="967">
                  <c:v>3.8149999999999999</c:v>
                </c:pt>
                <c:pt idx="968">
                  <c:v>3.7970000000000002</c:v>
                </c:pt>
                <c:pt idx="969">
                  <c:v>2.7879999999999998</c:v>
                </c:pt>
                <c:pt idx="970">
                  <c:v>2.7709999999999999</c:v>
                </c:pt>
                <c:pt idx="971">
                  <c:v>2.766</c:v>
                </c:pt>
                <c:pt idx="972">
                  <c:v>2.8050000000000002</c:v>
                </c:pt>
                <c:pt idx="973">
                  <c:v>2.8260000000000001</c:v>
                </c:pt>
                <c:pt idx="974">
                  <c:v>2.8490000000000002</c:v>
                </c:pt>
                <c:pt idx="975">
                  <c:v>2.9809999999999999</c:v>
                </c:pt>
                <c:pt idx="976">
                  <c:v>2.8570000000000002</c:v>
                </c:pt>
                <c:pt idx="977">
                  <c:v>2.83</c:v>
                </c:pt>
                <c:pt idx="978">
                  <c:v>2.8149999999999999</c:v>
                </c:pt>
                <c:pt idx="979">
                  <c:v>2.806</c:v>
                </c:pt>
                <c:pt idx="980">
                  <c:v>2.7919999999999998</c:v>
                </c:pt>
                <c:pt idx="981">
                  <c:v>2.7349999999999999</c:v>
                </c:pt>
                <c:pt idx="982">
                  <c:v>2.7170000000000001</c:v>
                </c:pt>
                <c:pt idx="983">
                  <c:v>2.7170000000000001</c:v>
                </c:pt>
                <c:pt idx="984">
                  <c:v>2.7759999999999998</c:v>
                </c:pt>
                <c:pt idx="985">
                  <c:v>2.9380000000000002</c:v>
                </c:pt>
                <c:pt idx="986">
                  <c:v>2.9609999999999999</c:v>
                </c:pt>
                <c:pt idx="987">
                  <c:v>3.0649999999999999</c:v>
                </c:pt>
                <c:pt idx="988">
                  <c:v>3.1320000000000001</c:v>
                </c:pt>
                <c:pt idx="989">
                  <c:v>3.1930000000000001</c:v>
                </c:pt>
                <c:pt idx="990">
                  <c:v>3.24</c:v>
                </c:pt>
                <c:pt idx="991">
                  <c:v>3.2549999999999999</c:v>
                </c:pt>
                <c:pt idx="992">
                  <c:v>3.4369999999999998</c:v>
                </c:pt>
                <c:pt idx="993">
                  <c:v>3.6</c:v>
                </c:pt>
                <c:pt idx="994">
                  <c:v>3.6379999999999999</c:v>
                </c:pt>
                <c:pt idx="995">
                  <c:v>3.72</c:v>
                </c:pt>
                <c:pt idx="996">
                  <c:v>4.0780000000000003</c:v>
                </c:pt>
                <c:pt idx="997">
                  <c:v>3.9729999999999999</c:v>
                </c:pt>
                <c:pt idx="998">
                  <c:v>3.9239999999999999</c:v>
                </c:pt>
                <c:pt idx="999">
                  <c:v>3.8149999999999999</c:v>
                </c:pt>
                <c:pt idx="1000">
                  <c:v>3.7839999999999998</c:v>
                </c:pt>
                <c:pt idx="1001">
                  <c:v>3.903</c:v>
                </c:pt>
                <c:pt idx="1002">
                  <c:v>3.88</c:v>
                </c:pt>
                <c:pt idx="1003">
                  <c:v>3.7839999999999998</c:v>
                </c:pt>
                <c:pt idx="1004">
                  <c:v>3.8090000000000002</c:v>
                </c:pt>
                <c:pt idx="1005">
                  <c:v>3.633</c:v>
                </c:pt>
                <c:pt idx="1006">
                  <c:v>3.5859999999999999</c:v>
                </c:pt>
                <c:pt idx="1007">
                  <c:v>3.57</c:v>
                </c:pt>
                <c:pt idx="1008">
                  <c:v>3.5009999999999999</c:v>
                </c:pt>
                <c:pt idx="1009">
                  <c:v>3.47</c:v>
                </c:pt>
                <c:pt idx="1010">
                  <c:v>3.4390000000000001</c:v>
                </c:pt>
                <c:pt idx="1011">
                  <c:v>3.633</c:v>
                </c:pt>
                <c:pt idx="1012">
                  <c:v>3.6549999999999998</c:v>
                </c:pt>
                <c:pt idx="1013">
                  <c:v>3.827</c:v>
                </c:pt>
                <c:pt idx="1014">
                  <c:v>3.8759999999999999</c:v>
                </c:pt>
                <c:pt idx="1015">
                  <c:v>3.9569999999999999</c:v>
                </c:pt>
                <c:pt idx="1016">
                  <c:v>3.9910000000000001</c:v>
                </c:pt>
                <c:pt idx="1017">
                  <c:v>3.9470000000000001</c:v>
                </c:pt>
                <c:pt idx="1018">
                  <c:v>3.798</c:v>
                </c:pt>
                <c:pt idx="1019">
                  <c:v>3.746</c:v>
                </c:pt>
                <c:pt idx="1020">
                  <c:v>3.5379999999999998</c:v>
                </c:pt>
                <c:pt idx="1021">
                  <c:v>3.698</c:v>
                </c:pt>
                <c:pt idx="1022">
                  <c:v>3.7719999999999998</c:v>
                </c:pt>
                <c:pt idx="1023">
                  <c:v>3.9209999999999998</c:v>
                </c:pt>
                <c:pt idx="1024">
                  <c:v>4.0270000000000001</c:v>
                </c:pt>
                <c:pt idx="1025">
                  <c:v>4.0289999999999999</c:v>
                </c:pt>
                <c:pt idx="1026">
                  <c:v>2.9540000000000002</c:v>
                </c:pt>
                <c:pt idx="1027">
                  <c:v>2.94</c:v>
                </c:pt>
                <c:pt idx="1028">
                  <c:v>2.919</c:v>
                </c:pt>
                <c:pt idx="1029">
                  <c:v>2.9380000000000002</c:v>
                </c:pt>
                <c:pt idx="1030">
                  <c:v>2.9569999999999999</c:v>
                </c:pt>
                <c:pt idx="1031">
                  <c:v>2.992</c:v>
                </c:pt>
                <c:pt idx="1032">
                  <c:v>3.0950000000000002</c:v>
                </c:pt>
                <c:pt idx="1033">
                  <c:v>3.0059999999999998</c:v>
                </c:pt>
                <c:pt idx="1034">
                  <c:v>2.972</c:v>
                </c:pt>
                <c:pt idx="1035">
                  <c:v>2.9580000000000002</c:v>
                </c:pt>
                <c:pt idx="1036">
                  <c:v>2.94</c:v>
                </c:pt>
                <c:pt idx="1037">
                  <c:v>2.9420000000000002</c:v>
                </c:pt>
                <c:pt idx="1038">
                  <c:v>2.86</c:v>
                </c:pt>
                <c:pt idx="1039">
                  <c:v>2.8370000000000002</c:v>
                </c:pt>
                <c:pt idx="1040">
                  <c:v>2.84</c:v>
                </c:pt>
                <c:pt idx="1041">
                  <c:v>2.903</c:v>
                </c:pt>
                <c:pt idx="1042">
                  <c:v>3.0489999999999999</c:v>
                </c:pt>
                <c:pt idx="1043">
                  <c:v>3.0649999999999999</c:v>
                </c:pt>
                <c:pt idx="1044">
                  <c:v>3.2</c:v>
                </c:pt>
                <c:pt idx="1045">
                  <c:v>3.2549999999999999</c:v>
                </c:pt>
                <c:pt idx="1046">
                  <c:v>3.351</c:v>
                </c:pt>
                <c:pt idx="1047">
                  <c:v>3.4</c:v>
                </c:pt>
                <c:pt idx="1048">
                  <c:v>3.4159999999999999</c:v>
                </c:pt>
                <c:pt idx="1049">
                  <c:v>3.605</c:v>
                </c:pt>
                <c:pt idx="1050">
                  <c:v>3.7519999999999998</c:v>
                </c:pt>
                <c:pt idx="1051">
                  <c:v>3.8109999999999999</c:v>
                </c:pt>
                <c:pt idx="1052">
                  <c:v>3.895</c:v>
                </c:pt>
                <c:pt idx="1053">
                  <c:v>4.1920000000000002</c:v>
                </c:pt>
                <c:pt idx="1054">
                  <c:v>4.069</c:v>
                </c:pt>
                <c:pt idx="1055">
                  <c:v>4.0250000000000004</c:v>
                </c:pt>
                <c:pt idx="1056">
                  <c:v>3.9159999999999999</c:v>
                </c:pt>
                <c:pt idx="1057">
                  <c:v>3.8860000000000001</c:v>
                </c:pt>
                <c:pt idx="1058">
                  <c:v>4.0199999999999996</c:v>
                </c:pt>
                <c:pt idx="1059">
                  <c:v>3.9950000000000001</c:v>
                </c:pt>
                <c:pt idx="1060">
                  <c:v>3.879</c:v>
                </c:pt>
                <c:pt idx="1061">
                  <c:v>3.93</c:v>
                </c:pt>
                <c:pt idx="1062">
                  <c:v>3.7749999999999999</c:v>
                </c:pt>
                <c:pt idx="1063">
                  <c:v>3.738</c:v>
                </c:pt>
                <c:pt idx="1064">
                  <c:v>3.7189999999999999</c:v>
                </c:pt>
                <c:pt idx="1065">
                  <c:v>3.6659999999999999</c:v>
                </c:pt>
                <c:pt idx="1066">
                  <c:v>3.6269999999999998</c:v>
                </c:pt>
                <c:pt idx="1067">
                  <c:v>3.585</c:v>
                </c:pt>
                <c:pt idx="1068">
                  <c:v>3.7959999999999998</c:v>
                </c:pt>
                <c:pt idx="1069">
                  <c:v>3.8260000000000001</c:v>
                </c:pt>
                <c:pt idx="1070">
                  <c:v>3.9830000000000001</c:v>
                </c:pt>
                <c:pt idx="1071">
                  <c:v>4.0209999999999999</c:v>
                </c:pt>
                <c:pt idx="1072">
                  <c:v>4.1429999999999998</c:v>
                </c:pt>
                <c:pt idx="1073">
                  <c:v>4.1239999999999997</c:v>
                </c:pt>
                <c:pt idx="1074">
                  <c:v>4.0549999999999997</c:v>
                </c:pt>
                <c:pt idx="1075">
                  <c:v>3.915</c:v>
                </c:pt>
                <c:pt idx="1076">
                  <c:v>3.871</c:v>
                </c:pt>
                <c:pt idx="1077">
                  <c:v>3.6459999999999999</c:v>
                </c:pt>
                <c:pt idx="1078">
                  <c:v>3.819</c:v>
                </c:pt>
                <c:pt idx="1079">
                  <c:v>3.863</c:v>
                </c:pt>
                <c:pt idx="1080">
                  <c:v>4.0759999999999996</c:v>
                </c:pt>
                <c:pt idx="1081">
                  <c:v>4.1509999999999998</c:v>
                </c:pt>
                <c:pt idx="1082">
                  <c:v>4.1859999999999999</c:v>
                </c:pt>
                <c:pt idx="1083">
                  <c:v>2.7839999999999998</c:v>
                </c:pt>
                <c:pt idx="1084">
                  <c:v>2.7730000000000001</c:v>
                </c:pt>
                <c:pt idx="1085">
                  <c:v>2.7770000000000001</c:v>
                </c:pt>
                <c:pt idx="1086">
                  <c:v>2.8180000000000001</c:v>
                </c:pt>
                <c:pt idx="1087">
                  <c:v>2.85</c:v>
                </c:pt>
                <c:pt idx="1088">
                  <c:v>2.8690000000000002</c:v>
                </c:pt>
                <c:pt idx="1089">
                  <c:v>2.9660000000000002</c:v>
                </c:pt>
                <c:pt idx="1090">
                  <c:v>2.847</c:v>
                </c:pt>
                <c:pt idx="1091">
                  <c:v>2.8090000000000002</c:v>
                </c:pt>
                <c:pt idx="1092">
                  <c:v>2.8149999999999999</c:v>
                </c:pt>
                <c:pt idx="1093">
                  <c:v>2.7930000000000001</c:v>
                </c:pt>
                <c:pt idx="1094">
                  <c:v>2.7839999999999998</c:v>
                </c:pt>
                <c:pt idx="1095">
                  <c:v>2.7149999999999999</c:v>
                </c:pt>
                <c:pt idx="1096">
                  <c:v>2.6989999999999998</c:v>
                </c:pt>
                <c:pt idx="1097">
                  <c:v>2.7069999999999999</c:v>
                </c:pt>
                <c:pt idx="1098">
                  <c:v>2.7639999999999998</c:v>
                </c:pt>
                <c:pt idx="1099">
                  <c:v>2.9169999999999998</c:v>
                </c:pt>
                <c:pt idx="1100">
                  <c:v>2.931</c:v>
                </c:pt>
                <c:pt idx="1101">
                  <c:v>3.0459999999999998</c:v>
                </c:pt>
                <c:pt idx="1102">
                  <c:v>3.109</c:v>
                </c:pt>
                <c:pt idx="1103">
                  <c:v>3.1930000000000001</c:v>
                </c:pt>
                <c:pt idx="1104">
                  <c:v>3.2309999999999999</c:v>
                </c:pt>
                <c:pt idx="1105">
                  <c:v>3.2389999999999999</c:v>
                </c:pt>
                <c:pt idx="1106">
                  <c:v>3.4329999999999998</c:v>
                </c:pt>
                <c:pt idx="1107">
                  <c:v>3.5819999999999999</c:v>
                </c:pt>
                <c:pt idx="1108">
                  <c:v>3.6379999999999999</c:v>
                </c:pt>
                <c:pt idx="1109">
                  <c:v>3.72</c:v>
                </c:pt>
                <c:pt idx="1110">
                  <c:v>4.0460000000000003</c:v>
                </c:pt>
                <c:pt idx="1111">
                  <c:v>3.9220000000000002</c:v>
                </c:pt>
                <c:pt idx="1112">
                  <c:v>3.8809999999999998</c:v>
                </c:pt>
                <c:pt idx="1113">
                  <c:v>3.7480000000000002</c:v>
                </c:pt>
                <c:pt idx="1114">
                  <c:v>3.7109999999999999</c:v>
                </c:pt>
                <c:pt idx="1115">
                  <c:v>3.8420000000000001</c:v>
                </c:pt>
                <c:pt idx="1116">
                  <c:v>3.8119999999999998</c:v>
                </c:pt>
                <c:pt idx="1117">
                  <c:v>3.7029999999999998</c:v>
                </c:pt>
                <c:pt idx="1118">
                  <c:v>3.738</c:v>
                </c:pt>
                <c:pt idx="1119">
                  <c:v>3.5830000000000002</c:v>
                </c:pt>
                <c:pt idx="1120">
                  <c:v>3.5510000000000002</c:v>
                </c:pt>
                <c:pt idx="1121">
                  <c:v>3.53</c:v>
                </c:pt>
                <c:pt idx="1122">
                  <c:v>3.452</c:v>
                </c:pt>
                <c:pt idx="1123">
                  <c:v>3.415</c:v>
                </c:pt>
                <c:pt idx="1124">
                  <c:v>3.4220000000000002</c:v>
                </c:pt>
                <c:pt idx="1125">
                  <c:v>3.617</c:v>
                </c:pt>
                <c:pt idx="1126">
                  <c:v>3.64</c:v>
                </c:pt>
                <c:pt idx="1127">
                  <c:v>3.8159999999999998</c:v>
                </c:pt>
                <c:pt idx="1128">
                  <c:v>3.8479999999999999</c:v>
                </c:pt>
                <c:pt idx="1129">
                  <c:v>3.996</c:v>
                </c:pt>
                <c:pt idx="1130">
                  <c:v>3.9510000000000001</c:v>
                </c:pt>
                <c:pt idx="1131">
                  <c:v>3.8889999999999998</c:v>
                </c:pt>
                <c:pt idx="1132">
                  <c:v>3.742</c:v>
                </c:pt>
                <c:pt idx="1133">
                  <c:v>3.6890000000000001</c:v>
                </c:pt>
                <c:pt idx="1134">
                  <c:v>3.4750000000000001</c:v>
                </c:pt>
                <c:pt idx="1135">
                  <c:v>3.6539999999999999</c:v>
                </c:pt>
                <c:pt idx="1136">
                  <c:v>3.722</c:v>
                </c:pt>
                <c:pt idx="1137">
                  <c:v>3.911</c:v>
                </c:pt>
                <c:pt idx="1138">
                  <c:v>3.9849999999999999</c:v>
                </c:pt>
                <c:pt idx="1139">
                  <c:v>4</c:v>
                </c:pt>
                <c:pt idx="1140">
                  <c:v>2.5720000000000001</c:v>
                </c:pt>
                <c:pt idx="1141">
                  <c:v>2.548</c:v>
                </c:pt>
                <c:pt idx="1142">
                  <c:v>2.625</c:v>
                </c:pt>
                <c:pt idx="1143">
                  <c:v>2.6669999999999998</c:v>
                </c:pt>
                <c:pt idx="1144">
                  <c:v>2.7189999999999999</c:v>
                </c:pt>
                <c:pt idx="1145">
                  <c:v>2.77</c:v>
                </c:pt>
                <c:pt idx="1146">
                  <c:v>2.835</c:v>
                </c:pt>
                <c:pt idx="1147">
                  <c:v>2.7050000000000001</c:v>
                </c:pt>
                <c:pt idx="1148">
                  <c:v>2.6680000000000001</c:v>
                </c:pt>
                <c:pt idx="1149">
                  <c:v>2.669</c:v>
                </c:pt>
                <c:pt idx="1150">
                  <c:v>2.6419999999999999</c:v>
                </c:pt>
                <c:pt idx="1151">
                  <c:v>2.6269999999999998</c:v>
                </c:pt>
                <c:pt idx="1152">
                  <c:v>2.577</c:v>
                </c:pt>
                <c:pt idx="1153">
                  <c:v>2.5649999999999999</c:v>
                </c:pt>
                <c:pt idx="1154">
                  <c:v>2.6030000000000002</c:v>
                </c:pt>
                <c:pt idx="1155">
                  <c:v>2.633</c:v>
                </c:pt>
                <c:pt idx="1156">
                  <c:v>2.6890000000000001</c:v>
                </c:pt>
                <c:pt idx="1157">
                  <c:v>2.7280000000000002</c:v>
                </c:pt>
                <c:pt idx="1158">
                  <c:v>2.7080000000000002</c:v>
                </c:pt>
                <c:pt idx="1159">
                  <c:v>2.843</c:v>
                </c:pt>
                <c:pt idx="1160">
                  <c:v>2.976</c:v>
                </c:pt>
                <c:pt idx="1161">
                  <c:v>2.9889999999999999</c:v>
                </c:pt>
                <c:pt idx="1162">
                  <c:v>3.0219999999999998</c:v>
                </c:pt>
                <c:pt idx="1163">
                  <c:v>3.2879999999999998</c:v>
                </c:pt>
                <c:pt idx="1164">
                  <c:v>3.4590000000000001</c:v>
                </c:pt>
                <c:pt idx="1165">
                  <c:v>3.524</c:v>
                </c:pt>
                <c:pt idx="1166">
                  <c:v>3.6219999999999999</c:v>
                </c:pt>
                <c:pt idx="1167">
                  <c:v>3.9060000000000001</c:v>
                </c:pt>
                <c:pt idx="1168">
                  <c:v>3.6989999999999998</c:v>
                </c:pt>
                <c:pt idx="1169">
                  <c:v>3.6480000000000001</c:v>
                </c:pt>
                <c:pt idx="1170">
                  <c:v>3.524</c:v>
                </c:pt>
                <c:pt idx="1171">
                  <c:v>3.48</c:v>
                </c:pt>
                <c:pt idx="1172">
                  <c:v>3.6840000000000002</c:v>
                </c:pt>
                <c:pt idx="1173">
                  <c:v>3.6379999999999999</c:v>
                </c:pt>
                <c:pt idx="1174">
                  <c:v>3.5329999999999999</c:v>
                </c:pt>
                <c:pt idx="1175">
                  <c:v>3.5459999999999998</c:v>
                </c:pt>
                <c:pt idx="1176">
                  <c:v>3.2850000000000001</c:v>
                </c:pt>
                <c:pt idx="1177">
                  <c:v>3.3319999999999999</c:v>
                </c:pt>
                <c:pt idx="1178">
                  <c:v>3.2970000000000002</c:v>
                </c:pt>
                <c:pt idx="1179">
                  <c:v>3.1720000000000002</c:v>
                </c:pt>
                <c:pt idx="1180">
                  <c:v>3.1579999999999999</c:v>
                </c:pt>
                <c:pt idx="1181">
                  <c:v>3.157</c:v>
                </c:pt>
                <c:pt idx="1182">
                  <c:v>3.36</c:v>
                </c:pt>
                <c:pt idx="1183">
                  <c:v>3.4089999999999998</c:v>
                </c:pt>
                <c:pt idx="1184">
                  <c:v>3.63</c:v>
                </c:pt>
                <c:pt idx="1185">
                  <c:v>3.669</c:v>
                </c:pt>
                <c:pt idx="1186">
                  <c:v>3.891</c:v>
                </c:pt>
                <c:pt idx="1187">
                  <c:v>3.7490000000000001</c:v>
                </c:pt>
                <c:pt idx="1188">
                  <c:v>3.6880000000000002</c:v>
                </c:pt>
                <c:pt idx="1189">
                  <c:v>3.5009999999999999</c:v>
                </c:pt>
                <c:pt idx="1190">
                  <c:v>3.452</c:v>
                </c:pt>
                <c:pt idx="1191">
                  <c:v>3.2269999999999999</c:v>
                </c:pt>
                <c:pt idx="1192">
                  <c:v>3.4169999999999998</c:v>
                </c:pt>
                <c:pt idx="1193">
                  <c:v>3.4940000000000002</c:v>
                </c:pt>
                <c:pt idx="1194">
                  <c:v>3.73</c:v>
                </c:pt>
                <c:pt idx="1195">
                  <c:v>3.617</c:v>
                </c:pt>
                <c:pt idx="1196">
                  <c:v>3.601</c:v>
                </c:pt>
                <c:pt idx="1197">
                  <c:v>2.7879999999999998</c:v>
                </c:pt>
                <c:pt idx="1198">
                  <c:v>2.7709999999999999</c:v>
                </c:pt>
                <c:pt idx="1199">
                  <c:v>2.766</c:v>
                </c:pt>
                <c:pt idx="1200">
                  <c:v>2.8050000000000002</c:v>
                </c:pt>
                <c:pt idx="1201">
                  <c:v>2.8260000000000001</c:v>
                </c:pt>
                <c:pt idx="1202">
                  <c:v>2.8490000000000002</c:v>
                </c:pt>
                <c:pt idx="1203">
                  <c:v>2.9809999999999999</c:v>
                </c:pt>
                <c:pt idx="1204">
                  <c:v>2.8570000000000002</c:v>
                </c:pt>
                <c:pt idx="1205">
                  <c:v>2.83</c:v>
                </c:pt>
                <c:pt idx="1206">
                  <c:v>2.8149999999999999</c:v>
                </c:pt>
                <c:pt idx="1207">
                  <c:v>2.806</c:v>
                </c:pt>
                <c:pt idx="1208">
                  <c:v>2.7919999999999998</c:v>
                </c:pt>
                <c:pt idx="1209">
                  <c:v>2.7349999999999999</c:v>
                </c:pt>
                <c:pt idx="1210">
                  <c:v>2.7170000000000001</c:v>
                </c:pt>
                <c:pt idx="1211">
                  <c:v>2.7170000000000001</c:v>
                </c:pt>
                <c:pt idx="1212">
                  <c:v>2.7759999999999998</c:v>
                </c:pt>
                <c:pt idx="1213">
                  <c:v>2.9380000000000002</c:v>
                </c:pt>
                <c:pt idx="1214">
                  <c:v>2.9609999999999999</c:v>
                </c:pt>
                <c:pt idx="1215">
                  <c:v>3.0649999999999999</c:v>
                </c:pt>
                <c:pt idx="1216">
                  <c:v>3.1320000000000001</c:v>
                </c:pt>
                <c:pt idx="1217">
                  <c:v>3.1930000000000001</c:v>
                </c:pt>
                <c:pt idx="1218">
                  <c:v>3.24</c:v>
                </c:pt>
                <c:pt idx="1219">
                  <c:v>3.2549999999999999</c:v>
                </c:pt>
                <c:pt idx="1220">
                  <c:v>3.4369999999999998</c:v>
                </c:pt>
                <c:pt idx="1221">
                  <c:v>3.6</c:v>
                </c:pt>
                <c:pt idx="1222">
                  <c:v>3.6379999999999999</c:v>
                </c:pt>
                <c:pt idx="1223">
                  <c:v>3.72</c:v>
                </c:pt>
                <c:pt idx="1224">
                  <c:v>4.0780000000000003</c:v>
                </c:pt>
                <c:pt idx="1225">
                  <c:v>3.9729999999999999</c:v>
                </c:pt>
                <c:pt idx="1226">
                  <c:v>3.9239999999999999</c:v>
                </c:pt>
                <c:pt idx="1227">
                  <c:v>3.8149999999999999</c:v>
                </c:pt>
                <c:pt idx="1228">
                  <c:v>3.7839999999999998</c:v>
                </c:pt>
                <c:pt idx="1229">
                  <c:v>3.903</c:v>
                </c:pt>
                <c:pt idx="1230">
                  <c:v>3.88</c:v>
                </c:pt>
                <c:pt idx="1231">
                  <c:v>3.7839999999999998</c:v>
                </c:pt>
                <c:pt idx="1232">
                  <c:v>3.8090000000000002</c:v>
                </c:pt>
                <c:pt idx="1233">
                  <c:v>3.633</c:v>
                </c:pt>
                <c:pt idx="1234">
                  <c:v>3.5859999999999999</c:v>
                </c:pt>
                <c:pt idx="1235">
                  <c:v>3.57</c:v>
                </c:pt>
                <c:pt idx="1236">
                  <c:v>3.5009999999999999</c:v>
                </c:pt>
                <c:pt idx="1237">
                  <c:v>3.47</c:v>
                </c:pt>
                <c:pt idx="1238">
                  <c:v>3.4390000000000001</c:v>
                </c:pt>
                <c:pt idx="1239">
                  <c:v>3.633</c:v>
                </c:pt>
                <c:pt idx="1240">
                  <c:v>3.6549999999999998</c:v>
                </c:pt>
                <c:pt idx="1241">
                  <c:v>3.827</c:v>
                </c:pt>
                <c:pt idx="1242">
                  <c:v>3.8759999999999999</c:v>
                </c:pt>
                <c:pt idx="1243">
                  <c:v>3.9569999999999999</c:v>
                </c:pt>
                <c:pt idx="1244">
                  <c:v>3.9910000000000001</c:v>
                </c:pt>
                <c:pt idx="1245">
                  <c:v>3.9470000000000001</c:v>
                </c:pt>
                <c:pt idx="1246">
                  <c:v>3.798</c:v>
                </c:pt>
                <c:pt idx="1247">
                  <c:v>3.746</c:v>
                </c:pt>
                <c:pt idx="1248">
                  <c:v>3.5379999999999998</c:v>
                </c:pt>
                <c:pt idx="1249">
                  <c:v>3.698</c:v>
                </c:pt>
                <c:pt idx="1250">
                  <c:v>3.7719999999999998</c:v>
                </c:pt>
                <c:pt idx="1251">
                  <c:v>3.9209999999999998</c:v>
                </c:pt>
                <c:pt idx="1252">
                  <c:v>4.0270000000000001</c:v>
                </c:pt>
                <c:pt idx="1253">
                  <c:v>4.0289999999999999</c:v>
                </c:pt>
                <c:pt idx="1254">
                  <c:v>2.7879999999999998</c:v>
                </c:pt>
                <c:pt idx="1255">
                  <c:v>2.7709999999999999</c:v>
                </c:pt>
                <c:pt idx="1256">
                  <c:v>2.766</c:v>
                </c:pt>
                <c:pt idx="1257">
                  <c:v>2.8050000000000002</c:v>
                </c:pt>
                <c:pt idx="1258">
                  <c:v>2.8260000000000001</c:v>
                </c:pt>
                <c:pt idx="1259">
                  <c:v>2.8490000000000002</c:v>
                </c:pt>
                <c:pt idx="1260">
                  <c:v>2.9809999999999999</c:v>
                </c:pt>
                <c:pt idx="1261">
                  <c:v>2.8570000000000002</c:v>
                </c:pt>
                <c:pt idx="1262">
                  <c:v>2.83</c:v>
                </c:pt>
                <c:pt idx="1263">
                  <c:v>2.8149999999999999</c:v>
                </c:pt>
                <c:pt idx="1264">
                  <c:v>2.806</c:v>
                </c:pt>
                <c:pt idx="1265">
                  <c:v>2.7919999999999998</c:v>
                </c:pt>
                <c:pt idx="1266">
                  <c:v>2.7349999999999999</c:v>
                </c:pt>
                <c:pt idx="1267">
                  <c:v>2.7170000000000001</c:v>
                </c:pt>
                <c:pt idx="1268">
                  <c:v>2.7170000000000001</c:v>
                </c:pt>
                <c:pt idx="1269">
                  <c:v>2.7759999999999998</c:v>
                </c:pt>
                <c:pt idx="1270">
                  <c:v>2.9380000000000002</c:v>
                </c:pt>
                <c:pt idx="1271">
                  <c:v>2.9609999999999999</c:v>
                </c:pt>
                <c:pt idx="1272">
                  <c:v>3.0649999999999999</c:v>
                </c:pt>
                <c:pt idx="1273">
                  <c:v>3.1320000000000001</c:v>
                </c:pt>
                <c:pt idx="1274">
                  <c:v>3.1930000000000001</c:v>
                </c:pt>
                <c:pt idx="1275">
                  <c:v>3.24</c:v>
                </c:pt>
                <c:pt idx="1276">
                  <c:v>3.2549999999999999</c:v>
                </c:pt>
                <c:pt idx="1277">
                  <c:v>3.4369999999999998</c:v>
                </c:pt>
                <c:pt idx="1278">
                  <c:v>3.6</c:v>
                </c:pt>
                <c:pt idx="1279">
                  <c:v>3.6379999999999999</c:v>
                </c:pt>
                <c:pt idx="1280">
                  <c:v>3.72</c:v>
                </c:pt>
                <c:pt idx="1281">
                  <c:v>4.0780000000000003</c:v>
                </c:pt>
                <c:pt idx="1282">
                  <c:v>3.9729999999999999</c:v>
                </c:pt>
                <c:pt idx="1283">
                  <c:v>3.9239999999999999</c:v>
                </c:pt>
                <c:pt idx="1284">
                  <c:v>3.8149999999999999</c:v>
                </c:pt>
                <c:pt idx="1285">
                  <c:v>3.7839999999999998</c:v>
                </c:pt>
                <c:pt idx="1286">
                  <c:v>3.903</c:v>
                </c:pt>
                <c:pt idx="1287">
                  <c:v>3.88</c:v>
                </c:pt>
                <c:pt idx="1288">
                  <c:v>3.7839999999999998</c:v>
                </c:pt>
                <c:pt idx="1289">
                  <c:v>3.8090000000000002</c:v>
                </c:pt>
                <c:pt idx="1290">
                  <c:v>3.633</c:v>
                </c:pt>
                <c:pt idx="1291">
                  <c:v>3.5859999999999999</c:v>
                </c:pt>
                <c:pt idx="1292">
                  <c:v>3.57</c:v>
                </c:pt>
                <c:pt idx="1293">
                  <c:v>3.5009999999999999</c:v>
                </c:pt>
                <c:pt idx="1294">
                  <c:v>3.47</c:v>
                </c:pt>
                <c:pt idx="1295">
                  <c:v>3.4390000000000001</c:v>
                </c:pt>
                <c:pt idx="1296">
                  <c:v>3.633</c:v>
                </c:pt>
                <c:pt idx="1297">
                  <c:v>3.6549999999999998</c:v>
                </c:pt>
                <c:pt idx="1298">
                  <c:v>3.827</c:v>
                </c:pt>
                <c:pt idx="1299">
                  <c:v>3.8759999999999999</c:v>
                </c:pt>
                <c:pt idx="1300">
                  <c:v>3.9569999999999999</c:v>
                </c:pt>
                <c:pt idx="1301">
                  <c:v>3.9910000000000001</c:v>
                </c:pt>
                <c:pt idx="1302">
                  <c:v>3.9470000000000001</c:v>
                </c:pt>
                <c:pt idx="1303">
                  <c:v>3.798</c:v>
                </c:pt>
                <c:pt idx="1304">
                  <c:v>3.746</c:v>
                </c:pt>
                <c:pt idx="1305">
                  <c:v>3.5379999999999998</c:v>
                </c:pt>
                <c:pt idx="1306">
                  <c:v>3.698</c:v>
                </c:pt>
                <c:pt idx="1307">
                  <c:v>3.7719999999999998</c:v>
                </c:pt>
                <c:pt idx="1308">
                  <c:v>3.9209999999999998</c:v>
                </c:pt>
                <c:pt idx="1309">
                  <c:v>4.0270000000000001</c:v>
                </c:pt>
                <c:pt idx="1310">
                  <c:v>4.0289999999999999</c:v>
                </c:pt>
                <c:pt idx="1311">
                  <c:v>2.9540000000000002</c:v>
                </c:pt>
                <c:pt idx="1312">
                  <c:v>2.94</c:v>
                </c:pt>
                <c:pt idx="1313">
                  <c:v>2.919</c:v>
                </c:pt>
                <c:pt idx="1314">
                  <c:v>2.9380000000000002</c:v>
                </c:pt>
                <c:pt idx="1315">
                  <c:v>2.9569999999999999</c:v>
                </c:pt>
                <c:pt idx="1316">
                  <c:v>2.992</c:v>
                </c:pt>
                <c:pt idx="1317">
                  <c:v>3.0950000000000002</c:v>
                </c:pt>
                <c:pt idx="1318">
                  <c:v>3.0059999999999998</c:v>
                </c:pt>
                <c:pt idx="1319">
                  <c:v>2.972</c:v>
                </c:pt>
                <c:pt idx="1320">
                  <c:v>2.9580000000000002</c:v>
                </c:pt>
                <c:pt idx="1321">
                  <c:v>2.94</c:v>
                </c:pt>
                <c:pt idx="1322">
                  <c:v>2.9420000000000002</c:v>
                </c:pt>
                <c:pt idx="1323">
                  <c:v>2.86</c:v>
                </c:pt>
                <c:pt idx="1324">
                  <c:v>2.8370000000000002</c:v>
                </c:pt>
                <c:pt idx="1325">
                  <c:v>2.84</c:v>
                </c:pt>
                <c:pt idx="1326">
                  <c:v>2.903</c:v>
                </c:pt>
                <c:pt idx="1327">
                  <c:v>3.0489999999999999</c:v>
                </c:pt>
                <c:pt idx="1328">
                  <c:v>3.0649999999999999</c:v>
                </c:pt>
                <c:pt idx="1329">
                  <c:v>3.2</c:v>
                </c:pt>
                <c:pt idx="1330">
                  <c:v>3.2549999999999999</c:v>
                </c:pt>
                <c:pt idx="1331">
                  <c:v>3.351</c:v>
                </c:pt>
                <c:pt idx="1332">
                  <c:v>3.4</c:v>
                </c:pt>
                <c:pt idx="1333">
                  <c:v>3.4159999999999999</c:v>
                </c:pt>
                <c:pt idx="1334">
                  <c:v>3.605</c:v>
                </c:pt>
                <c:pt idx="1335">
                  <c:v>3.7519999999999998</c:v>
                </c:pt>
                <c:pt idx="1336">
                  <c:v>3.8109999999999999</c:v>
                </c:pt>
                <c:pt idx="1337">
                  <c:v>3.895</c:v>
                </c:pt>
                <c:pt idx="1338">
                  <c:v>4.1920000000000002</c:v>
                </c:pt>
                <c:pt idx="1339">
                  <c:v>4.069</c:v>
                </c:pt>
                <c:pt idx="1340">
                  <c:v>4.0250000000000004</c:v>
                </c:pt>
                <c:pt idx="1341">
                  <c:v>3.9159999999999999</c:v>
                </c:pt>
                <c:pt idx="1342">
                  <c:v>3.8860000000000001</c:v>
                </c:pt>
                <c:pt idx="1343">
                  <c:v>4.0199999999999996</c:v>
                </c:pt>
                <c:pt idx="1344">
                  <c:v>3.9950000000000001</c:v>
                </c:pt>
                <c:pt idx="1345">
                  <c:v>3.879</c:v>
                </c:pt>
                <c:pt idx="1346">
                  <c:v>3.93</c:v>
                </c:pt>
                <c:pt idx="1347">
                  <c:v>3.7749999999999999</c:v>
                </c:pt>
                <c:pt idx="1348">
                  <c:v>3.738</c:v>
                </c:pt>
                <c:pt idx="1349">
                  <c:v>3.7189999999999999</c:v>
                </c:pt>
                <c:pt idx="1350">
                  <c:v>3.6659999999999999</c:v>
                </c:pt>
                <c:pt idx="1351">
                  <c:v>3.6269999999999998</c:v>
                </c:pt>
                <c:pt idx="1352">
                  <c:v>3.585</c:v>
                </c:pt>
                <c:pt idx="1353">
                  <c:v>3.7959999999999998</c:v>
                </c:pt>
                <c:pt idx="1354">
                  <c:v>3.8260000000000001</c:v>
                </c:pt>
                <c:pt idx="1355">
                  <c:v>3.9830000000000001</c:v>
                </c:pt>
                <c:pt idx="1356">
                  <c:v>4.0209999999999999</c:v>
                </c:pt>
                <c:pt idx="1357">
                  <c:v>4.1429999999999998</c:v>
                </c:pt>
                <c:pt idx="1358">
                  <c:v>4.1239999999999997</c:v>
                </c:pt>
                <c:pt idx="1359">
                  <c:v>4.0549999999999997</c:v>
                </c:pt>
                <c:pt idx="1360">
                  <c:v>3.915</c:v>
                </c:pt>
                <c:pt idx="1361">
                  <c:v>3.871</c:v>
                </c:pt>
                <c:pt idx="1362">
                  <c:v>3.6459999999999999</c:v>
                </c:pt>
                <c:pt idx="1363">
                  <c:v>3.819</c:v>
                </c:pt>
                <c:pt idx="1364">
                  <c:v>3.863</c:v>
                </c:pt>
                <c:pt idx="1365">
                  <c:v>4.0759999999999996</c:v>
                </c:pt>
                <c:pt idx="1366">
                  <c:v>4.1509999999999998</c:v>
                </c:pt>
                <c:pt idx="1367">
                  <c:v>4.1859999999999999</c:v>
                </c:pt>
                <c:pt idx="1368">
                  <c:v>2.7839999999999998</c:v>
                </c:pt>
                <c:pt idx="1369">
                  <c:v>2.7730000000000001</c:v>
                </c:pt>
                <c:pt idx="1370">
                  <c:v>2.7770000000000001</c:v>
                </c:pt>
                <c:pt idx="1371">
                  <c:v>2.8180000000000001</c:v>
                </c:pt>
                <c:pt idx="1372">
                  <c:v>2.85</c:v>
                </c:pt>
                <c:pt idx="1373">
                  <c:v>2.8690000000000002</c:v>
                </c:pt>
                <c:pt idx="1374">
                  <c:v>2.9660000000000002</c:v>
                </c:pt>
                <c:pt idx="1375">
                  <c:v>2.847</c:v>
                </c:pt>
                <c:pt idx="1376">
                  <c:v>2.8090000000000002</c:v>
                </c:pt>
                <c:pt idx="1377">
                  <c:v>2.8149999999999999</c:v>
                </c:pt>
                <c:pt idx="1378">
                  <c:v>2.7930000000000001</c:v>
                </c:pt>
                <c:pt idx="1379">
                  <c:v>2.7839999999999998</c:v>
                </c:pt>
                <c:pt idx="1380">
                  <c:v>2.7149999999999999</c:v>
                </c:pt>
                <c:pt idx="1381">
                  <c:v>2.6989999999999998</c:v>
                </c:pt>
                <c:pt idx="1382">
                  <c:v>2.7069999999999999</c:v>
                </c:pt>
                <c:pt idx="1383">
                  <c:v>2.7639999999999998</c:v>
                </c:pt>
                <c:pt idx="1384">
                  <c:v>2.9169999999999998</c:v>
                </c:pt>
                <c:pt idx="1385">
                  <c:v>2.931</c:v>
                </c:pt>
                <c:pt idx="1386">
                  <c:v>3.0459999999999998</c:v>
                </c:pt>
                <c:pt idx="1387">
                  <c:v>3.109</c:v>
                </c:pt>
                <c:pt idx="1388">
                  <c:v>3.1930000000000001</c:v>
                </c:pt>
                <c:pt idx="1389">
                  <c:v>3.2309999999999999</c:v>
                </c:pt>
                <c:pt idx="1390">
                  <c:v>3.2389999999999999</c:v>
                </c:pt>
                <c:pt idx="1391">
                  <c:v>3.4329999999999998</c:v>
                </c:pt>
                <c:pt idx="1392">
                  <c:v>3.5819999999999999</c:v>
                </c:pt>
                <c:pt idx="1393">
                  <c:v>3.6379999999999999</c:v>
                </c:pt>
                <c:pt idx="1394">
                  <c:v>3.72</c:v>
                </c:pt>
                <c:pt idx="1395">
                  <c:v>4.0460000000000003</c:v>
                </c:pt>
                <c:pt idx="1396">
                  <c:v>3.9220000000000002</c:v>
                </c:pt>
                <c:pt idx="1397">
                  <c:v>3.8809999999999998</c:v>
                </c:pt>
                <c:pt idx="1398">
                  <c:v>3.7480000000000002</c:v>
                </c:pt>
                <c:pt idx="1399">
                  <c:v>3.7109999999999999</c:v>
                </c:pt>
                <c:pt idx="1400">
                  <c:v>3.8420000000000001</c:v>
                </c:pt>
                <c:pt idx="1401">
                  <c:v>3.8119999999999998</c:v>
                </c:pt>
                <c:pt idx="1402">
                  <c:v>3.7029999999999998</c:v>
                </c:pt>
                <c:pt idx="1403">
                  <c:v>3.738</c:v>
                </c:pt>
                <c:pt idx="1404">
                  <c:v>3.5830000000000002</c:v>
                </c:pt>
                <c:pt idx="1405">
                  <c:v>3.5510000000000002</c:v>
                </c:pt>
                <c:pt idx="1406">
                  <c:v>3.53</c:v>
                </c:pt>
                <c:pt idx="1407">
                  <c:v>3.452</c:v>
                </c:pt>
                <c:pt idx="1408">
                  <c:v>3.415</c:v>
                </c:pt>
                <c:pt idx="1409">
                  <c:v>3.4220000000000002</c:v>
                </c:pt>
                <c:pt idx="1410">
                  <c:v>3.617</c:v>
                </c:pt>
                <c:pt idx="1411">
                  <c:v>3.64</c:v>
                </c:pt>
                <c:pt idx="1412">
                  <c:v>3.8159999999999998</c:v>
                </c:pt>
                <c:pt idx="1413">
                  <c:v>3.8479999999999999</c:v>
                </c:pt>
                <c:pt idx="1414">
                  <c:v>3.996</c:v>
                </c:pt>
                <c:pt idx="1415">
                  <c:v>3.9510000000000001</c:v>
                </c:pt>
                <c:pt idx="1416">
                  <c:v>3.8889999999999998</c:v>
                </c:pt>
                <c:pt idx="1417">
                  <c:v>3.742</c:v>
                </c:pt>
                <c:pt idx="1418">
                  <c:v>3.6890000000000001</c:v>
                </c:pt>
                <c:pt idx="1419">
                  <c:v>3.4750000000000001</c:v>
                </c:pt>
                <c:pt idx="1420">
                  <c:v>3.6539999999999999</c:v>
                </c:pt>
                <c:pt idx="1421">
                  <c:v>3.722</c:v>
                </c:pt>
                <c:pt idx="1422">
                  <c:v>3.911</c:v>
                </c:pt>
                <c:pt idx="1423">
                  <c:v>3.9849999999999999</c:v>
                </c:pt>
                <c:pt idx="1424">
                  <c:v>4</c:v>
                </c:pt>
                <c:pt idx="1425">
                  <c:v>2.7879999999999998</c:v>
                </c:pt>
                <c:pt idx="1426">
                  <c:v>2.7709999999999999</c:v>
                </c:pt>
                <c:pt idx="1427">
                  <c:v>2.766</c:v>
                </c:pt>
                <c:pt idx="1428">
                  <c:v>2.8050000000000002</c:v>
                </c:pt>
                <c:pt idx="1429">
                  <c:v>2.8260000000000001</c:v>
                </c:pt>
                <c:pt idx="1430">
                  <c:v>2.8490000000000002</c:v>
                </c:pt>
                <c:pt idx="1431">
                  <c:v>2.9809999999999999</c:v>
                </c:pt>
                <c:pt idx="1432">
                  <c:v>2.8570000000000002</c:v>
                </c:pt>
                <c:pt idx="1433">
                  <c:v>2.83</c:v>
                </c:pt>
                <c:pt idx="1434">
                  <c:v>2.8149999999999999</c:v>
                </c:pt>
                <c:pt idx="1435">
                  <c:v>2.806</c:v>
                </c:pt>
                <c:pt idx="1436">
                  <c:v>2.7919999999999998</c:v>
                </c:pt>
                <c:pt idx="1437">
                  <c:v>2.7349999999999999</c:v>
                </c:pt>
                <c:pt idx="1438">
                  <c:v>2.7170000000000001</c:v>
                </c:pt>
                <c:pt idx="1439">
                  <c:v>2.7170000000000001</c:v>
                </c:pt>
                <c:pt idx="1440">
                  <c:v>2.7759999999999998</c:v>
                </c:pt>
                <c:pt idx="1441">
                  <c:v>2.9380000000000002</c:v>
                </c:pt>
                <c:pt idx="1442">
                  <c:v>2.9609999999999999</c:v>
                </c:pt>
                <c:pt idx="1443">
                  <c:v>3.0649999999999999</c:v>
                </c:pt>
                <c:pt idx="1444">
                  <c:v>3.1320000000000001</c:v>
                </c:pt>
                <c:pt idx="1445">
                  <c:v>3.1930000000000001</c:v>
                </c:pt>
                <c:pt idx="1446">
                  <c:v>3.24</c:v>
                </c:pt>
                <c:pt idx="1447">
                  <c:v>3.2549999999999999</c:v>
                </c:pt>
                <c:pt idx="1448">
                  <c:v>3.4369999999999998</c:v>
                </c:pt>
                <c:pt idx="1449">
                  <c:v>3.6</c:v>
                </c:pt>
                <c:pt idx="1450">
                  <c:v>3.6379999999999999</c:v>
                </c:pt>
                <c:pt idx="1451">
                  <c:v>3.72</c:v>
                </c:pt>
                <c:pt idx="1452">
                  <c:v>4.0780000000000003</c:v>
                </c:pt>
                <c:pt idx="1453">
                  <c:v>3.9729999999999999</c:v>
                </c:pt>
                <c:pt idx="1454">
                  <c:v>3.9239999999999999</c:v>
                </c:pt>
                <c:pt idx="1455">
                  <c:v>3.8149999999999999</c:v>
                </c:pt>
                <c:pt idx="1456">
                  <c:v>3.7839999999999998</c:v>
                </c:pt>
                <c:pt idx="1457">
                  <c:v>3.903</c:v>
                </c:pt>
                <c:pt idx="1458">
                  <c:v>3.88</c:v>
                </c:pt>
                <c:pt idx="1459">
                  <c:v>3.7839999999999998</c:v>
                </c:pt>
                <c:pt idx="1460">
                  <c:v>3.8090000000000002</c:v>
                </c:pt>
                <c:pt idx="1461">
                  <c:v>3.633</c:v>
                </c:pt>
                <c:pt idx="1462">
                  <c:v>3.5859999999999999</c:v>
                </c:pt>
                <c:pt idx="1463">
                  <c:v>3.57</c:v>
                </c:pt>
                <c:pt idx="1464">
                  <c:v>3.5009999999999999</c:v>
                </c:pt>
                <c:pt idx="1465">
                  <c:v>3.47</c:v>
                </c:pt>
                <c:pt idx="1466">
                  <c:v>3.4390000000000001</c:v>
                </c:pt>
                <c:pt idx="1467">
                  <c:v>3.633</c:v>
                </c:pt>
                <c:pt idx="1468">
                  <c:v>3.6549999999999998</c:v>
                </c:pt>
                <c:pt idx="1469">
                  <c:v>3.827</c:v>
                </c:pt>
                <c:pt idx="1470">
                  <c:v>3.8759999999999999</c:v>
                </c:pt>
                <c:pt idx="1471">
                  <c:v>3.9569999999999999</c:v>
                </c:pt>
                <c:pt idx="1472">
                  <c:v>3.9910000000000001</c:v>
                </c:pt>
                <c:pt idx="1473">
                  <c:v>3.9470000000000001</c:v>
                </c:pt>
                <c:pt idx="1474">
                  <c:v>3.798</c:v>
                </c:pt>
                <c:pt idx="1475">
                  <c:v>3.746</c:v>
                </c:pt>
                <c:pt idx="1476">
                  <c:v>3.5379999999999998</c:v>
                </c:pt>
                <c:pt idx="1477">
                  <c:v>3.698</c:v>
                </c:pt>
                <c:pt idx="1478">
                  <c:v>3.7719999999999998</c:v>
                </c:pt>
                <c:pt idx="1479">
                  <c:v>3.9209999999999998</c:v>
                </c:pt>
                <c:pt idx="1480">
                  <c:v>4.0270000000000001</c:v>
                </c:pt>
                <c:pt idx="1481">
                  <c:v>4.0289999999999999</c:v>
                </c:pt>
                <c:pt idx="1482">
                  <c:v>2.9540000000000002</c:v>
                </c:pt>
                <c:pt idx="1483">
                  <c:v>2.94</c:v>
                </c:pt>
                <c:pt idx="1484">
                  <c:v>2.919</c:v>
                </c:pt>
                <c:pt idx="1485">
                  <c:v>2.9380000000000002</c:v>
                </c:pt>
                <c:pt idx="1486">
                  <c:v>2.9569999999999999</c:v>
                </c:pt>
                <c:pt idx="1487">
                  <c:v>2.992</c:v>
                </c:pt>
                <c:pt idx="1488">
                  <c:v>3.0950000000000002</c:v>
                </c:pt>
                <c:pt idx="1489">
                  <c:v>3.0059999999999998</c:v>
                </c:pt>
                <c:pt idx="1490">
                  <c:v>2.972</c:v>
                </c:pt>
                <c:pt idx="1491">
                  <c:v>2.9580000000000002</c:v>
                </c:pt>
                <c:pt idx="1492">
                  <c:v>2.94</c:v>
                </c:pt>
                <c:pt idx="1493">
                  <c:v>2.9420000000000002</c:v>
                </c:pt>
                <c:pt idx="1494">
                  <c:v>2.86</c:v>
                </c:pt>
                <c:pt idx="1495">
                  <c:v>2.8370000000000002</c:v>
                </c:pt>
                <c:pt idx="1496">
                  <c:v>2.84</c:v>
                </c:pt>
                <c:pt idx="1497">
                  <c:v>2.903</c:v>
                </c:pt>
                <c:pt idx="1498">
                  <c:v>3.0489999999999999</c:v>
                </c:pt>
                <c:pt idx="1499">
                  <c:v>3.0649999999999999</c:v>
                </c:pt>
                <c:pt idx="1500">
                  <c:v>3.2</c:v>
                </c:pt>
                <c:pt idx="1501">
                  <c:v>3.2549999999999999</c:v>
                </c:pt>
                <c:pt idx="1502">
                  <c:v>3.351</c:v>
                </c:pt>
                <c:pt idx="1503">
                  <c:v>3.4</c:v>
                </c:pt>
                <c:pt idx="1504">
                  <c:v>3.4159999999999999</c:v>
                </c:pt>
                <c:pt idx="1505">
                  <c:v>3.605</c:v>
                </c:pt>
                <c:pt idx="1506">
                  <c:v>3.7519999999999998</c:v>
                </c:pt>
                <c:pt idx="1507">
                  <c:v>3.8109999999999999</c:v>
                </c:pt>
                <c:pt idx="1508">
                  <c:v>3.895</c:v>
                </c:pt>
                <c:pt idx="1509">
                  <c:v>4.1920000000000002</c:v>
                </c:pt>
                <c:pt idx="1510">
                  <c:v>4.069</c:v>
                </c:pt>
                <c:pt idx="1511">
                  <c:v>4.0250000000000004</c:v>
                </c:pt>
                <c:pt idx="1512">
                  <c:v>3.9159999999999999</c:v>
                </c:pt>
                <c:pt idx="1513">
                  <c:v>3.8860000000000001</c:v>
                </c:pt>
                <c:pt idx="1514">
                  <c:v>4.0199999999999996</c:v>
                </c:pt>
                <c:pt idx="1515">
                  <c:v>3.9950000000000001</c:v>
                </c:pt>
                <c:pt idx="1516">
                  <c:v>3.879</c:v>
                </c:pt>
                <c:pt idx="1517">
                  <c:v>3.93</c:v>
                </c:pt>
                <c:pt idx="1518">
                  <c:v>3.7749999999999999</c:v>
                </c:pt>
                <c:pt idx="1519">
                  <c:v>3.738</c:v>
                </c:pt>
                <c:pt idx="1520">
                  <c:v>3.7189999999999999</c:v>
                </c:pt>
                <c:pt idx="1521">
                  <c:v>3.6659999999999999</c:v>
                </c:pt>
                <c:pt idx="1522">
                  <c:v>3.6269999999999998</c:v>
                </c:pt>
                <c:pt idx="1523">
                  <c:v>3.585</c:v>
                </c:pt>
                <c:pt idx="1524">
                  <c:v>3.7959999999999998</c:v>
                </c:pt>
                <c:pt idx="1525">
                  <c:v>3.8260000000000001</c:v>
                </c:pt>
                <c:pt idx="1526">
                  <c:v>3.9830000000000001</c:v>
                </c:pt>
                <c:pt idx="1527">
                  <c:v>4.0209999999999999</c:v>
                </c:pt>
                <c:pt idx="1528">
                  <c:v>4.1429999999999998</c:v>
                </c:pt>
                <c:pt idx="1529">
                  <c:v>4.1239999999999997</c:v>
                </c:pt>
                <c:pt idx="1530">
                  <c:v>4.0549999999999997</c:v>
                </c:pt>
                <c:pt idx="1531">
                  <c:v>3.915</c:v>
                </c:pt>
                <c:pt idx="1532">
                  <c:v>3.871</c:v>
                </c:pt>
                <c:pt idx="1533">
                  <c:v>3.6459999999999999</c:v>
                </c:pt>
                <c:pt idx="1534">
                  <c:v>3.819</c:v>
                </c:pt>
                <c:pt idx="1535">
                  <c:v>3.863</c:v>
                </c:pt>
                <c:pt idx="1536">
                  <c:v>4.0759999999999996</c:v>
                </c:pt>
                <c:pt idx="1537">
                  <c:v>4.1509999999999998</c:v>
                </c:pt>
                <c:pt idx="1538">
                  <c:v>4.1859999999999999</c:v>
                </c:pt>
                <c:pt idx="1539">
                  <c:v>2.9620000000000002</c:v>
                </c:pt>
                <c:pt idx="1540">
                  <c:v>2.9460000000000002</c:v>
                </c:pt>
                <c:pt idx="1541">
                  <c:v>2.9870000000000001</c:v>
                </c:pt>
                <c:pt idx="1542">
                  <c:v>2.9249999999999998</c:v>
                </c:pt>
                <c:pt idx="1543">
                  <c:v>3.0859999999999999</c:v>
                </c:pt>
                <c:pt idx="1544">
                  <c:v>3.09</c:v>
                </c:pt>
                <c:pt idx="1545">
                  <c:v>3.1269999999999998</c:v>
                </c:pt>
                <c:pt idx="1546">
                  <c:v>2.9409999999999998</c:v>
                </c:pt>
                <c:pt idx="1547">
                  <c:v>2.9489999999999998</c:v>
                </c:pt>
                <c:pt idx="1548">
                  <c:v>3.105</c:v>
                </c:pt>
                <c:pt idx="1549">
                  <c:v>3.1</c:v>
                </c:pt>
                <c:pt idx="1550">
                  <c:v>3.1230000000000002</c:v>
                </c:pt>
                <c:pt idx="1551">
                  <c:v>3.0870000000000002</c:v>
                </c:pt>
                <c:pt idx="1552">
                  <c:v>3.044</c:v>
                </c:pt>
                <c:pt idx="1553">
                  <c:v>3.0009999999999999</c:v>
                </c:pt>
                <c:pt idx="1554">
                  <c:v>3.0129999999999999</c:v>
                </c:pt>
                <c:pt idx="1555">
                  <c:v>3.129</c:v>
                </c:pt>
                <c:pt idx="1556">
                  <c:v>3.13</c:v>
                </c:pt>
                <c:pt idx="1557">
                  <c:v>3.0409999999999999</c:v>
                </c:pt>
                <c:pt idx="1558">
                  <c:v>3.2029999999999998</c:v>
                </c:pt>
                <c:pt idx="1559">
                  <c:v>3.2869999999999999</c:v>
                </c:pt>
                <c:pt idx="1560">
                  <c:v>3.3479999999999999</c:v>
                </c:pt>
                <c:pt idx="1561">
                  <c:v>3.3809999999999998</c:v>
                </c:pt>
                <c:pt idx="1562">
                  <c:v>3.6739999999999999</c:v>
                </c:pt>
                <c:pt idx="1563">
                  <c:v>3.8180000000000001</c:v>
                </c:pt>
                <c:pt idx="1564">
                  <c:v>3.7719999999999998</c:v>
                </c:pt>
                <c:pt idx="1565">
                  <c:v>4.0030000000000001</c:v>
                </c:pt>
                <c:pt idx="1566">
                  <c:v>4.1929999999999996</c:v>
                </c:pt>
                <c:pt idx="1567">
                  <c:v>4.0309999999999997</c:v>
                </c:pt>
                <c:pt idx="1568">
                  <c:v>3.9809999999999999</c:v>
                </c:pt>
                <c:pt idx="1569">
                  <c:v>3.8420000000000001</c:v>
                </c:pt>
                <c:pt idx="1570">
                  <c:v>3.7050000000000001</c:v>
                </c:pt>
                <c:pt idx="1571">
                  <c:v>3.8029999999999999</c:v>
                </c:pt>
                <c:pt idx="1572">
                  <c:v>3.7010000000000001</c:v>
                </c:pt>
                <c:pt idx="1573">
                  <c:v>3.798</c:v>
                </c:pt>
                <c:pt idx="1574">
                  <c:v>3.9129999999999998</c:v>
                </c:pt>
                <c:pt idx="1575">
                  <c:v>3.827</c:v>
                </c:pt>
                <c:pt idx="1576">
                  <c:v>3.8279999999999998</c:v>
                </c:pt>
                <c:pt idx="1577">
                  <c:v>3.8239999999999998</c:v>
                </c:pt>
                <c:pt idx="1578">
                  <c:v>3.7010000000000001</c:v>
                </c:pt>
                <c:pt idx="1579">
                  <c:v>3.6440000000000001</c:v>
                </c:pt>
                <c:pt idx="1580">
                  <c:v>3.5990000000000002</c:v>
                </c:pt>
                <c:pt idx="1581">
                  <c:v>3.702</c:v>
                </c:pt>
                <c:pt idx="1582">
                  <c:v>3.722</c:v>
                </c:pt>
                <c:pt idx="1583">
                  <c:v>4.1779999999999999</c:v>
                </c:pt>
                <c:pt idx="1584">
                  <c:v>4.25</c:v>
                </c:pt>
                <c:pt idx="1585">
                  <c:v>4.1210000000000004</c:v>
                </c:pt>
                <c:pt idx="1586">
                  <c:v>4.1710000000000003</c:v>
                </c:pt>
                <c:pt idx="1587">
                  <c:v>4.1859999999999999</c:v>
                </c:pt>
                <c:pt idx="1588">
                  <c:v>4.2770000000000001</c:v>
                </c:pt>
                <c:pt idx="1589">
                  <c:v>4.1029999999999998</c:v>
                </c:pt>
                <c:pt idx="1590">
                  <c:v>3.7650000000000001</c:v>
                </c:pt>
                <c:pt idx="1591">
                  <c:v>3.76</c:v>
                </c:pt>
                <c:pt idx="1592">
                  <c:v>3.8109999999999999</c:v>
                </c:pt>
                <c:pt idx="1593">
                  <c:v>4.1239999999999997</c:v>
                </c:pt>
                <c:pt idx="1594">
                  <c:v>3.9660000000000002</c:v>
                </c:pt>
                <c:pt idx="1595">
                  <c:v>4.468</c:v>
                </c:pt>
                <c:pt idx="1596">
                  <c:v>2.7879999999999998</c:v>
                </c:pt>
                <c:pt idx="1597">
                  <c:v>2.7709999999999999</c:v>
                </c:pt>
                <c:pt idx="1598">
                  <c:v>2.766</c:v>
                </c:pt>
                <c:pt idx="1599">
                  <c:v>2.8050000000000002</c:v>
                </c:pt>
                <c:pt idx="1600">
                  <c:v>2.8260000000000001</c:v>
                </c:pt>
                <c:pt idx="1601">
                  <c:v>2.8490000000000002</c:v>
                </c:pt>
                <c:pt idx="1602">
                  <c:v>2.9809999999999999</c:v>
                </c:pt>
                <c:pt idx="1603">
                  <c:v>2.8570000000000002</c:v>
                </c:pt>
                <c:pt idx="1604">
                  <c:v>2.83</c:v>
                </c:pt>
                <c:pt idx="1605">
                  <c:v>2.8149999999999999</c:v>
                </c:pt>
                <c:pt idx="1606">
                  <c:v>2.806</c:v>
                </c:pt>
                <c:pt idx="1607">
                  <c:v>2.7919999999999998</c:v>
                </c:pt>
                <c:pt idx="1608">
                  <c:v>2.7349999999999999</c:v>
                </c:pt>
                <c:pt idx="1609">
                  <c:v>2.7170000000000001</c:v>
                </c:pt>
                <c:pt idx="1610">
                  <c:v>2.7170000000000001</c:v>
                </c:pt>
                <c:pt idx="1611">
                  <c:v>2.7759999999999998</c:v>
                </c:pt>
                <c:pt idx="1612">
                  <c:v>2.9380000000000002</c:v>
                </c:pt>
                <c:pt idx="1613">
                  <c:v>2.9609999999999999</c:v>
                </c:pt>
                <c:pt idx="1614">
                  <c:v>3.0649999999999999</c:v>
                </c:pt>
                <c:pt idx="1615">
                  <c:v>3.1320000000000001</c:v>
                </c:pt>
                <c:pt idx="1616">
                  <c:v>3.1930000000000001</c:v>
                </c:pt>
                <c:pt idx="1617">
                  <c:v>3.24</c:v>
                </c:pt>
                <c:pt idx="1618">
                  <c:v>3.2549999999999999</c:v>
                </c:pt>
                <c:pt idx="1619">
                  <c:v>3.4369999999999998</c:v>
                </c:pt>
                <c:pt idx="1620">
                  <c:v>3.6</c:v>
                </c:pt>
                <c:pt idx="1621">
                  <c:v>3.6379999999999999</c:v>
                </c:pt>
                <c:pt idx="1622">
                  <c:v>3.72</c:v>
                </c:pt>
                <c:pt idx="1623">
                  <c:v>4.0780000000000003</c:v>
                </c:pt>
                <c:pt idx="1624">
                  <c:v>3.9729999999999999</c:v>
                </c:pt>
                <c:pt idx="1625">
                  <c:v>3.9239999999999999</c:v>
                </c:pt>
                <c:pt idx="1626">
                  <c:v>3.8149999999999999</c:v>
                </c:pt>
                <c:pt idx="1627">
                  <c:v>3.7839999999999998</c:v>
                </c:pt>
                <c:pt idx="1628">
                  <c:v>3.903</c:v>
                </c:pt>
                <c:pt idx="1629">
                  <c:v>3.88</c:v>
                </c:pt>
                <c:pt idx="1630">
                  <c:v>3.7839999999999998</c:v>
                </c:pt>
                <c:pt idx="1631">
                  <c:v>3.8090000000000002</c:v>
                </c:pt>
                <c:pt idx="1632">
                  <c:v>3.633</c:v>
                </c:pt>
                <c:pt idx="1633">
                  <c:v>3.5859999999999999</c:v>
                </c:pt>
                <c:pt idx="1634">
                  <c:v>3.57</c:v>
                </c:pt>
                <c:pt idx="1635">
                  <c:v>3.5009999999999999</c:v>
                </c:pt>
                <c:pt idx="1636">
                  <c:v>3.47</c:v>
                </c:pt>
                <c:pt idx="1637">
                  <c:v>3.4390000000000001</c:v>
                </c:pt>
                <c:pt idx="1638">
                  <c:v>3.633</c:v>
                </c:pt>
                <c:pt idx="1639">
                  <c:v>3.6549999999999998</c:v>
                </c:pt>
                <c:pt idx="1640">
                  <c:v>3.827</c:v>
                </c:pt>
                <c:pt idx="1641">
                  <c:v>3.8759999999999999</c:v>
                </c:pt>
                <c:pt idx="1642">
                  <c:v>3.9569999999999999</c:v>
                </c:pt>
                <c:pt idx="1643">
                  <c:v>3.9910000000000001</c:v>
                </c:pt>
                <c:pt idx="1644">
                  <c:v>3.9470000000000001</c:v>
                </c:pt>
                <c:pt idx="1645">
                  <c:v>3.798</c:v>
                </c:pt>
                <c:pt idx="1646">
                  <c:v>3.746</c:v>
                </c:pt>
                <c:pt idx="1647">
                  <c:v>3.5379999999999998</c:v>
                </c:pt>
                <c:pt idx="1648">
                  <c:v>3.698</c:v>
                </c:pt>
                <c:pt idx="1649">
                  <c:v>3.7719999999999998</c:v>
                </c:pt>
                <c:pt idx="1650">
                  <c:v>3.9209999999999998</c:v>
                </c:pt>
                <c:pt idx="1651">
                  <c:v>4.0270000000000001</c:v>
                </c:pt>
                <c:pt idx="1652">
                  <c:v>4.0289999999999999</c:v>
                </c:pt>
                <c:pt idx="1653">
                  <c:v>2.5720000000000001</c:v>
                </c:pt>
                <c:pt idx="1654">
                  <c:v>2.548</c:v>
                </c:pt>
                <c:pt idx="1655">
                  <c:v>2.625</c:v>
                </c:pt>
                <c:pt idx="1656">
                  <c:v>2.6669999999999998</c:v>
                </c:pt>
                <c:pt idx="1657">
                  <c:v>2.7189999999999999</c:v>
                </c:pt>
                <c:pt idx="1658">
                  <c:v>2.77</c:v>
                </c:pt>
                <c:pt idx="1659">
                  <c:v>2.835</c:v>
                </c:pt>
                <c:pt idx="1660">
                  <c:v>2.7050000000000001</c:v>
                </c:pt>
                <c:pt idx="1661">
                  <c:v>2.6680000000000001</c:v>
                </c:pt>
                <c:pt idx="1662">
                  <c:v>2.669</c:v>
                </c:pt>
                <c:pt idx="1663">
                  <c:v>2.6419999999999999</c:v>
                </c:pt>
                <c:pt idx="1664">
                  <c:v>2.6269999999999998</c:v>
                </c:pt>
                <c:pt idx="1665">
                  <c:v>2.577</c:v>
                </c:pt>
                <c:pt idx="1666">
                  <c:v>2.5649999999999999</c:v>
                </c:pt>
                <c:pt idx="1667">
                  <c:v>2.6030000000000002</c:v>
                </c:pt>
                <c:pt idx="1668">
                  <c:v>2.633</c:v>
                </c:pt>
                <c:pt idx="1669">
                  <c:v>2.6890000000000001</c:v>
                </c:pt>
                <c:pt idx="1670">
                  <c:v>2.7280000000000002</c:v>
                </c:pt>
                <c:pt idx="1671">
                  <c:v>2.7080000000000002</c:v>
                </c:pt>
                <c:pt idx="1672">
                  <c:v>2.843</c:v>
                </c:pt>
                <c:pt idx="1673">
                  <c:v>2.976</c:v>
                </c:pt>
                <c:pt idx="1674">
                  <c:v>2.9889999999999999</c:v>
                </c:pt>
                <c:pt idx="1675">
                  <c:v>3.0219999999999998</c:v>
                </c:pt>
                <c:pt idx="1676">
                  <c:v>3.2879999999999998</c:v>
                </c:pt>
                <c:pt idx="1677">
                  <c:v>3.4590000000000001</c:v>
                </c:pt>
                <c:pt idx="1678">
                  <c:v>3.524</c:v>
                </c:pt>
                <c:pt idx="1679">
                  <c:v>3.6219999999999999</c:v>
                </c:pt>
                <c:pt idx="1680">
                  <c:v>3.9060000000000001</c:v>
                </c:pt>
                <c:pt idx="1681">
                  <c:v>3.6989999999999998</c:v>
                </c:pt>
                <c:pt idx="1682">
                  <c:v>3.6480000000000001</c:v>
                </c:pt>
                <c:pt idx="1683">
                  <c:v>3.524</c:v>
                </c:pt>
                <c:pt idx="1684">
                  <c:v>3.48</c:v>
                </c:pt>
                <c:pt idx="1685">
                  <c:v>3.6840000000000002</c:v>
                </c:pt>
                <c:pt idx="1686">
                  <c:v>3.6379999999999999</c:v>
                </c:pt>
                <c:pt idx="1687">
                  <c:v>3.5329999999999999</c:v>
                </c:pt>
                <c:pt idx="1688">
                  <c:v>3.5459999999999998</c:v>
                </c:pt>
                <c:pt idx="1689">
                  <c:v>3.2850000000000001</c:v>
                </c:pt>
                <c:pt idx="1690">
                  <c:v>3.3319999999999999</c:v>
                </c:pt>
                <c:pt idx="1691">
                  <c:v>3.2970000000000002</c:v>
                </c:pt>
                <c:pt idx="1692">
                  <c:v>3.1720000000000002</c:v>
                </c:pt>
                <c:pt idx="1693">
                  <c:v>3.1579999999999999</c:v>
                </c:pt>
                <c:pt idx="1694">
                  <c:v>3.157</c:v>
                </c:pt>
                <c:pt idx="1695">
                  <c:v>3.36</c:v>
                </c:pt>
                <c:pt idx="1696">
                  <c:v>3.4089999999999998</c:v>
                </c:pt>
                <c:pt idx="1697">
                  <c:v>3.63</c:v>
                </c:pt>
                <c:pt idx="1698">
                  <c:v>3.669</c:v>
                </c:pt>
                <c:pt idx="1699">
                  <c:v>3.891</c:v>
                </c:pt>
                <c:pt idx="1700">
                  <c:v>3.7490000000000001</c:v>
                </c:pt>
                <c:pt idx="1701">
                  <c:v>3.6880000000000002</c:v>
                </c:pt>
                <c:pt idx="1702">
                  <c:v>3.5009999999999999</c:v>
                </c:pt>
                <c:pt idx="1703">
                  <c:v>3.452</c:v>
                </c:pt>
                <c:pt idx="1704">
                  <c:v>3.2269999999999999</c:v>
                </c:pt>
                <c:pt idx="1705">
                  <c:v>3.4169999999999998</c:v>
                </c:pt>
                <c:pt idx="1706">
                  <c:v>3.4940000000000002</c:v>
                </c:pt>
                <c:pt idx="1707">
                  <c:v>3.73</c:v>
                </c:pt>
                <c:pt idx="1708">
                  <c:v>3.617</c:v>
                </c:pt>
                <c:pt idx="1709">
                  <c:v>3.601</c:v>
                </c:pt>
                <c:pt idx="1710">
                  <c:v>2.5720000000000001</c:v>
                </c:pt>
                <c:pt idx="1711">
                  <c:v>2.548</c:v>
                </c:pt>
                <c:pt idx="1712">
                  <c:v>2.625</c:v>
                </c:pt>
                <c:pt idx="1713">
                  <c:v>2.6669999999999998</c:v>
                </c:pt>
                <c:pt idx="1714">
                  <c:v>2.7189999999999999</c:v>
                </c:pt>
                <c:pt idx="1715">
                  <c:v>2.77</c:v>
                </c:pt>
                <c:pt idx="1716">
                  <c:v>2.835</c:v>
                </c:pt>
                <c:pt idx="1717">
                  <c:v>2.7050000000000001</c:v>
                </c:pt>
                <c:pt idx="1718">
                  <c:v>2.6680000000000001</c:v>
                </c:pt>
                <c:pt idx="1719">
                  <c:v>2.669</c:v>
                </c:pt>
                <c:pt idx="1720">
                  <c:v>2.6419999999999999</c:v>
                </c:pt>
                <c:pt idx="1721">
                  <c:v>2.6269999999999998</c:v>
                </c:pt>
                <c:pt idx="1722">
                  <c:v>2.577</c:v>
                </c:pt>
                <c:pt idx="1723">
                  <c:v>2.5649999999999999</c:v>
                </c:pt>
                <c:pt idx="1724">
                  <c:v>2.6030000000000002</c:v>
                </c:pt>
                <c:pt idx="1725">
                  <c:v>2.633</c:v>
                </c:pt>
                <c:pt idx="1726">
                  <c:v>2.6890000000000001</c:v>
                </c:pt>
                <c:pt idx="1727">
                  <c:v>2.7280000000000002</c:v>
                </c:pt>
                <c:pt idx="1728">
                  <c:v>2.7080000000000002</c:v>
                </c:pt>
                <c:pt idx="1729">
                  <c:v>2.843</c:v>
                </c:pt>
                <c:pt idx="1730">
                  <c:v>2.976</c:v>
                </c:pt>
                <c:pt idx="1731">
                  <c:v>2.9889999999999999</c:v>
                </c:pt>
                <c:pt idx="1732">
                  <c:v>3.0219999999999998</c:v>
                </c:pt>
                <c:pt idx="1733">
                  <c:v>3.2879999999999998</c:v>
                </c:pt>
                <c:pt idx="1734">
                  <c:v>3.4590000000000001</c:v>
                </c:pt>
                <c:pt idx="1735">
                  <c:v>3.524</c:v>
                </c:pt>
                <c:pt idx="1736">
                  <c:v>3.6219999999999999</c:v>
                </c:pt>
                <c:pt idx="1737">
                  <c:v>3.9060000000000001</c:v>
                </c:pt>
                <c:pt idx="1738">
                  <c:v>3.6989999999999998</c:v>
                </c:pt>
                <c:pt idx="1739">
                  <c:v>3.6480000000000001</c:v>
                </c:pt>
                <c:pt idx="1740">
                  <c:v>3.524</c:v>
                </c:pt>
                <c:pt idx="1741">
                  <c:v>3.48</c:v>
                </c:pt>
                <c:pt idx="1742">
                  <c:v>3.6840000000000002</c:v>
                </c:pt>
                <c:pt idx="1743">
                  <c:v>3.6379999999999999</c:v>
                </c:pt>
                <c:pt idx="1744">
                  <c:v>3.5329999999999999</c:v>
                </c:pt>
                <c:pt idx="1745">
                  <c:v>3.5459999999999998</c:v>
                </c:pt>
                <c:pt idx="1746">
                  <c:v>3.2850000000000001</c:v>
                </c:pt>
                <c:pt idx="1747">
                  <c:v>3.3319999999999999</c:v>
                </c:pt>
                <c:pt idx="1748">
                  <c:v>3.2970000000000002</c:v>
                </c:pt>
                <c:pt idx="1749">
                  <c:v>3.1720000000000002</c:v>
                </c:pt>
                <c:pt idx="1750">
                  <c:v>3.1579999999999999</c:v>
                </c:pt>
                <c:pt idx="1751">
                  <c:v>3.157</c:v>
                </c:pt>
                <c:pt idx="1752">
                  <c:v>3.36</c:v>
                </c:pt>
                <c:pt idx="1753">
                  <c:v>3.4089999999999998</c:v>
                </c:pt>
                <c:pt idx="1754">
                  <c:v>3.63</c:v>
                </c:pt>
                <c:pt idx="1755">
                  <c:v>3.669</c:v>
                </c:pt>
                <c:pt idx="1756">
                  <c:v>3.891</c:v>
                </c:pt>
                <c:pt idx="1757">
                  <c:v>3.7490000000000001</c:v>
                </c:pt>
                <c:pt idx="1758">
                  <c:v>3.6880000000000002</c:v>
                </c:pt>
                <c:pt idx="1759">
                  <c:v>3.5009999999999999</c:v>
                </c:pt>
                <c:pt idx="1760">
                  <c:v>3.452</c:v>
                </c:pt>
                <c:pt idx="1761">
                  <c:v>3.2269999999999999</c:v>
                </c:pt>
                <c:pt idx="1762">
                  <c:v>3.4169999999999998</c:v>
                </c:pt>
                <c:pt idx="1763">
                  <c:v>3.4940000000000002</c:v>
                </c:pt>
                <c:pt idx="1764">
                  <c:v>3.73</c:v>
                </c:pt>
                <c:pt idx="1765">
                  <c:v>3.617</c:v>
                </c:pt>
                <c:pt idx="1766">
                  <c:v>3.601</c:v>
                </c:pt>
                <c:pt idx="1767">
                  <c:v>2.58</c:v>
                </c:pt>
                <c:pt idx="1768">
                  <c:v>2.5720000000000001</c:v>
                </c:pt>
                <c:pt idx="1769">
                  <c:v>2.62</c:v>
                </c:pt>
                <c:pt idx="1770">
                  <c:v>2.6840000000000002</c:v>
                </c:pt>
                <c:pt idx="1771">
                  <c:v>2.7250000000000001</c:v>
                </c:pt>
                <c:pt idx="1772">
                  <c:v>2.75</c:v>
                </c:pt>
                <c:pt idx="1773">
                  <c:v>2.7709999999999999</c:v>
                </c:pt>
                <c:pt idx="1774">
                  <c:v>2.7</c:v>
                </c:pt>
                <c:pt idx="1775">
                  <c:v>2.6840000000000002</c:v>
                </c:pt>
                <c:pt idx="1776">
                  <c:v>2.7280000000000002</c:v>
                </c:pt>
                <c:pt idx="1777">
                  <c:v>2.7109999999999999</c:v>
                </c:pt>
                <c:pt idx="1778">
                  <c:v>2.69</c:v>
                </c:pt>
                <c:pt idx="1779">
                  <c:v>2.7730000000000001</c:v>
                </c:pt>
                <c:pt idx="1780">
                  <c:v>2.78</c:v>
                </c:pt>
                <c:pt idx="1781">
                  <c:v>2.7589999999999999</c:v>
                </c:pt>
                <c:pt idx="1782">
                  <c:v>2.7450000000000001</c:v>
                </c:pt>
                <c:pt idx="1783">
                  <c:v>2.7290000000000001</c:v>
                </c:pt>
                <c:pt idx="1784">
                  <c:v>2.7370000000000001</c:v>
                </c:pt>
                <c:pt idx="1785">
                  <c:v>2.7120000000000002</c:v>
                </c:pt>
                <c:pt idx="1786">
                  <c:v>2.7280000000000002</c:v>
                </c:pt>
                <c:pt idx="1787">
                  <c:v>2.8820000000000001</c:v>
                </c:pt>
                <c:pt idx="1788">
                  <c:v>3.0110000000000001</c:v>
                </c:pt>
                <c:pt idx="1789">
                  <c:v>3.0369999999999999</c:v>
                </c:pt>
                <c:pt idx="1790">
                  <c:v>3.2320000000000002</c:v>
                </c:pt>
                <c:pt idx="1791">
                  <c:v>3.3719999999999999</c:v>
                </c:pt>
                <c:pt idx="1792">
                  <c:v>3.4609999999999999</c:v>
                </c:pt>
                <c:pt idx="1793">
                  <c:v>3.532</c:v>
                </c:pt>
                <c:pt idx="1794">
                  <c:v>3.7349999999999999</c:v>
                </c:pt>
                <c:pt idx="1795">
                  <c:v>3.7629999999999999</c:v>
                </c:pt>
                <c:pt idx="1796">
                  <c:v>3.7349999999999999</c:v>
                </c:pt>
                <c:pt idx="1797">
                  <c:v>3.597</c:v>
                </c:pt>
                <c:pt idx="1798">
                  <c:v>3.54</c:v>
                </c:pt>
                <c:pt idx="1799">
                  <c:v>3.5539999999999998</c:v>
                </c:pt>
                <c:pt idx="1800">
                  <c:v>3.5419999999999998</c:v>
                </c:pt>
                <c:pt idx="1801">
                  <c:v>3.5110000000000001</c:v>
                </c:pt>
                <c:pt idx="1802">
                  <c:v>3.5659999999999998</c:v>
                </c:pt>
                <c:pt idx="1803">
                  <c:v>3.4980000000000002</c:v>
                </c:pt>
                <c:pt idx="1804">
                  <c:v>3.5270000000000001</c:v>
                </c:pt>
                <c:pt idx="1805">
                  <c:v>3.5049999999999999</c:v>
                </c:pt>
                <c:pt idx="1806">
                  <c:v>3.3780000000000001</c:v>
                </c:pt>
                <c:pt idx="1807">
                  <c:v>3.331</c:v>
                </c:pt>
                <c:pt idx="1808">
                  <c:v>3.0950000000000002</c:v>
                </c:pt>
                <c:pt idx="1809">
                  <c:v>3.0310000000000001</c:v>
                </c:pt>
                <c:pt idx="1810">
                  <c:v>3.1030000000000002</c:v>
                </c:pt>
                <c:pt idx="1811">
                  <c:v>3.1909999999999998</c:v>
                </c:pt>
                <c:pt idx="1812">
                  <c:v>3.286</c:v>
                </c:pt>
                <c:pt idx="1813">
                  <c:v>3.8540000000000001</c:v>
                </c:pt>
                <c:pt idx="1814">
                  <c:v>3.903</c:v>
                </c:pt>
                <c:pt idx="1815">
                  <c:v>3.87</c:v>
                </c:pt>
                <c:pt idx="1816">
                  <c:v>3.7639999999999998</c:v>
                </c:pt>
                <c:pt idx="1817">
                  <c:v>3.7410000000000001</c:v>
                </c:pt>
                <c:pt idx="1818">
                  <c:v>3.6459999999999999</c:v>
                </c:pt>
                <c:pt idx="1819">
                  <c:v>3.528</c:v>
                </c:pt>
                <c:pt idx="1820">
                  <c:v>3.5089999999999999</c:v>
                </c:pt>
                <c:pt idx="1821">
                  <c:v>3.5960000000000001</c:v>
                </c:pt>
                <c:pt idx="1822">
                  <c:v>3.7789999999999999</c:v>
                </c:pt>
                <c:pt idx="1823">
                  <c:v>3.76</c:v>
                </c:pt>
                <c:pt idx="1824">
                  <c:v>2.9620000000000002</c:v>
                </c:pt>
                <c:pt idx="1825">
                  <c:v>2.8279999999999998</c:v>
                </c:pt>
                <c:pt idx="1826">
                  <c:v>2.8769999999999998</c:v>
                </c:pt>
                <c:pt idx="1827">
                  <c:v>3.0339999999999998</c:v>
                </c:pt>
                <c:pt idx="1828">
                  <c:v>3.0859999999999999</c:v>
                </c:pt>
                <c:pt idx="1829">
                  <c:v>3.004</c:v>
                </c:pt>
                <c:pt idx="1830">
                  <c:v>3.1269999999999998</c:v>
                </c:pt>
                <c:pt idx="1831">
                  <c:v>2.9409999999999998</c:v>
                </c:pt>
                <c:pt idx="1832">
                  <c:v>3.0569999999999999</c:v>
                </c:pt>
                <c:pt idx="1833">
                  <c:v>2.9780000000000002</c:v>
                </c:pt>
                <c:pt idx="1834">
                  <c:v>3.1</c:v>
                </c:pt>
                <c:pt idx="1835">
                  <c:v>3.1230000000000002</c:v>
                </c:pt>
                <c:pt idx="1836">
                  <c:v>3.0870000000000002</c:v>
                </c:pt>
                <c:pt idx="1837">
                  <c:v>2.9609999999999999</c:v>
                </c:pt>
                <c:pt idx="1838">
                  <c:v>3.0009999999999999</c:v>
                </c:pt>
                <c:pt idx="1839">
                  <c:v>2.9239999999999999</c:v>
                </c:pt>
                <c:pt idx="1840">
                  <c:v>3.0089999999999999</c:v>
                </c:pt>
                <c:pt idx="1841">
                  <c:v>3.13</c:v>
                </c:pt>
                <c:pt idx="1842">
                  <c:v>3.0409999999999999</c:v>
                </c:pt>
                <c:pt idx="1843">
                  <c:v>3.0910000000000002</c:v>
                </c:pt>
                <c:pt idx="1844">
                  <c:v>3.2869999999999999</c:v>
                </c:pt>
                <c:pt idx="1845">
                  <c:v>3.3479999999999999</c:v>
                </c:pt>
                <c:pt idx="1846">
                  <c:v>3.3809999999999998</c:v>
                </c:pt>
                <c:pt idx="1847">
                  <c:v>3.6739999999999999</c:v>
                </c:pt>
                <c:pt idx="1848">
                  <c:v>3.63</c:v>
                </c:pt>
                <c:pt idx="1849">
                  <c:v>3.7719999999999998</c:v>
                </c:pt>
                <c:pt idx="1850">
                  <c:v>3.8180000000000001</c:v>
                </c:pt>
                <c:pt idx="1851">
                  <c:v>4.1929999999999996</c:v>
                </c:pt>
                <c:pt idx="1852">
                  <c:v>3.8929999999999998</c:v>
                </c:pt>
                <c:pt idx="1853">
                  <c:v>3.9809999999999999</c:v>
                </c:pt>
                <c:pt idx="1854">
                  <c:v>3.8420000000000001</c:v>
                </c:pt>
                <c:pt idx="1855">
                  <c:v>3.7930000000000001</c:v>
                </c:pt>
                <c:pt idx="1856">
                  <c:v>3.8029999999999999</c:v>
                </c:pt>
                <c:pt idx="1857">
                  <c:v>3.794</c:v>
                </c:pt>
                <c:pt idx="1858">
                  <c:v>3.798</c:v>
                </c:pt>
                <c:pt idx="1859">
                  <c:v>3.7709999999999999</c:v>
                </c:pt>
                <c:pt idx="1860">
                  <c:v>3.827</c:v>
                </c:pt>
                <c:pt idx="1861">
                  <c:v>3.8279999999999998</c:v>
                </c:pt>
                <c:pt idx="1862">
                  <c:v>3.677</c:v>
                </c:pt>
                <c:pt idx="1863">
                  <c:v>3.7010000000000001</c:v>
                </c:pt>
                <c:pt idx="1864">
                  <c:v>3.6440000000000001</c:v>
                </c:pt>
                <c:pt idx="1865">
                  <c:v>3.4430000000000001</c:v>
                </c:pt>
                <c:pt idx="1866">
                  <c:v>3.5430000000000001</c:v>
                </c:pt>
                <c:pt idx="1867">
                  <c:v>3.722</c:v>
                </c:pt>
                <c:pt idx="1868">
                  <c:v>3.8820000000000001</c:v>
                </c:pt>
                <c:pt idx="1869">
                  <c:v>3.9630000000000001</c:v>
                </c:pt>
                <c:pt idx="1870">
                  <c:v>4.282</c:v>
                </c:pt>
                <c:pt idx="1871">
                  <c:v>4.0579999999999998</c:v>
                </c:pt>
                <c:pt idx="1872">
                  <c:v>4.1859999999999999</c:v>
                </c:pt>
                <c:pt idx="1873">
                  <c:v>4.2770000000000001</c:v>
                </c:pt>
                <c:pt idx="1874">
                  <c:v>4.1029999999999998</c:v>
                </c:pt>
                <c:pt idx="1875">
                  <c:v>3.6659999999999999</c:v>
                </c:pt>
                <c:pt idx="1876">
                  <c:v>3.5950000000000002</c:v>
                </c:pt>
                <c:pt idx="1877">
                  <c:v>3.8109999999999999</c:v>
                </c:pt>
                <c:pt idx="1878">
                  <c:v>4.1239999999999997</c:v>
                </c:pt>
                <c:pt idx="1879">
                  <c:v>4.1319999999999997</c:v>
                </c:pt>
                <c:pt idx="1880">
                  <c:v>4.468</c:v>
                </c:pt>
                <c:pt idx="1881">
                  <c:v>2.5979999999999999</c:v>
                </c:pt>
                <c:pt idx="1882">
                  <c:v>2.573</c:v>
                </c:pt>
                <c:pt idx="1883">
                  <c:v>2.6539999999999999</c:v>
                </c:pt>
                <c:pt idx="1884">
                  <c:v>2.7040000000000002</c:v>
                </c:pt>
                <c:pt idx="1885">
                  <c:v>2.74</c:v>
                </c:pt>
                <c:pt idx="1886">
                  <c:v>2.7730000000000001</c:v>
                </c:pt>
                <c:pt idx="1887">
                  <c:v>2.8359999999999999</c:v>
                </c:pt>
                <c:pt idx="1888">
                  <c:v>2.7010000000000001</c:v>
                </c:pt>
                <c:pt idx="1889">
                  <c:v>2.6680000000000001</c:v>
                </c:pt>
                <c:pt idx="1890">
                  <c:v>2.6680000000000001</c:v>
                </c:pt>
                <c:pt idx="1891">
                  <c:v>2.637</c:v>
                </c:pt>
                <c:pt idx="1892">
                  <c:v>2.64</c:v>
                </c:pt>
                <c:pt idx="1893">
                  <c:v>2.5840000000000001</c:v>
                </c:pt>
                <c:pt idx="1894">
                  <c:v>2.5739999999999998</c:v>
                </c:pt>
                <c:pt idx="1895">
                  <c:v>2.6190000000000002</c:v>
                </c:pt>
                <c:pt idx="1896">
                  <c:v>2.645</c:v>
                </c:pt>
                <c:pt idx="1897">
                  <c:v>2.6989999999999998</c:v>
                </c:pt>
                <c:pt idx="1898">
                  <c:v>2.7410000000000001</c:v>
                </c:pt>
                <c:pt idx="1899">
                  <c:v>2.7269999999999999</c:v>
                </c:pt>
                <c:pt idx="1900">
                  <c:v>2.86</c:v>
                </c:pt>
                <c:pt idx="1901">
                  <c:v>2.98</c:v>
                </c:pt>
                <c:pt idx="1902">
                  <c:v>2.996</c:v>
                </c:pt>
                <c:pt idx="1903">
                  <c:v>3.0329999999999999</c:v>
                </c:pt>
                <c:pt idx="1904">
                  <c:v>3.3050000000000002</c:v>
                </c:pt>
                <c:pt idx="1905">
                  <c:v>3.4609999999999999</c:v>
                </c:pt>
                <c:pt idx="1906">
                  <c:v>3.5209999999999999</c:v>
                </c:pt>
                <c:pt idx="1907">
                  <c:v>3.605</c:v>
                </c:pt>
                <c:pt idx="1908">
                  <c:v>3.8660000000000001</c:v>
                </c:pt>
                <c:pt idx="1909">
                  <c:v>3.6829999999999998</c:v>
                </c:pt>
                <c:pt idx="1910">
                  <c:v>3.64</c:v>
                </c:pt>
                <c:pt idx="1911">
                  <c:v>3.504</c:v>
                </c:pt>
                <c:pt idx="1912">
                  <c:v>3.4689999999999999</c:v>
                </c:pt>
                <c:pt idx="1913">
                  <c:v>3.6619999999999999</c:v>
                </c:pt>
                <c:pt idx="1914">
                  <c:v>3.617</c:v>
                </c:pt>
                <c:pt idx="1915">
                  <c:v>3.5329999999999999</c:v>
                </c:pt>
                <c:pt idx="1916">
                  <c:v>3.5539999999999998</c:v>
                </c:pt>
                <c:pt idx="1917">
                  <c:v>3.2989999999999999</c:v>
                </c:pt>
                <c:pt idx="1918">
                  <c:v>3.3220000000000001</c:v>
                </c:pt>
                <c:pt idx="1919">
                  <c:v>3.286</c:v>
                </c:pt>
                <c:pt idx="1920">
                  <c:v>3.1760000000000002</c:v>
                </c:pt>
                <c:pt idx="1921">
                  <c:v>3.153</c:v>
                </c:pt>
                <c:pt idx="1922">
                  <c:v>3.1579999999999999</c:v>
                </c:pt>
                <c:pt idx="1923">
                  <c:v>3.3540000000000001</c:v>
                </c:pt>
                <c:pt idx="1924">
                  <c:v>3.411</c:v>
                </c:pt>
                <c:pt idx="1925">
                  <c:v>3.6190000000000002</c:v>
                </c:pt>
                <c:pt idx="1926">
                  <c:v>3.6669999999999998</c:v>
                </c:pt>
                <c:pt idx="1927">
                  <c:v>3.8639999999999999</c:v>
                </c:pt>
                <c:pt idx="1928">
                  <c:v>3.7469999999999999</c:v>
                </c:pt>
                <c:pt idx="1929">
                  <c:v>3.6850000000000001</c:v>
                </c:pt>
                <c:pt idx="1930">
                  <c:v>3.4830000000000001</c:v>
                </c:pt>
                <c:pt idx="1931">
                  <c:v>3.4329999999999998</c:v>
                </c:pt>
                <c:pt idx="1932">
                  <c:v>3.1869999999999998</c:v>
                </c:pt>
                <c:pt idx="1933">
                  <c:v>3.3740000000000001</c:v>
                </c:pt>
                <c:pt idx="1934">
                  <c:v>3.476</c:v>
                </c:pt>
                <c:pt idx="1935">
                  <c:v>3.7090000000000001</c:v>
                </c:pt>
                <c:pt idx="1936">
                  <c:v>3.62</c:v>
                </c:pt>
                <c:pt idx="1937">
                  <c:v>3.6030000000000002</c:v>
                </c:pt>
                <c:pt idx="1938">
                  <c:v>2.7839999999999998</c:v>
                </c:pt>
                <c:pt idx="1939">
                  <c:v>2.7730000000000001</c:v>
                </c:pt>
                <c:pt idx="1940">
                  <c:v>2.7770000000000001</c:v>
                </c:pt>
                <c:pt idx="1941">
                  <c:v>2.8180000000000001</c:v>
                </c:pt>
                <c:pt idx="1942">
                  <c:v>2.85</c:v>
                </c:pt>
                <c:pt idx="1943">
                  <c:v>2.8690000000000002</c:v>
                </c:pt>
                <c:pt idx="1944">
                  <c:v>2.9660000000000002</c:v>
                </c:pt>
                <c:pt idx="1945">
                  <c:v>2.847</c:v>
                </c:pt>
                <c:pt idx="1946">
                  <c:v>2.8090000000000002</c:v>
                </c:pt>
                <c:pt idx="1947">
                  <c:v>2.8149999999999999</c:v>
                </c:pt>
                <c:pt idx="1948">
                  <c:v>2.7930000000000001</c:v>
                </c:pt>
                <c:pt idx="1949">
                  <c:v>2.7839999999999998</c:v>
                </c:pt>
                <c:pt idx="1950">
                  <c:v>2.7149999999999999</c:v>
                </c:pt>
                <c:pt idx="1951">
                  <c:v>2.6989999999999998</c:v>
                </c:pt>
                <c:pt idx="1952">
                  <c:v>2.7069999999999999</c:v>
                </c:pt>
                <c:pt idx="1953">
                  <c:v>2.7639999999999998</c:v>
                </c:pt>
                <c:pt idx="1954">
                  <c:v>2.9169999999999998</c:v>
                </c:pt>
                <c:pt idx="1955">
                  <c:v>2.931</c:v>
                </c:pt>
                <c:pt idx="1956">
                  <c:v>3.0459999999999998</c:v>
                </c:pt>
                <c:pt idx="1957">
                  <c:v>3.109</c:v>
                </c:pt>
                <c:pt idx="1958">
                  <c:v>3.1930000000000001</c:v>
                </c:pt>
                <c:pt idx="1959">
                  <c:v>3.2309999999999999</c:v>
                </c:pt>
                <c:pt idx="1960">
                  <c:v>3.2389999999999999</c:v>
                </c:pt>
                <c:pt idx="1961">
                  <c:v>3.4329999999999998</c:v>
                </c:pt>
                <c:pt idx="1962">
                  <c:v>3.5819999999999999</c:v>
                </c:pt>
                <c:pt idx="1963">
                  <c:v>3.6379999999999999</c:v>
                </c:pt>
                <c:pt idx="1964">
                  <c:v>3.72</c:v>
                </c:pt>
                <c:pt idx="1965">
                  <c:v>4.0460000000000003</c:v>
                </c:pt>
                <c:pt idx="1966">
                  <c:v>3.9220000000000002</c:v>
                </c:pt>
                <c:pt idx="1967">
                  <c:v>3.8809999999999998</c:v>
                </c:pt>
                <c:pt idx="1968">
                  <c:v>3.7480000000000002</c:v>
                </c:pt>
                <c:pt idx="1969">
                  <c:v>3.7109999999999999</c:v>
                </c:pt>
                <c:pt idx="1970">
                  <c:v>3.8420000000000001</c:v>
                </c:pt>
                <c:pt idx="1971">
                  <c:v>3.8119999999999998</c:v>
                </c:pt>
                <c:pt idx="1972">
                  <c:v>3.7029999999999998</c:v>
                </c:pt>
                <c:pt idx="1973">
                  <c:v>3.738</c:v>
                </c:pt>
                <c:pt idx="1974">
                  <c:v>3.5830000000000002</c:v>
                </c:pt>
                <c:pt idx="1975">
                  <c:v>3.5510000000000002</c:v>
                </c:pt>
                <c:pt idx="1976">
                  <c:v>3.53</c:v>
                </c:pt>
                <c:pt idx="1977">
                  <c:v>3.452</c:v>
                </c:pt>
                <c:pt idx="1978">
                  <c:v>3.415</c:v>
                </c:pt>
                <c:pt idx="1979">
                  <c:v>3.4220000000000002</c:v>
                </c:pt>
                <c:pt idx="1980">
                  <c:v>3.617</c:v>
                </c:pt>
                <c:pt idx="1981">
                  <c:v>3.64</c:v>
                </c:pt>
                <c:pt idx="1982">
                  <c:v>3.8159999999999998</c:v>
                </c:pt>
                <c:pt idx="1983">
                  <c:v>3.8479999999999999</c:v>
                </c:pt>
                <c:pt idx="1984">
                  <c:v>3.996</c:v>
                </c:pt>
                <c:pt idx="1985">
                  <c:v>3.9510000000000001</c:v>
                </c:pt>
                <c:pt idx="1986">
                  <c:v>3.8889999999999998</c:v>
                </c:pt>
                <c:pt idx="1987">
                  <c:v>3.742</c:v>
                </c:pt>
                <c:pt idx="1988">
                  <c:v>3.6890000000000001</c:v>
                </c:pt>
                <c:pt idx="1989">
                  <c:v>3.4750000000000001</c:v>
                </c:pt>
                <c:pt idx="1990">
                  <c:v>3.6539999999999999</c:v>
                </c:pt>
                <c:pt idx="1991">
                  <c:v>3.722</c:v>
                </c:pt>
                <c:pt idx="1992">
                  <c:v>3.911</c:v>
                </c:pt>
                <c:pt idx="1993">
                  <c:v>3.9849999999999999</c:v>
                </c:pt>
                <c:pt idx="1994">
                  <c:v>4</c:v>
                </c:pt>
                <c:pt idx="1995">
                  <c:v>2.5449999999999999</c:v>
                </c:pt>
                <c:pt idx="1996">
                  <c:v>2.5390000000000001</c:v>
                </c:pt>
                <c:pt idx="1997">
                  <c:v>2.5739999999999998</c:v>
                </c:pt>
                <c:pt idx="1998">
                  <c:v>2.6190000000000002</c:v>
                </c:pt>
                <c:pt idx="1999">
                  <c:v>2.7080000000000002</c:v>
                </c:pt>
                <c:pt idx="2000">
                  <c:v>2.7429999999999999</c:v>
                </c:pt>
                <c:pt idx="2001">
                  <c:v>2.786</c:v>
                </c:pt>
                <c:pt idx="2002">
                  <c:v>2.6640000000000001</c:v>
                </c:pt>
                <c:pt idx="2003">
                  <c:v>2.6150000000000002</c:v>
                </c:pt>
                <c:pt idx="2004">
                  <c:v>2.6059999999999999</c:v>
                </c:pt>
                <c:pt idx="2005">
                  <c:v>2.5960000000000001</c:v>
                </c:pt>
                <c:pt idx="2006">
                  <c:v>2.573</c:v>
                </c:pt>
                <c:pt idx="2007">
                  <c:v>2.5329999999999999</c:v>
                </c:pt>
                <c:pt idx="2008">
                  <c:v>2.5129999999999999</c:v>
                </c:pt>
                <c:pt idx="2009">
                  <c:v>2.5670000000000002</c:v>
                </c:pt>
                <c:pt idx="2010">
                  <c:v>2.5950000000000002</c:v>
                </c:pt>
                <c:pt idx="2011">
                  <c:v>2.6549999999999998</c:v>
                </c:pt>
                <c:pt idx="2012">
                  <c:v>2.7050000000000001</c:v>
                </c:pt>
                <c:pt idx="2013">
                  <c:v>2.694</c:v>
                </c:pt>
                <c:pt idx="2014">
                  <c:v>2.8130000000000002</c:v>
                </c:pt>
                <c:pt idx="2015">
                  <c:v>2.9420000000000002</c:v>
                </c:pt>
                <c:pt idx="2016">
                  <c:v>2.98</c:v>
                </c:pt>
                <c:pt idx="2017">
                  <c:v>3.0089999999999999</c:v>
                </c:pt>
                <c:pt idx="2018">
                  <c:v>3.282</c:v>
                </c:pt>
                <c:pt idx="2019">
                  <c:v>3.448</c:v>
                </c:pt>
                <c:pt idx="2020">
                  <c:v>3.5289999999999999</c:v>
                </c:pt>
                <c:pt idx="2021">
                  <c:v>3.645</c:v>
                </c:pt>
                <c:pt idx="2022">
                  <c:v>3.9169999999999998</c:v>
                </c:pt>
                <c:pt idx="2023">
                  <c:v>3.69</c:v>
                </c:pt>
                <c:pt idx="2024">
                  <c:v>3.633</c:v>
                </c:pt>
                <c:pt idx="2025">
                  <c:v>3.5019999999999998</c:v>
                </c:pt>
                <c:pt idx="2026">
                  <c:v>3.44</c:v>
                </c:pt>
                <c:pt idx="2027">
                  <c:v>3.6520000000000001</c:v>
                </c:pt>
                <c:pt idx="2028">
                  <c:v>3.6080000000000001</c:v>
                </c:pt>
                <c:pt idx="2029">
                  <c:v>3.4809999999999999</c:v>
                </c:pt>
                <c:pt idx="2030">
                  <c:v>3.4990000000000001</c:v>
                </c:pt>
                <c:pt idx="2031">
                  <c:v>3.262</c:v>
                </c:pt>
                <c:pt idx="2032">
                  <c:v>3.2869999999999999</c:v>
                </c:pt>
                <c:pt idx="2033">
                  <c:v>3.254</c:v>
                </c:pt>
                <c:pt idx="2034">
                  <c:v>3.1640000000000001</c:v>
                </c:pt>
                <c:pt idx="2035">
                  <c:v>3.1469999999999998</c:v>
                </c:pt>
                <c:pt idx="2036">
                  <c:v>3.129</c:v>
                </c:pt>
                <c:pt idx="2037">
                  <c:v>3.4209999999999998</c:v>
                </c:pt>
                <c:pt idx="2038">
                  <c:v>3.4620000000000002</c:v>
                </c:pt>
                <c:pt idx="2039">
                  <c:v>3.6190000000000002</c:v>
                </c:pt>
                <c:pt idx="2040">
                  <c:v>3.6469999999999998</c:v>
                </c:pt>
                <c:pt idx="2041">
                  <c:v>3.9340000000000002</c:v>
                </c:pt>
                <c:pt idx="2042">
                  <c:v>3.835</c:v>
                </c:pt>
                <c:pt idx="2043">
                  <c:v>3.7639999999999998</c:v>
                </c:pt>
                <c:pt idx="2044">
                  <c:v>3.5670000000000002</c:v>
                </c:pt>
                <c:pt idx="2045">
                  <c:v>3.5129999999999999</c:v>
                </c:pt>
                <c:pt idx="2046">
                  <c:v>3.2320000000000002</c:v>
                </c:pt>
                <c:pt idx="2047">
                  <c:v>3.4039999999999999</c:v>
                </c:pt>
                <c:pt idx="2048">
                  <c:v>3.49</c:v>
                </c:pt>
                <c:pt idx="2049">
                  <c:v>3.6970000000000001</c:v>
                </c:pt>
                <c:pt idx="2050">
                  <c:v>3.6110000000000002</c:v>
                </c:pt>
                <c:pt idx="2051">
                  <c:v>3.5760000000000001</c:v>
                </c:pt>
                <c:pt idx="2052">
                  <c:v>2.5720000000000001</c:v>
                </c:pt>
                <c:pt idx="2053">
                  <c:v>2.548</c:v>
                </c:pt>
                <c:pt idx="2054">
                  <c:v>2.625</c:v>
                </c:pt>
                <c:pt idx="2055">
                  <c:v>2.6669999999999998</c:v>
                </c:pt>
                <c:pt idx="2056">
                  <c:v>2.7189999999999999</c:v>
                </c:pt>
                <c:pt idx="2057">
                  <c:v>2.77</c:v>
                </c:pt>
                <c:pt idx="2058">
                  <c:v>2.835</c:v>
                </c:pt>
                <c:pt idx="2059">
                  <c:v>2.7050000000000001</c:v>
                </c:pt>
                <c:pt idx="2060">
                  <c:v>2.6680000000000001</c:v>
                </c:pt>
                <c:pt idx="2061">
                  <c:v>2.669</c:v>
                </c:pt>
                <c:pt idx="2062">
                  <c:v>2.6419999999999999</c:v>
                </c:pt>
                <c:pt idx="2063">
                  <c:v>2.6269999999999998</c:v>
                </c:pt>
                <c:pt idx="2064">
                  <c:v>2.577</c:v>
                </c:pt>
                <c:pt idx="2065">
                  <c:v>2.5649999999999999</c:v>
                </c:pt>
                <c:pt idx="2066">
                  <c:v>2.6030000000000002</c:v>
                </c:pt>
                <c:pt idx="2067">
                  <c:v>2.633</c:v>
                </c:pt>
                <c:pt idx="2068">
                  <c:v>2.6890000000000001</c:v>
                </c:pt>
                <c:pt idx="2069">
                  <c:v>2.7280000000000002</c:v>
                </c:pt>
                <c:pt idx="2070">
                  <c:v>2.7080000000000002</c:v>
                </c:pt>
                <c:pt idx="2071">
                  <c:v>2.843</c:v>
                </c:pt>
                <c:pt idx="2072">
                  <c:v>2.976</c:v>
                </c:pt>
                <c:pt idx="2073">
                  <c:v>2.9889999999999999</c:v>
                </c:pt>
                <c:pt idx="2074">
                  <c:v>3.0219999999999998</c:v>
                </c:pt>
                <c:pt idx="2075">
                  <c:v>3.2879999999999998</c:v>
                </c:pt>
                <c:pt idx="2076">
                  <c:v>3.4590000000000001</c:v>
                </c:pt>
                <c:pt idx="2077">
                  <c:v>3.524</c:v>
                </c:pt>
                <c:pt idx="2078">
                  <c:v>3.6219999999999999</c:v>
                </c:pt>
                <c:pt idx="2079">
                  <c:v>3.9060000000000001</c:v>
                </c:pt>
                <c:pt idx="2080">
                  <c:v>3.6989999999999998</c:v>
                </c:pt>
                <c:pt idx="2081">
                  <c:v>3.6480000000000001</c:v>
                </c:pt>
                <c:pt idx="2082">
                  <c:v>3.524</c:v>
                </c:pt>
                <c:pt idx="2083">
                  <c:v>3.48</c:v>
                </c:pt>
                <c:pt idx="2084">
                  <c:v>3.6840000000000002</c:v>
                </c:pt>
                <c:pt idx="2085">
                  <c:v>3.6379999999999999</c:v>
                </c:pt>
                <c:pt idx="2086">
                  <c:v>3.5329999999999999</c:v>
                </c:pt>
                <c:pt idx="2087">
                  <c:v>3.5459999999999998</c:v>
                </c:pt>
                <c:pt idx="2088">
                  <c:v>3.2850000000000001</c:v>
                </c:pt>
                <c:pt idx="2089">
                  <c:v>3.3319999999999999</c:v>
                </c:pt>
                <c:pt idx="2090">
                  <c:v>3.2970000000000002</c:v>
                </c:pt>
                <c:pt idx="2091">
                  <c:v>3.1720000000000002</c:v>
                </c:pt>
                <c:pt idx="2092">
                  <c:v>3.1579999999999999</c:v>
                </c:pt>
                <c:pt idx="2093">
                  <c:v>3.157</c:v>
                </c:pt>
                <c:pt idx="2094">
                  <c:v>3.36</c:v>
                </c:pt>
                <c:pt idx="2095">
                  <c:v>3.4089999999999998</c:v>
                </c:pt>
                <c:pt idx="2096">
                  <c:v>3.63</c:v>
                </c:pt>
                <c:pt idx="2097">
                  <c:v>3.669</c:v>
                </c:pt>
                <c:pt idx="2098">
                  <c:v>3.891</c:v>
                </c:pt>
                <c:pt idx="2099">
                  <c:v>3.7490000000000001</c:v>
                </c:pt>
                <c:pt idx="2100">
                  <c:v>3.6880000000000002</c:v>
                </c:pt>
                <c:pt idx="2101">
                  <c:v>3.5009999999999999</c:v>
                </c:pt>
                <c:pt idx="2102">
                  <c:v>3.452</c:v>
                </c:pt>
                <c:pt idx="2103">
                  <c:v>3.2269999999999999</c:v>
                </c:pt>
                <c:pt idx="2104">
                  <c:v>3.4169999999999998</c:v>
                </c:pt>
                <c:pt idx="2105">
                  <c:v>3.4940000000000002</c:v>
                </c:pt>
                <c:pt idx="2106">
                  <c:v>3.73</c:v>
                </c:pt>
                <c:pt idx="2107">
                  <c:v>3.617</c:v>
                </c:pt>
                <c:pt idx="2108">
                  <c:v>3.601</c:v>
                </c:pt>
                <c:pt idx="2109">
                  <c:v>2.9620000000000002</c:v>
                </c:pt>
                <c:pt idx="2110">
                  <c:v>2.9460000000000002</c:v>
                </c:pt>
                <c:pt idx="2111">
                  <c:v>2.9870000000000001</c:v>
                </c:pt>
                <c:pt idx="2112">
                  <c:v>2.9249999999999998</c:v>
                </c:pt>
                <c:pt idx="2113">
                  <c:v>3.0859999999999999</c:v>
                </c:pt>
                <c:pt idx="2114">
                  <c:v>3.09</c:v>
                </c:pt>
                <c:pt idx="2115">
                  <c:v>3.1269999999999998</c:v>
                </c:pt>
                <c:pt idx="2116">
                  <c:v>2.9409999999999998</c:v>
                </c:pt>
                <c:pt idx="2117">
                  <c:v>2.9489999999999998</c:v>
                </c:pt>
                <c:pt idx="2118">
                  <c:v>3.105</c:v>
                </c:pt>
                <c:pt idx="2119">
                  <c:v>3.1</c:v>
                </c:pt>
                <c:pt idx="2120">
                  <c:v>3.1230000000000002</c:v>
                </c:pt>
                <c:pt idx="2121">
                  <c:v>3.0870000000000002</c:v>
                </c:pt>
                <c:pt idx="2122">
                  <c:v>3.044</c:v>
                </c:pt>
                <c:pt idx="2123">
                  <c:v>3.0009999999999999</c:v>
                </c:pt>
                <c:pt idx="2124">
                  <c:v>3.0129999999999999</c:v>
                </c:pt>
                <c:pt idx="2125">
                  <c:v>3.129</c:v>
                </c:pt>
                <c:pt idx="2126">
                  <c:v>3.13</c:v>
                </c:pt>
                <c:pt idx="2127">
                  <c:v>3.0409999999999999</c:v>
                </c:pt>
                <c:pt idx="2128">
                  <c:v>3.2029999999999998</c:v>
                </c:pt>
                <c:pt idx="2129">
                  <c:v>3.2869999999999999</c:v>
                </c:pt>
                <c:pt idx="2130">
                  <c:v>3.3479999999999999</c:v>
                </c:pt>
                <c:pt idx="2131">
                  <c:v>3.3809999999999998</c:v>
                </c:pt>
                <c:pt idx="2132">
                  <c:v>3.6739999999999999</c:v>
                </c:pt>
                <c:pt idx="2133">
                  <c:v>3.8180000000000001</c:v>
                </c:pt>
                <c:pt idx="2134">
                  <c:v>3.7719999999999998</c:v>
                </c:pt>
                <c:pt idx="2135">
                  <c:v>4.0030000000000001</c:v>
                </c:pt>
                <c:pt idx="2136">
                  <c:v>4.1929999999999996</c:v>
                </c:pt>
                <c:pt idx="2137">
                  <c:v>4.0309999999999997</c:v>
                </c:pt>
                <c:pt idx="2138">
                  <c:v>3.9809999999999999</c:v>
                </c:pt>
                <c:pt idx="2139">
                  <c:v>3.8420000000000001</c:v>
                </c:pt>
                <c:pt idx="2140">
                  <c:v>3.7050000000000001</c:v>
                </c:pt>
                <c:pt idx="2141">
                  <c:v>3.8029999999999999</c:v>
                </c:pt>
                <c:pt idx="2142">
                  <c:v>3.7010000000000001</c:v>
                </c:pt>
                <c:pt idx="2143">
                  <c:v>3.798</c:v>
                </c:pt>
                <c:pt idx="2144">
                  <c:v>3.9129999999999998</c:v>
                </c:pt>
                <c:pt idx="2145">
                  <c:v>3.827</c:v>
                </c:pt>
                <c:pt idx="2146">
                  <c:v>3.8279999999999998</c:v>
                </c:pt>
                <c:pt idx="2147">
                  <c:v>3.8239999999999998</c:v>
                </c:pt>
                <c:pt idx="2148">
                  <c:v>3.7010000000000001</c:v>
                </c:pt>
                <c:pt idx="2149">
                  <c:v>3.6440000000000001</c:v>
                </c:pt>
                <c:pt idx="2150">
                  <c:v>3.5990000000000002</c:v>
                </c:pt>
                <c:pt idx="2151">
                  <c:v>3.702</c:v>
                </c:pt>
                <c:pt idx="2152">
                  <c:v>3.722</c:v>
                </c:pt>
                <c:pt idx="2153">
                  <c:v>4.1779999999999999</c:v>
                </c:pt>
                <c:pt idx="2154">
                  <c:v>4.25</c:v>
                </c:pt>
                <c:pt idx="2155">
                  <c:v>4.1210000000000004</c:v>
                </c:pt>
                <c:pt idx="2156">
                  <c:v>4.1710000000000003</c:v>
                </c:pt>
                <c:pt idx="2157">
                  <c:v>4.1859999999999999</c:v>
                </c:pt>
                <c:pt idx="2158">
                  <c:v>4.2770000000000001</c:v>
                </c:pt>
                <c:pt idx="2159">
                  <c:v>4.1029999999999998</c:v>
                </c:pt>
                <c:pt idx="2160">
                  <c:v>3.7650000000000001</c:v>
                </c:pt>
                <c:pt idx="2161">
                  <c:v>3.76</c:v>
                </c:pt>
                <c:pt idx="2162">
                  <c:v>3.8109999999999999</c:v>
                </c:pt>
                <c:pt idx="2163">
                  <c:v>4.1239999999999997</c:v>
                </c:pt>
                <c:pt idx="2164">
                  <c:v>3.9660000000000002</c:v>
                </c:pt>
                <c:pt idx="2165">
                  <c:v>4.468</c:v>
                </c:pt>
                <c:pt idx="2166">
                  <c:v>2.5720000000000001</c:v>
                </c:pt>
                <c:pt idx="2167">
                  <c:v>2.548</c:v>
                </c:pt>
                <c:pt idx="2168">
                  <c:v>2.625</c:v>
                </c:pt>
                <c:pt idx="2169">
                  <c:v>2.6669999999999998</c:v>
                </c:pt>
                <c:pt idx="2170">
                  <c:v>2.7189999999999999</c:v>
                </c:pt>
                <c:pt idx="2171">
                  <c:v>2.77</c:v>
                </c:pt>
                <c:pt idx="2172">
                  <c:v>2.835</c:v>
                </c:pt>
                <c:pt idx="2173">
                  <c:v>2.7050000000000001</c:v>
                </c:pt>
                <c:pt idx="2174">
                  <c:v>2.6680000000000001</c:v>
                </c:pt>
                <c:pt idx="2175">
                  <c:v>2.669</c:v>
                </c:pt>
                <c:pt idx="2176">
                  <c:v>2.6419999999999999</c:v>
                </c:pt>
                <c:pt idx="2177">
                  <c:v>2.6269999999999998</c:v>
                </c:pt>
                <c:pt idx="2178">
                  <c:v>2.577</c:v>
                </c:pt>
                <c:pt idx="2179">
                  <c:v>2.5649999999999999</c:v>
                </c:pt>
                <c:pt idx="2180">
                  <c:v>2.6030000000000002</c:v>
                </c:pt>
                <c:pt idx="2181">
                  <c:v>2.633</c:v>
                </c:pt>
                <c:pt idx="2182">
                  <c:v>2.6890000000000001</c:v>
                </c:pt>
                <c:pt idx="2183">
                  <c:v>2.7280000000000002</c:v>
                </c:pt>
                <c:pt idx="2184">
                  <c:v>2.7080000000000002</c:v>
                </c:pt>
                <c:pt idx="2185">
                  <c:v>2.843</c:v>
                </c:pt>
                <c:pt idx="2186">
                  <c:v>2.976</c:v>
                </c:pt>
                <c:pt idx="2187">
                  <c:v>2.9889999999999999</c:v>
                </c:pt>
                <c:pt idx="2188">
                  <c:v>3.0219999999999998</c:v>
                </c:pt>
                <c:pt idx="2189">
                  <c:v>3.2879999999999998</c:v>
                </c:pt>
                <c:pt idx="2190">
                  <c:v>3.4590000000000001</c:v>
                </c:pt>
                <c:pt idx="2191">
                  <c:v>3.524</c:v>
                </c:pt>
                <c:pt idx="2192">
                  <c:v>3.6219999999999999</c:v>
                </c:pt>
                <c:pt idx="2193">
                  <c:v>3.9060000000000001</c:v>
                </c:pt>
                <c:pt idx="2194">
                  <c:v>3.6989999999999998</c:v>
                </c:pt>
                <c:pt idx="2195">
                  <c:v>3.6480000000000001</c:v>
                </c:pt>
                <c:pt idx="2196">
                  <c:v>3.524</c:v>
                </c:pt>
                <c:pt idx="2197">
                  <c:v>3.48</c:v>
                </c:pt>
                <c:pt idx="2198">
                  <c:v>3.6840000000000002</c:v>
                </c:pt>
                <c:pt idx="2199">
                  <c:v>3.6379999999999999</c:v>
                </c:pt>
                <c:pt idx="2200">
                  <c:v>3.5329999999999999</c:v>
                </c:pt>
                <c:pt idx="2201">
                  <c:v>3.5459999999999998</c:v>
                </c:pt>
                <c:pt idx="2202">
                  <c:v>3.2850000000000001</c:v>
                </c:pt>
                <c:pt idx="2203">
                  <c:v>3.3319999999999999</c:v>
                </c:pt>
                <c:pt idx="2204">
                  <c:v>3.2970000000000002</c:v>
                </c:pt>
                <c:pt idx="2205">
                  <c:v>3.1720000000000002</c:v>
                </c:pt>
                <c:pt idx="2206">
                  <c:v>3.1579999999999999</c:v>
                </c:pt>
                <c:pt idx="2207">
                  <c:v>3.157</c:v>
                </c:pt>
                <c:pt idx="2208">
                  <c:v>3.36</c:v>
                </c:pt>
                <c:pt idx="2209">
                  <c:v>3.4089999999999998</c:v>
                </c:pt>
                <c:pt idx="2210">
                  <c:v>3.63</c:v>
                </c:pt>
                <c:pt idx="2211">
                  <c:v>3.669</c:v>
                </c:pt>
                <c:pt idx="2212">
                  <c:v>3.891</c:v>
                </c:pt>
                <c:pt idx="2213">
                  <c:v>3.7490000000000001</c:v>
                </c:pt>
                <c:pt idx="2214">
                  <c:v>3.6880000000000002</c:v>
                </c:pt>
                <c:pt idx="2215">
                  <c:v>3.5009999999999999</c:v>
                </c:pt>
                <c:pt idx="2216">
                  <c:v>3.452</c:v>
                </c:pt>
                <c:pt idx="2217">
                  <c:v>3.2269999999999999</c:v>
                </c:pt>
                <c:pt idx="2218">
                  <c:v>3.4169999999999998</c:v>
                </c:pt>
                <c:pt idx="2219">
                  <c:v>3.4940000000000002</c:v>
                </c:pt>
                <c:pt idx="2220">
                  <c:v>3.73</c:v>
                </c:pt>
                <c:pt idx="2221">
                  <c:v>3.617</c:v>
                </c:pt>
                <c:pt idx="2222">
                  <c:v>3.601</c:v>
                </c:pt>
                <c:pt idx="2223">
                  <c:v>2.7879999999999998</c:v>
                </c:pt>
                <c:pt idx="2224">
                  <c:v>2.7709999999999999</c:v>
                </c:pt>
                <c:pt idx="2225">
                  <c:v>2.766</c:v>
                </c:pt>
                <c:pt idx="2226">
                  <c:v>2.8050000000000002</c:v>
                </c:pt>
                <c:pt idx="2227">
                  <c:v>2.8260000000000001</c:v>
                </c:pt>
                <c:pt idx="2228">
                  <c:v>2.8490000000000002</c:v>
                </c:pt>
                <c:pt idx="2229">
                  <c:v>2.9809999999999999</c:v>
                </c:pt>
                <c:pt idx="2230">
                  <c:v>2.8570000000000002</c:v>
                </c:pt>
                <c:pt idx="2231">
                  <c:v>2.83</c:v>
                </c:pt>
                <c:pt idx="2232">
                  <c:v>2.8149999999999999</c:v>
                </c:pt>
                <c:pt idx="2233">
                  <c:v>2.806</c:v>
                </c:pt>
                <c:pt idx="2234">
                  <c:v>2.7919999999999998</c:v>
                </c:pt>
                <c:pt idx="2235">
                  <c:v>2.7349999999999999</c:v>
                </c:pt>
                <c:pt idx="2236">
                  <c:v>2.7170000000000001</c:v>
                </c:pt>
                <c:pt idx="2237">
                  <c:v>2.7170000000000001</c:v>
                </c:pt>
                <c:pt idx="2238">
                  <c:v>2.7759999999999998</c:v>
                </c:pt>
                <c:pt idx="2239">
                  <c:v>2.9380000000000002</c:v>
                </c:pt>
                <c:pt idx="2240">
                  <c:v>2.9609999999999999</c:v>
                </c:pt>
                <c:pt idx="2241">
                  <c:v>3.0649999999999999</c:v>
                </c:pt>
                <c:pt idx="2242">
                  <c:v>3.1320000000000001</c:v>
                </c:pt>
                <c:pt idx="2243">
                  <c:v>3.1930000000000001</c:v>
                </c:pt>
                <c:pt idx="2244">
                  <c:v>3.24</c:v>
                </c:pt>
                <c:pt idx="2245">
                  <c:v>3.2549999999999999</c:v>
                </c:pt>
                <c:pt idx="2246">
                  <c:v>3.4369999999999998</c:v>
                </c:pt>
                <c:pt idx="2247">
                  <c:v>3.6</c:v>
                </c:pt>
                <c:pt idx="2248">
                  <c:v>3.6379999999999999</c:v>
                </c:pt>
                <c:pt idx="2249">
                  <c:v>3.72</c:v>
                </c:pt>
                <c:pt idx="2250">
                  <c:v>4.0780000000000003</c:v>
                </c:pt>
                <c:pt idx="2251">
                  <c:v>3.9729999999999999</c:v>
                </c:pt>
                <c:pt idx="2252">
                  <c:v>3.9239999999999999</c:v>
                </c:pt>
                <c:pt idx="2253">
                  <c:v>3.8149999999999999</c:v>
                </c:pt>
                <c:pt idx="2254">
                  <c:v>3.7839999999999998</c:v>
                </c:pt>
                <c:pt idx="2255">
                  <c:v>3.903</c:v>
                </c:pt>
                <c:pt idx="2256">
                  <c:v>3.88</c:v>
                </c:pt>
                <c:pt idx="2257">
                  <c:v>3.7839999999999998</c:v>
                </c:pt>
                <c:pt idx="2258">
                  <c:v>3.8090000000000002</c:v>
                </c:pt>
                <c:pt idx="2259">
                  <c:v>3.633</c:v>
                </c:pt>
                <c:pt idx="2260">
                  <c:v>3.5859999999999999</c:v>
                </c:pt>
                <c:pt idx="2261">
                  <c:v>3.57</c:v>
                </c:pt>
                <c:pt idx="2262">
                  <c:v>3.5009999999999999</c:v>
                </c:pt>
                <c:pt idx="2263">
                  <c:v>3.47</c:v>
                </c:pt>
                <c:pt idx="2264">
                  <c:v>3.4390000000000001</c:v>
                </c:pt>
                <c:pt idx="2265">
                  <c:v>3.633</c:v>
                </c:pt>
                <c:pt idx="2266">
                  <c:v>3.6549999999999998</c:v>
                </c:pt>
                <c:pt idx="2267">
                  <c:v>3.827</c:v>
                </c:pt>
                <c:pt idx="2268">
                  <c:v>3.8759999999999999</c:v>
                </c:pt>
                <c:pt idx="2269">
                  <c:v>3.9569999999999999</c:v>
                </c:pt>
                <c:pt idx="2270">
                  <c:v>3.9910000000000001</c:v>
                </c:pt>
                <c:pt idx="2271">
                  <c:v>3.9470000000000001</c:v>
                </c:pt>
                <c:pt idx="2272">
                  <c:v>3.798</c:v>
                </c:pt>
                <c:pt idx="2273">
                  <c:v>3.746</c:v>
                </c:pt>
                <c:pt idx="2274">
                  <c:v>3.5379999999999998</c:v>
                </c:pt>
                <c:pt idx="2275">
                  <c:v>3.698</c:v>
                </c:pt>
                <c:pt idx="2276">
                  <c:v>3.7719999999999998</c:v>
                </c:pt>
                <c:pt idx="2277">
                  <c:v>3.9209999999999998</c:v>
                </c:pt>
                <c:pt idx="2278">
                  <c:v>4.0270000000000001</c:v>
                </c:pt>
                <c:pt idx="2279">
                  <c:v>4.0289999999999999</c:v>
                </c:pt>
                <c:pt idx="2280">
                  <c:v>2.58</c:v>
                </c:pt>
                <c:pt idx="2281">
                  <c:v>2.5720000000000001</c:v>
                </c:pt>
                <c:pt idx="2282">
                  <c:v>2.62</c:v>
                </c:pt>
                <c:pt idx="2283">
                  <c:v>2.6840000000000002</c:v>
                </c:pt>
                <c:pt idx="2284">
                  <c:v>2.7250000000000001</c:v>
                </c:pt>
                <c:pt idx="2285">
                  <c:v>2.75</c:v>
                </c:pt>
                <c:pt idx="2286">
                  <c:v>2.7709999999999999</c:v>
                </c:pt>
                <c:pt idx="2287">
                  <c:v>2.7</c:v>
                </c:pt>
                <c:pt idx="2288">
                  <c:v>2.6840000000000002</c:v>
                </c:pt>
                <c:pt idx="2289">
                  <c:v>2.7280000000000002</c:v>
                </c:pt>
                <c:pt idx="2290">
                  <c:v>2.7109999999999999</c:v>
                </c:pt>
                <c:pt idx="2291">
                  <c:v>2.69</c:v>
                </c:pt>
                <c:pt idx="2292">
                  <c:v>2.7730000000000001</c:v>
                </c:pt>
                <c:pt idx="2293">
                  <c:v>2.78</c:v>
                </c:pt>
                <c:pt idx="2294">
                  <c:v>2.7589999999999999</c:v>
                </c:pt>
                <c:pt idx="2295">
                  <c:v>2.7450000000000001</c:v>
                </c:pt>
                <c:pt idx="2296">
                  <c:v>2.7290000000000001</c:v>
                </c:pt>
                <c:pt idx="2297">
                  <c:v>2.7370000000000001</c:v>
                </c:pt>
                <c:pt idx="2298">
                  <c:v>2.7120000000000002</c:v>
                </c:pt>
                <c:pt idx="2299">
                  <c:v>2.7280000000000002</c:v>
                </c:pt>
                <c:pt idx="2300">
                  <c:v>2.8820000000000001</c:v>
                </c:pt>
                <c:pt idx="2301">
                  <c:v>3.0110000000000001</c:v>
                </c:pt>
                <c:pt idx="2302">
                  <c:v>3.0369999999999999</c:v>
                </c:pt>
                <c:pt idx="2303">
                  <c:v>3.2320000000000002</c:v>
                </c:pt>
                <c:pt idx="2304">
                  <c:v>3.3719999999999999</c:v>
                </c:pt>
                <c:pt idx="2305">
                  <c:v>3.4609999999999999</c:v>
                </c:pt>
                <c:pt idx="2306">
                  <c:v>3.532</c:v>
                </c:pt>
                <c:pt idx="2307">
                  <c:v>3.7349999999999999</c:v>
                </c:pt>
                <c:pt idx="2308">
                  <c:v>3.7629999999999999</c:v>
                </c:pt>
                <c:pt idx="2309">
                  <c:v>3.7349999999999999</c:v>
                </c:pt>
                <c:pt idx="2310">
                  <c:v>3.597</c:v>
                </c:pt>
                <c:pt idx="2311">
                  <c:v>3.54</c:v>
                </c:pt>
                <c:pt idx="2312">
                  <c:v>3.5539999999999998</c:v>
                </c:pt>
                <c:pt idx="2313">
                  <c:v>3.5419999999999998</c:v>
                </c:pt>
                <c:pt idx="2314">
                  <c:v>3.5110000000000001</c:v>
                </c:pt>
                <c:pt idx="2315">
                  <c:v>3.5659999999999998</c:v>
                </c:pt>
                <c:pt idx="2316">
                  <c:v>3.4980000000000002</c:v>
                </c:pt>
                <c:pt idx="2317">
                  <c:v>3.5270000000000001</c:v>
                </c:pt>
                <c:pt idx="2318">
                  <c:v>3.5049999999999999</c:v>
                </c:pt>
                <c:pt idx="2319">
                  <c:v>3.3780000000000001</c:v>
                </c:pt>
                <c:pt idx="2320">
                  <c:v>3.331</c:v>
                </c:pt>
                <c:pt idx="2321">
                  <c:v>3.0950000000000002</c:v>
                </c:pt>
                <c:pt idx="2322">
                  <c:v>3.0310000000000001</c:v>
                </c:pt>
                <c:pt idx="2323">
                  <c:v>3.1030000000000002</c:v>
                </c:pt>
                <c:pt idx="2324">
                  <c:v>3.1909999999999998</c:v>
                </c:pt>
                <c:pt idx="2325">
                  <c:v>3.286</c:v>
                </c:pt>
                <c:pt idx="2326">
                  <c:v>3.8540000000000001</c:v>
                </c:pt>
                <c:pt idx="2327">
                  <c:v>3.903</c:v>
                </c:pt>
                <c:pt idx="2328">
                  <c:v>3.87</c:v>
                </c:pt>
                <c:pt idx="2329">
                  <c:v>3.7639999999999998</c:v>
                </c:pt>
                <c:pt idx="2330">
                  <c:v>3.7410000000000001</c:v>
                </c:pt>
                <c:pt idx="2331">
                  <c:v>3.6459999999999999</c:v>
                </c:pt>
                <c:pt idx="2332">
                  <c:v>3.528</c:v>
                </c:pt>
                <c:pt idx="2333">
                  <c:v>3.5089999999999999</c:v>
                </c:pt>
                <c:pt idx="2334">
                  <c:v>3.5960000000000001</c:v>
                </c:pt>
                <c:pt idx="2335">
                  <c:v>3.7789999999999999</c:v>
                </c:pt>
                <c:pt idx="2336">
                  <c:v>3.76</c:v>
                </c:pt>
                <c:pt idx="2337">
                  <c:v>2.9620000000000002</c:v>
                </c:pt>
                <c:pt idx="2338">
                  <c:v>2.8279999999999998</c:v>
                </c:pt>
                <c:pt idx="2339">
                  <c:v>2.8769999999999998</c:v>
                </c:pt>
                <c:pt idx="2340">
                  <c:v>3.0339999999999998</c:v>
                </c:pt>
                <c:pt idx="2341">
                  <c:v>3.0859999999999999</c:v>
                </c:pt>
                <c:pt idx="2342">
                  <c:v>3.004</c:v>
                </c:pt>
                <c:pt idx="2343">
                  <c:v>3.1269999999999998</c:v>
                </c:pt>
                <c:pt idx="2344">
                  <c:v>2.9409999999999998</c:v>
                </c:pt>
                <c:pt idx="2345">
                  <c:v>3.0569999999999999</c:v>
                </c:pt>
                <c:pt idx="2346">
                  <c:v>2.9780000000000002</c:v>
                </c:pt>
                <c:pt idx="2347">
                  <c:v>3.1</c:v>
                </c:pt>
                <c:pt idx="2348">
                  <c:v>3.1230000000000002</c:v>
                </c:pt>
                <c:pt idx="2349">
                  <c:v>3.0870000000000002</c:v>
                </c:pt>
                <c:pt idx="2350">
                  <c:v>2.9609999999999999</c:v>
                </c:pt>
                <c:pt idx="2351">
                  <c:v>3.0009999999999999</c:v>
                </c:pt>
                <c:pt idx="2352">
                  <c:v>2.9239999999999999</c:v>
                </c:pt>
                <c:pt idx="2353">
                  <c:v>3.0089999999999999</c:v>
                </c:pt>
                <c:pt idx="2354">
                  <c:v>3.13</c:v>
                </c:pt>
                <c:pt idx="2355">
                  <c:v>3.0409999999999999</c:v>
                </c:pt>
                <c:pt idx="2356">
                  <c:v>3.0910000000000002</c:v>
                </c:pt>
                <c:pt idx="2357">
                  <c:v>3.2869999999999999</c:v>
                </c:pt>
                <c:pt idx="2358">
                  <c:v>3.3479999999999999</c:v>
                </c:pt>
                <c:pt idx="2359">
                  <c:v>3.3809999999999998</c:v>
                </c:pt>
                <c:pt idx="2360">
                  <c:v>3.6739999999999999</c:v>
                </c:pt>
                <c:pt idx="2361">
                  <c:v>3.63</c:v>
                </c:pt>
                <c:pt idx="2362">
                  <c:v>3.7719999999999998</c:v>
                </c:pt>
                <c:pt idx="2363">
                  <c:v>3.8180000000000001</c:v>
                </c:pt>
                <c:pt idx="2364">
                  <c:v>4.1929999999999996</c:v>
                </c:pt>
                <c:pt idx="2365">
                  <c:v>3.8929999999999998</c:v>
                </c:pt>
                <c:pt idx="2366">
                  <c:v>3.9809999999999999</c:v>
                </c:pt>
                <c:pt idx="2367">
                  <c:v>3.8420000000000001</c:v>
                </c:pt>
                <c:pt idx="2368">
                  <c:v>3.7930000000000001</c:v>
                </c:pt>
                <c:pt idx="2369">
                  <c:v>3.8029999999999999</c:v>
                </c:pt>
                <c:pt idx="2370">
                  <c:v>3.794</c:v>
                </c:pt>
                <c:pt idx="2371">
                  <c:v>3.798</c:v>
                </c:pt>
                <c:pt idx="2372">
                  <c:v>3.7709999999999999</c:v>
                </c:pt>
                <c:pt idx="2373">
                  <c:v>3.827</c:v>
                </c:pt>
                <c:pt idx="2374">
                  <c:v>3.8279999999999998</c:v>
                </c:pt>
                <c:pt idx="2375">
                  <c:v>3.677</c:v>
                </c:pt>
                <c:pt idx="2376">
                  <c:v>3.7010000000000001</c:v>
                </c:pt>
                <c:pt idx="2377">
                  <c:v>3.6440000000000001</c:v>
                </c:pt>
                <c:pt idx="2378">
                  <c:v>3.4430000000000001</c:v>
                </c:pt>
                <c:pt idx="2379">
                  <c:v>3.5430000000000001</c:v>
                </c:pt>
                <c:pt idx="2380">
                  <c:v>3.722</c:v>
                </c:pt>
                <c:pt idx="2381">
                  <c:v>3.8820000000000001</c:v>
                </c:pt>
                <c:pt idx="2382">
                  <c:v>3.9630000000000001</c:v>
                </c:pt>
                <c:pt idx="2383">
                  <c:v>4.282</c:v>
                </c:pt>
                <c:pt idx="2384">
                  <c:v>4.0579999999999998</c:v>
                </c:pt>
                <c:pt idx="2385">
                  <c:v>4.1859999999999999</c:v>
                </c:pt>
                <c:pt idx="2386">
                  <c:v>4.2770000000000001</c:v>
                </c:pt>
                <c:pt idx="2387">
                  <c:v>4.1029999999999998</c:v>
                </c:pt>
                <c:pt idx="2388">
                  <c:v>3.6659999999999999</c:v>
                </c:pt>
                <c:pt idx="2389">
                  <c:v>3.5950000000000002</c:v>
                </c:pt>
                <c:pt idx="2390">
                  <c:v>3.8109999999999999</c:v>
                </c:pt>
                <c:pt idx="2391">
                  <c:v>4.1239999999999997</c:v>
                </c:pt>
                <c:pt idx="2392">
                  <c:v>4.1319999999999997</c:v>
                </c:pt>
                <c:pt idx="2393">
                  <c:v>4.468</c:v>
                </c:pt>
                <c:pt idx="2394">
                  <c:v>2.5720000000000001</c:v>
                </c:pt>
                <c:pt idx="2395">
                  <c:v>2.548</c:v>
                </c:pt>
                <c:pt idx="2396">
                  <c:v>2.625</c:v>
                </c:pt>
                <c:pt idx="2397">
                  <c:v>2.6669999999999998</c:v>
                </c:pt>
                <c:pt idx="2398">
                  <c:v>2.7189999999999999</c:v>
                </c:pt>
                <c:pt idx="2399">
                  <c:v>2.77</c:v>
                </c:pt>
                <c:pt idx="2400">
                  <c:v>2.835</c:v>
                </c:pt>
                <c:pt idx="2401">
                  <c:v>2.7050000000000001</c:v>
                </c:pt>
                <c:pt idx="2402">
                  <c:v>2.6680000000000001</c:v>
                </c:pt>
                <c:pt idx="2403">
                  <c:v>2.669</c:v>
                </c:pt>
                <c:pt idx="2404">
                  <c:v>2.6419999999999999</c:v>
                </c:pt>
                <c:pt idx="2405">
                  <c:v>2.6269999999999998</c:v>
                </c:pt>
                <c:pt idx="2406">
                  <c:v>2.577</c:v>
                </c:pt>
                <c:pt idx="2407">
                  <c:v>2.5649999999999999</c:v>
                </c:pt>
                <c:pt idx="2408">
                  <c:v>2.6030000000000002</c:v>
                </c:pt>
                <c:pt idx="2409">
                  <c:v>2.633</c:v>
                </c:pt>
                <c:pt idx="2410">
                  <c:v>2.6890000000000001</c:v>
                </c:pt>
                <c:pt idx="2411">
                  <c:v>2.7280000000000002</c:v>
                </c:pt>
                <c:pt idx="2412">
                  <c:v>2.7080000000000002</c:v>
                </c:pt>
                <c:pt idx="2413">
                  <c:v>2.843</c:v>
                </c:pt>
                <c:pt idx="2414">
                  <c:v>2.976</c:v>
                </c:pt>
                <c:pt idx="2415">
                  <c:v>2.9889999999999999</c:v>
                </c:pt>
                <c:pt idx="2416">
                  <c:v>3.0219999999999998</c:v>
                </c:pt>
                <c:pt idx="2417">
                  <c:v>3.2879999999999998</c:v>
                </c:pt>
                <c:pt idx="2418">
                  <c:v>3.4590000000000001</c:v>
                </c:pt>
                <c:pt idx="2419">
                  <c:v>3.524</c:v>
                </c:pt>
                <c:pt idx="2420">
                  <c:v>3.6219999999999999</c:v>
                </c:pt>
                <c:pt idx="2421">
                  <c:v>3.9060000000000001</c:v>
                </c:pt>
                <c:pt idx="2422">
                  <c:v>3.6989999999999998</c:v>
                </c:pt>
                <c:pt idx="2423">
                  <c:v>3.6480000000000001</c:v>
                </c:pt>
                <c:pt idx="2424">
                  <c:v>3.524</c:v>
                </c:pt>
                <c:pt idx="2425">
                  <c:v>3.48</c:v>
                </c:pt>
                <c:pt idx="2426">
                  <c:v>3.6840000000000002</c:v>
                </c:pt>
                <c:pt idx="2427">
                  <c:v>3.6379999999999999</c:v>
                </c:pt>
                <c:pt idx="2428">
                  <c:v>3.5329999999999999</c:v>
                </c:pt>
                <c:pt idx="2429">
                  <c:v>3.5459999999999998</c:v>
                </c:pt>
                <c:pt idx="2430">
                  <c:v>3.2850000000000001</c:v>
                </c:pt>
                <c:pt idx="2431">
                  <c:v>3.3319999999999999</c:v>
                </c:pt>
                <c:pt idx="2432">
                  <c:v>3.2970000000000002</c:v>
                </c:pt>
                <c:pt idx="2433">
                  <c:v>3.1720000000000002</c:v>
                </c:pt>
                <c:pt idx="2434">
                  <c:v>3.1579999999999999</c:v>
                </c:pt>
                <c:pt idx="2435">
                  <c:v>3.157</c:v>
                </c:pt>
                <c:pt idx="2436">
                  <c:v>3.36</c:v>
                </c:pt>
                <c:pt idx="2437">
                  <c:v>3.4089999999999998</c:v>
                </c:pt>
                <c:pt idx="2438">
                  <c:v>3.63</c:v>
                </c:pt>
                <c:pt idx="2439">
                  <c:v>3.669</c:v>
                </c:pt>
                <c:pt idx="2440">
                  <c:v>3.891</c:v>
                </c:pt>
                <c:pt idx="2441">
                  <c:v>3.7490000000000001</c:v>
                </c:pt>
                <c:pt idx="2442">
                  <c:v>3.6880000000000002</c:v>
                </c:pt>
                <c:pt idx="2443">
                  <c:v>3.5009999999999999</c:v>
                </c:pt>
                <c:pt idx="2444">
                  <c:v>3.452</c:v>
                </c:pt>
                <c:pt idx="2445">
                  <c:v>3.2269999999999999</c:v>
                </c:pt>
                <c:pt idx="2446">
                  <c:v>3.4169999999999998</c:v>
                </c:pt>
                <c:pt idx="2447">
                  <c:v>3.4940000000000002</c:v>
                </c:pt>
                <c:pt idx="2448">
                  <c:v>3.73</c:v>
                </c:pt>
                <c:pt idx="2449">
                  <c:v>3.617</c:v>
                </c:pt>
                <c:pt idx="2450">
                  <c:v>3.601</c:v>
                </c:pt>
                <c:pt idx="2451">
                  <c:v>2.6659999999999999</c:v>
                </c:pt>
                <c:pt idx="2452">
                  <c:v>2.6709999999999998</c:v>
                </c:pt>
                <c:pt idx="2453">
                  <c:v>2.681</c:v>
                </c:pt>
                <c:pt idx="2454">
                  <c:v>2.7330000000000001</c:v>
                </c:pt>
                <c:pt idx="2455">
                  <c:v>2.8420000000000001</c:v>
                </c:pt>
                <c:pt idx="2456">
                  <c:v>2.8769999999999998</c:v>
                </c:pt>
                <c:pt idx="2457">
                  <c:v>2.948</c:v>
                </c:pt>
                <c:pt idx="2458">
                  <c:v>2.871</c:v>
                </c:pt>
                <c:pt idx="2459">
                  <c:v>2.8410000000000002</c:v>
                </c:pt>
                <c:pt idx="2460">
                  <c:v>2.8140000000000001</c:v>
                </c:pt>
                <c:pt idx="2461">
                  <c:v>2.802</c:v>
                </c:pt>
                <c:pt idx="2462">
                  <c:v>2.802</c:v>
                </c:pt>
                <c:pt idx="2463">
                  <c:v>2.8679999999999999</c:v>
                </c:pt>
                <c:pt idx="2464">
                  <c:v>2.87</c:v>
                </c:pt>
                <c:pt idx="2465">
                  <c:v>2.8530000000000002</c:v>
                </c:pt>
                <c:pt idx="2466">
                  <c:v>2.8410000000000002</c:v>
                </c:pt>
                <c:pt idx="2467">
                  <c:v>2.831</c:v>
                </c:pt>
                <c:pt idx="2468">
                  <c:v>2.831</c:v>
                </c:pt>
                <c:pt idx="2469">
                  <c:v>2.8119999999999998</c:v>
                </c:pt>
                <c:pt idx="2470">
                  <c:v>2.8170000000000002</c:v>
                </c:pt>
                <c:pt idx="2471">
                  <c:v>2.891</c:v>
                </c:pt>
                <c:pt idx="2472">
                  <c:v>2.9740000000000002</c:v>
                </c:pt>
                <c:pt idx="2473">
                  <c:v>3.0339999999999998</c:v>
                </c:pt>
                <c:pt idx="2474">
                  <c:v>3.23</c:v>
                </c:pt>
                <c:pt idx="2475">
                  <c:v>3.3460000000000001</c:v>
                </c:pt>
                <c:pt idx="2476">
                  <c:v>3.4870000000000001</c:v>
                </c:pt>
                <c:pt idx="2477">
                  <c:v>3.5470000000000002</c:v>
                </c:pt>
                <c:pt idx="2478">
                  <c:v>3.7440000000000002</c:v>
                </c:pt>
                <c:pt idx="2479">
                  <c:v>3.7519999999999998</c:v>
                </c:pt>
                <c:pt idx="2480">
                  <c:v>3.7320000000000002</c:v>
                </c:pt>
                <c:pt idx="2481">
                  <c:v>3.613</c:v>
                </c:pt>
                <c:pt idx="2482">
                  <c:v>3.5630000000000002</c:v>
                </c:pt>
                <c:pt idx="2483">
                  <c:v>3.5950000000000002</c:v>
                </c:pt>
                <c:pt idx="2484">
                  <c:v>3.6059999999999999</c:v>
                </c:pt>
                <c:pt idx="2485">
                  <c:v>3.58</c:v>
                </c:pt>
                <c:pt idx="2486">
                  <c:v>3.6190000000000002</c:v>
                </c:pt>
                <c:pt idx="2487">
                  <c:v>3.5920000000000001</c:v>
                </c:pt>
                <c:pt idx="2488">
                  <c:v>3.5379999999999998</c:v>
                </c:pt>
                <c:pt idx="2489">
                  <c:v>3.5129999999999999</c:v>
                </c:pt>
                <c:pt idx="2490">
                  <c:v>3.3889999999999998</c:v>
                </c:pt>
                <c:pt idx="2491">
                  <c:v>3.3410000000000002</c:v>
                </c:pt>
                <c:pt idx="2492">
                  <c:v>3.08</c:v>
                </c:pt>
                <c:pt idx="2493">
                  <c:v>3.077</c:v>
                </c:pt>
                <c:pt idx="2494">
                  <c:v>3.1160000000000001</c:v>
                </c:pt>
                <c:pt idx="2495">
                  <c:v>3.242</c:v>
                </c:pt>
                <c:pt idx="2496">
                  <c:v>3.38</c:v>
                </c:pt>
                <c:pt idx="2497">
                  <c:v>3.7930000000000001</c:v>
                </c:pt>
                <c:pt idx="2498">
                  <c:v>3.831</c:v>
                </c:pt>
                <c:pt idx="2499">
                  <c:v>3.8090000000000002</c:v>
                </c:pt>
                <c:pt idx="2500">
                  <c:v>3.7879999999999998</c:v>
                </c:pt>
                <c:pt idx="2501">
                  <c:v>3.7759999999999998</c:v>
                </c:pt>
                <c:pt idx="2502">
                  <c:v>3.63</c:v>
                </c:pt>
                <c:pt idx="2503">
                  <c:v>3.512</c:v>
                </c:pt>
                <c:pt idx="2504">
                  <c:v>3.5089999999999999</c:v>
                </c:pt>
                <c:pt idx="2505">
                  <c:v>3.6890000000000001</c:v>
                </c:pt>
                <c:pt idx="2506">
                  <c:v>3.8149999999999999</c:v>
                </c:pt>
                <c:pt idx="2507">
                  <c:v>3.7970000000000002</c:v>
                </c:pt>
                <c:pt idx="2508">
                  <c:v>2.7839999999999998</c:v>
                </c:pt>
                <c:pt idx="2509">
                  <c:v>2.7730000000000001</c:v>
                </c:pt>
                <c:pt idx="2510">
                  <c:v>2.7770000000000001</c:v>
                </c:pt>
                <c:pt idx="2511">
                  <c:v>2.8180000000000001</c:v>
                </c:pt>
                <c:pt idx="2512">
                  <c:v>2.85</c:v>
                </c:pt>
                <c:pt idx="2513">
                  <c:v>2.8690000000000002</c:v>
                </c:pt>
                <c:pt idx="2514">
                  <c:v>2.9660000000000002</c:v>
                </c:pt>
                <c:pt idx="2515">
                  <c:v>2.847</c:v>
                </c:pt>
                <c:pt idx="2516">
                  <c:v>2.8090000000000002</c:v>
                </c:pt>
                <c:pt idx="2517">
                  <c:v>2.8149999999999999</c:v>
                </c:pt>
                <c:pt idx="2518">
                  <c:v>2.7930000000000001</c:v>
                </c:pt>
                <c:pt idx="2519">
                  <c:v>2.7839999999999998</c:v>
                </c:pt>
                <c:pt idx="2520">
                  <c:v>2.7149999999999999</c:v>
                </c:pt>
                <c:pt idx="2521">
                  <c:v>2.6989999999999998</c:v>
                </c:pt>
                <c:pt idx="2522">
                  <c:v>2.7069999999999999</c:v>
                </c:pt>
                <c:pt idx="2523">
                  <c:v>2.7639999999999998</c:v>
                </c:pt>
                <c:pt idx="2524">
                  <c:v>2.9169999999999998</c:v>
                </c:pt>
                <c:pt idx="2525">
                  <c:v>2.931</c:v>
                </c:pt>
                <c:pt idx="2526">
                  <c:v>3.0459999999999998</c:v>
                </c:pt>
                <c:pt idx="2527">
                  <c:v>3.109</c:v>
                </c:pt>
                <c:pt idx="2528">
                  <c:v>3.1930000000000001</c:v>
                </c:pt>
                <c:pt idx="2529">
                  <c:v>3.2309999999999999</c:v>
                </c:pt>
                <c:pt idx="2530">
                  <c:v>3.2389999999999999</c:v>
                </c:pt>
                <c:pt idx="2531">
                  <c:v>3.4329999999999998</c:v>
                </c:pt>
                <c:pt idx="2532">
                  <c:v>3.5819999999999999</c:v>
                </c:pt>
                <c:pt idx="2533">
                  <c:v>3.6379999999999999</c:v>
                </c:pt>
                <c:pt idx="2534">
                  <c:v>3.72</c:v>
                </c:pt>
                <c:pt idx="2535">
                  <c:v>4.0460000000000003</c:v>
                </c:pt>
                <c:pt idx="2536">
                  <c:v>3.9220000000000002</c:v>
                </c:pt>
                <c:pt idx="2537">
                  <c:v>3.8809999999999998</c:v>
                </c:pt>
                <c:pt idx="2538">
                  <c:v>3.7480000000000002</c:v>
                </c:pt>
                <c:pt idx="2539">
                  <c:v>3.7109999999999999</c:v>
                </c:pt>
                <c:pt idx="2540">
                  <c:v>3.8420000000000001</c:v>
                </c:pt>
                <c:pt idx="2541">
                  <c:v>3.8119999999999998</c:v>
                </c:pt>
                <c:pt idx="2542">
                  <c:v>3.7029999999999998</c:v>
                </c:pt>
                <c:pt idx="2543">
                  <c:v>3.738</c:v>
                </c:pt>
                <c:pt idx="2544">
                  <c:v>3.5830000000000002</c:v>
                </c:pt>
                <c:pt idx="2545">
                  <c:v>3.5510000000000002</c:v>
                </c:pt>
                <c:pt idx="2546">
                  <c:v>3.53</c:v>
                </c:pt>
                <c:pt idx="2547">
                  <c:v>3.452</c:v>
                </c:pt>
                <c:pt idx="2548">
                  <c:v>3.415</c:v>
                </c:pt>
                <c:pt idx="2549">
                  <c:v>3.4220000000000002</c:v>
                </c:pt>
                <c:pt idx="2550">
                  <c:v>3.617</c:v>
                </c:pt>
                <c:pt idx="2551">
                  <c:v>3.64</c:v>
                </c:pt>
                <c:pt idx="2552">
                  <c:v>3.8159999999999998</c:v>
                </c:pt>
                <c:pt idx="2553">
                  <c:v>3.8479999999999999</c:v>
                </c:pt>
                <c:pt idx="2554">
                  <c:v>3.996</c:v>
                </c:pt>
                <c:pt idx="2555">
                  <c:v>3.9510000000000001</c:v>
                </c:pt>
                <c:pt idx="2556">
                  <c:v>3.8889999999999998</c:v>
                </c:pt>
                <c:pt idx="2557">
                  <c:v>3.742</c:v>
                </c:pt>
                <c:pt idx="2558">
                  <c:v>3.6890000000000001</c:v>
                </c:pt>
                <c:pt idx="2559">
                  <c:v>3.4750000000000001</c:v>
                </c:pt>
                <c:pt idx="2560">
                  <c:v>3.6539999999999999</c:v>
                </c:pt>
                <c:pt idx="2561">
                  <c:v>3.722</c:v>
                </c:pt>
                <c:pt idx="2562">
                  <c:v>3.911</c:v>
                </c:pt>
                <c:pt idx="2563">
                  <c:v>3.9849999999999999</c:v>
                </c:pt>
                <c:pt idx="2564">
                  <c:v>4</c:v>
                </c:pt>
              </c:numCache>
            </c:numRef>
          </c:xVal>
          <c:y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21-462B-85B0-260833506250}"/>
            </c:ext>
          </c:extLst>
        </c:ser>
        <c:ser>
          <c:idx val="1"/>
          <c:order val="1"/>
          <c:tx>
            <c:v>Weekly_Sales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A21-462B-85B0-260833506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786352"/>
        <c:axId val="242777712"/>
      </c:scatterChart>
      <c:valAx>
        <c:axId val="242786352"/>
        <c:scaling>
          <c:orientation val="minMax"/>
          <c:max val="4.5"/>
          <c:min val="2.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2777712"/>
        <c:crosses val="autoZero"/>
        <c:crossBetween val="midCat"/>
      </c:valAx>
      <c:valAx>
        <c:axId val="2427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2786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587267087481834"/>
          <c:y val="0.86493317407096337"/>
          <c:w val="0.75886562113620093"/>
          <c:h val="0.11829496927403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cap="none" baseline="0">
                <a:solidFill>
                  <a:schemeClr val="bg1"/>
                </a:solidFill>
              </a:rPr>
              <a:t>CPI (Inflação) vs Vendas Semanais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8963959120443"/>
          <c:y val="0.10641909814323608"/>
          <c:w val="0.81236736542329746"/>
          <c:h val="0.7552315907461169"/>
        </c:manualLayout>
      </c:layout>
      <c:scatterChart>
        <c:scatterStyle val="lineMarker"/>
        <c:varyColors val="0"/>
        <c:ser>
          <c:idx val="0"/>
          <c:order val="0"/>
          <c:tx>
            <c:v>CPI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47625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854405017794352"/>
                  <c:y val="-0.44948112255198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Walmart_Sales!$I$2:$I$2566</c:f>
              <c:numCache>
                <c:formatCode>General</c:formatCode>
                <c:ptCount val="2565"/>
                <c:pt idx="0">
                  <c:v>211.0963582</c:v>
                </c:pt>
                <c:pt idx="1">
                  <c:v>211.2421698</c:v>
                </c:pt>
                <c:pt idx="2">
                  <c:v>211.35014290000001</c:v>
                </c:pt>
                <c:pt idx="3">
                  <c:v>211.3806429</c:v>
                </c:pt>
                <c:pt idx="4">
                  <c:v>210.8204499</c:v>
                </c:pt>
                <c:pt idx="5">
                  <c:v>210.62285739999999</c:v>
                </c:pt>
                <c:pt idx="6">
                  <c:v>210.3399684</c:v>
                </c:pt>
                <c:pt idx="7">
                  <c:v>211.1764278</c:v>
                </c:pt>
                <c:pt idx="8">
                  <c:v>211.4560951</c:v>
                </c:pt>
                <c:pt idx="9">
                  <c:v>211.22353330000001</c:v>
                </c:pt>
                <c:pt idx="10">
                  <c:v>211.10841400000001</c:v>
                </c:pt>
                <c:pt idx="11">
                  <c:v>211.50466209999999</c:v>
                </c:pt>
                <c:pt idx="12">
                  <c:v>211.53124790000001</c:v>
                </c:pt>
                <c:pt idx="13">
                  <c:v>211.4951902</c:v>
                </c:pt>
                <c:pt idx="14">
                  <c:v>211.6719895</c:v>
                </c:pt>
                <c:pt idx="15">
                  <c:v>211.74675439999999</c:v>
                </c:pt>
                <c:pt idx="16">
                  <c:v>211.95639389999999</c:v>
                </c:pt>
                <c:pt idx="17">
                  <c:v>212.00394399999999</c:v>
                </c:pt>
                <c:pt idx="18">
                  <c:v>211.607193</c:v>
                </c:pt>
                <c:pt idx="19">
                  <c:v>211.46595260000001</c:v>
                </c:pt>
                <c:pt idx="20">
                  <c:v>211.4047419</c:v>
                </c:pt>
                <c:pt idx="21">
                  <c:v>212.56688120000001</c:v>
                </c:pt>
                <c:pt idx="22">
                  <c:v>212.93670460000001</c:v>
                </c:pt>
                <c:pt idx="23">
                  <c:v>213.82333270000001</c:v>
                </c:pt>
                <c:pt idx="24">
                  <c:v>214.1110564</c:v>
                </c:pt>
                <c:pt idx="25">
                  <c:v>214.8371664</c:v>
                </c:pt>
                <c:pt idx="26">
                  <c:v>215.07439389999999</c:v>
                </c:pt>
                <c:pt idx="27">
                  <c:v>215.79600350000001</c:v>
                </c:pt>
                <c:pt idx="28">
                  <c:v>215.2736553</c:v>
                </c:pt>
                <c:pt idx="29">
                  <c:v>215.0435229</c:v>
                </c:pt>
                <c:pt idx="30">
                  <c:v>215.1841368</c:v>
                </c:pt>
                <c:pt idx="31">
                  <c:v>215.2771754</c:v>
                </c:pt>
                <c:pt idx="32">
                  <c:v>215.54461800000001</c:v>
                </c:pt>
                <c:pt idx="33">
                  <c:v>215.6057878</c:v>
                </c:pt>
                <c:pt idx="34">
                  <c:v>215.79714089999999</c:v>
                </c:pt>
                <c:pt idx="35">
                  <c:v>215.86105599999999</c:v>
                </c:pt>
                <c:pt idx="36">
                  <c:v>217.0453684</c:v>
                </c:pt>
                <c:pt idx="37">
                  <c:v>217.83738199999999</c:v>
                </c:pt>
                <c:pt idx="38">
                  <c:v>217.99808490000001</c:v>
                </c:pt>
                <c:pt idx="39">
                  <c:v>218.71473330000001</c:v>
                </c:pt>
                <c:pt idx="40">
                  <c:v>218.9618456</c:v>
                </c:pt>
                <c:pt idx="41">
                  <c:v>219.7142581</c:v>
                </c:pt>
                <c:pt idx="42">
                  <c:v>220.1720153</c:v>
                </c:pt>
                <c:pt idx="43">
                  <c:v>220.2651783</c:v>
                </c:pt>
                <c:pt idx="44">
                  <c:v>220.84804539999999</c:v>
                </c:pt>
                <c:pt idx="45">
                  <c:v>221.05918869999999</c:v>
                </c:pt>
                <c:pt idx="46">
                  <c:v>221.43561120000001</c:v>
                </c:pt>
                <c:pt idx="47">
                  <c:v>221.67179999999999</c:v>
                </c:pt>
                <c:pt idx="48">
                  <c:v>221.72566320000001</c:v>
                </c:pt>
                <c:pt idx="49">
                  <c:v>221.74721389999999</c:v>
                </c:pt>
                <c:pt idx="50">
                  <c:v>221.7494839</c:v>
                </c:pt>
                <c:pt idx="51">
                  <c:v>221.88377890000001</c:v>
                </c:pt>
                <c:pt idx="52">
                  <c:v>221.94986420000001</c:v>
                </c:pt>
                <c:pt idx="53">
                  <c:v>221.95843289999999</c:v>
                </c:pt>
                <c:pt idx="54">
                  <c:v>222.43901529999999</c:v>
                </c:pt>
                <c:pt idx="55">
                  <c:v>223.18147719999999</c:v>
                </c:pt>
                <c:pt idx="56">
                  <c:v>223.38129649999999</c:v>
                </c:pt>
                <c:pt idx="57">
                  <c:v>210.7526053</c:v>
                </c:pt>
                <c:pt idx="58">
                  <c:v>210.89799350000001</c:v>
                </c:pt>
                <c:pt idx="59">
                  <c:v>211.00675419999999</c:v>
                </c:pt>
                <c:pt idx="60">
                  <c:v>211.03755100000001</c:v>
                </c:pt>
                <c:pt idx="61">
                  <c:v>210.4798874</c:v>
                </c:pt>
                <c:pt idx="62">
                  <c:v>210.28316530000001</c:v>
                </c:pt>
                <c:pt idx="63">
                  <c:v>210.00110179999999</c:v>
                </c:pt>
                <c:pt idx="64">
                  <c:v>210.83361600000001</c:v>
                </c:pt>
                <c:pt idx="65">
                  <c:v>211.1120018</c:v>
                </c:pt>
                <c:pt idx="66">
                  <c:v>210.88037259999999</c:v>
                </c:pt>
                <c:pt idx="67">
                  <c:v>210.7657317</c:v>
                </c:pt>
                <c:pt idx="68">
                  <c:v>211.16080489999999</c:v>
                </c:pt>
                <c:pt idx="69">
                  <c:v>211.18869309999999</c:v>
                </c:pt>
                <c:pt idx="70">
                  <c:v>211.15321040000001</c:v>
                </c:pt>
                <c:pt idx="71">
                  <c:v>211.32987420000001</c:v>
                </c:pt>
                <c:pt idx="72">
                  <c:v>211.4044906</c:v>
                </c:pt>
                <c:pt idx="73">
                  <c:v>211.61350530000001</c:v>
                </c:pt>
                <c:pt idx="74">
                  <c:v>211.6608975</c:v>
                </c:pt>
                <c:pt idx="75">
                  <c:v>211.26554300000001</c:v>
                </c:pt>
                <c:pt idx="76">
                  <c:v>211.12479930000001</c:v>
                </c:pt>
                <c:pt idx="77">
                  <c:v>211.06488809999999</c:v>
                </c:pt>
                <c:pt idx="78">
                  <c:v>212.22406459999999</c:v>
                </c:pt>
                <c:pt idx="79">
                  <c:v>212.5928624</c:v>
                </c:pt>
                <c:pt idx="80">
                  <c:v>213.4775305</c:v>
                </c:pt>
                <c:pt idx="81">
                  <c:v>213.76464010000001</c:v>
                </c:pt>
                <c:pt idx="82">
                  <c:v>214.4886908</c:v>
                </c:pt>
                <c:pt idx="83">
                  <c:v>214.72522420000001</c:v>
                </c:pt>
                <c:pt idx="84">
                  <c:v>215.44487090000001</c:v>
                </c:pt>
                <c:pt idx="85">
                  <c:v>214.92548650000001</c:v>
                </c:pt>
                <c:pt idx="86">
                  <c:v>214.69649079999999</c:v>
                </c:pt>
                <c:pt idx="87">
                  <c:v>214.83686779999999</c:v>
                </c:pt>
                <c:pt idx="88">
                  <c:v>214.92962489999999</c:v>
                </c:pt>
                <c:pt idx="89">
                  <c:v>215.19785150000001</c:v>
                </c:pt>
                <c:pt idx="90">
                  <c:v>215.25932109999999</c:v>
                </c:pt>
                <c:pt idx="91">
                  <c:v>215.45086319999999</c:v>
                </c:pt>
                <c:pt idx="92">
                  <c:v>215.51482949999999</c:v>
                </c:pt>
                <c:pt idx="93">
                  <c:v>216.69583109999999</c:v>
                </c:pt>
                <c:pt idx="94">
                  <c:v>217.48536050000001</c:v>
                </c:pt>
                <c:pt idx="95">
                  <c:v>217.6455387</c:v>
                </c:pt>
                <c:pt idx="96">
                  <c:v>218.35903189999999</c:v>
                </c:pt>
                <c:pt idx="97">
                  <c:v>218.60503700000001</c:v>
                </c:pt>
                <c:pt idx="98">
                  <c:v>219.355063</c:v>
                </c:pt>
                <c:pt idx="99">
                  <c:v>219.81188539999999</c:v>
                </c:pt>
                <c:pt idx="100">
                  <c:v>219.90490729999999</c:v>
                </c:pt>
                <c:pt idx="101">
                  <c:v>220.48668860000001</c:v>
                </c:pt>
                <c:pt idx="102">
                  <c:v>220.69743320000001</c:v>
                </c:pt>
                <c:pt idx="103">
                  <c:v>221.07376379999999</c:v>
                </c:pt>
                <c:pt idx="104">
                  <c:v>221.30951659999999</c:v>
                </c:pt>
                <c:pt idx="105">
                  <c:v>221.3632212</c:v>
                </c:pt>
                <c:pt idx="106">
                  <c:v>221.38527479999999</c:v>
                </c:pt>
                <c:pt idx="107">
                  <c:v>221.38774670000001</c:v>
                </c:pt>
                <c:pt idx="108">
                  <c:v>221.52150639999999</c:v>
                </c:pt>
                <c:pt idx="109">
                  <c:v>221.58697989999999</c:v>
                </c:pt>
                <c:pt idx="110">
                  <c:v>221.59541379999999</c:v>
                </c:pt>
                <c:pt idx="111">
                  <c:v>222.07476349999999</c:v>
                </c:pt>
                <c:pt idx="112">
                  <c:v>222.8159296</c:v>
                </c:pt>
                <c:pt idx="113">
                  <c:v>223.0154263</c:v>
                </c:pt>
                <c:pt idx="114">
                  <c:v>214.42488119999999</c:v>
                </c:pt>
                <c:pt idx="115">
                  <c:v>214.5747916</c:v>
                </c:pt>
                <c:pt idx="116">
                  <c:v>214.6751386</c:v>
                </c:pt>
                <c:pt idx="117">
                  <c:v>214.70276459999999</c:v>
                </c:pt>
                <c:pt idx="118">
                  <c:v>214.1180803</c:v>
                </c:pt>
                <c:pt idx="119">
                  <c:v>213.9120595</c:v>
                </c:pt>
                <c:pt idx="120">
                  <c:v>213.6211778</c:v>
                </c:pt>
                <c:pt idx="121">
                  <c:v>214.49583820000001</c:v>
                </c:pt>
                <c:pt idx="122">
                  <c:v>214.787913</c:v>
                </c:pt>
                <c:pt idx="123">
                  <c:v>214.54632219999999</c:v>
                </c:pt>
                <c:pt idx="124">
                  <c:v>214.4265704</c:v>
                </c:pt>
                <c:pt idx="125">
                  <c:v>214.83419520000001</c:v>
                </c:pt>
                <c:pt idx="126">
                  <c:v>214.84816850000001</c:v>
                </c:pt>
                <c:pt idx="127">
                  <c:v>214.8065431</c:v>
                </c:pt>
                <c:pt idx="128">
                  <c:v>214.98465479999999</c:v>
                </c:pt>
                <c:pt idx="129">
                  <c:v>215.060858</c:v>
                </c:pt>
                <c:pt idx="130">
                  <c:v>215.27654720000001</c:v>
                </c:pt>
                <c:pt idx="131">
                  <c:v>215.32562580000001</c:v>
                </c:pt>
                <c:pt idx="132">
                  <c:v>214.9153531</c:v>
                </c:pt>
                <c:pt idx="133">
                  <c:v>214.76930369999999</c:v>
                </c:pt>
                <c:pt idx="134">
                  <c:v>214.69551039999999</c:v>
                </c:pt>
                <c:pt idx="135">
                  <c:v>215.88633669999999</c:v>
                </c:pt>
                <c:pt idx="136">
                  <c:v>216.2660913</c:v>
                </c:pt>
                <c:pt idx="137">
                  <c:v>217.1716979</c:v>
                </c:pt>
                <c:pt idx="138">
                  <c:v>217.46536829999999</c:v>
                </c:pt>
                <c:pt idx="139">
                  <c:v>218.21141840000001</c:v>
                </c:pt>
                <c:pt idx="140">
                  <c:v>218.45536630000001</c:v>
                </c:pt>
                <c:pt idx="141">
                  <c:v>219.1959827</c:v>
                </c:pt>
                <c:pt idx="142">
                  <c:v>218.6449369</c:v>
                </c:pt>
                <c:pt idx="143">
                  <c:v>218.4037974</c:v>
                </c:pt>
                <c:pt idx="144">
                  <c:v>218.54670519999999</c:v>
                </c:pt>
                <c:pt idx="145">
                  <c:v>218.64247040000001</c:v>
                </c:pt>
                <c:pt idx="146">
                  <c:v>218.90232090000001</c:v>
                </c:pt>
                <c:pt idx="147">
                  <c:v>218.96058729999999</c:v>
                </c:pt>
                <c:pt idx="148">
                  <c:v>219.1501106</c:v>
                </c:pt>
                <c:pt idx="149">
                  <c:v>219.21353049999999</c:v>
                </c:pt>
                <c:pt idx="150">
                  <c:v>220.42990069999999</c:v>
                </c:pt>
                <c:pt idx="151">
                  <c:v>221.245968</c:v>
                </c:pt>
                <c:pt idx="152">
                  <c:v>221.4117517</c:v>
                </c:pt>
                <c:pt idx="153">
                  <c:v>222.15895190000001</c:v>
                </c:pt>
                <c:pt idx="154">
                  <c:v>222.41678519999999</c:v>
                </c:pt>
                <c:pt idx="155">
                  <c:v>223.19230490000001</c:v>
                </c:pt>
                <c:pt idx="156">
                  <c:v>223.65911370000001</c:v>
                </c:pt>
                <c:pt idx="157">
                  <c:v>223.75364300000001</c:v>
                </c:pt>
                <c:pt idx="158">
                  <c:v>224.3470245</c:v>
                </c:pt>
                <c:pt idx="159">
                  <c:v>224.56202909999999</c:v>
                </c:pt>
                <c:pt idx="160">
                  <c:v>224.93934049999999</c:v>
                </c:pt>
                <c:pt idx="161">
                  <c:v>225.1797511</c:v>
                </c:pt>
                <c:pt idx="162">
                  <c:v>225.2351496</c:v>
                </c:pt>
                <c:pt idx="163">
                  <c:v>225.25183129999999</c:v>
                </c:pt>
                <c:pt idx="164">
                  <c:v>225.25214579999999</c:v>
                </c:pt>
                <c:pt idx="165">
                  <c:v>225.39162540000001</c:v>
                </c:pt>
                <c:pt idx="166">
                  <c:v>225.4636332</c:v>
                </c:pt>
                <c:pt idx="167">
                  <c:v>225.47350850000001</c:v>
                </c:pt>
                <c:pt idx="168">
                  <c:v>225.96602630000001</c:v>
                </c:pt>
                <c:pt idx="169">
                  <c:v>226.72103559999999</c:v>
                </c:pt>
                <c:pt idx="170">
                  <c:v>226.9239785</c:v>
                </c:pt>
                <c:pt idx="171">
                  <c:v>126.4420645</c:v>
                </c:pt>
                <c:pt idx="172">
                  <c:v>126.49625810000001</c:v>
                </c:pt>
                <c:pt idx="173">
                  <c:v>126.5782857</c:v>
                </c:pt>
                <c:pt idx="174">
                  <c:v>126.60428570000001</c:v>
                </c:pt>
                <c:pt idx="175">
                  <c:v>126.6034839</c:v>
                </c:pt>
                <c:pt idx="176">
                  <c:v>126.6019032</c:v>
                </c:pt>
                <c:pt idx="177">
                  <c:v>126.2898</c:v>
                </c:pt>
                <c:pt idx="178">
                  <c:v>126.1360645</c:v>
                </c:pt>
                <c:pt idx="179">
                  <c:v>126.1119032</c:v>
                </c:pt>
                <c:pt idx="180">
                  <c:v>126.1392</c:v>
                </c:pt>
                <c:pt idx="181">
                  <c:v>126.15179999999999</c:v>
                </c:pt>
                <c:pt idx="182">
                  <c:v>126.0854516</c:v>
                </c:pt>
                <c:pt idx="183">
                  <c:v>126.1019355</c:v>
                </c:pt>
                <c:pt idx="184">
                  <c:v>126.1145806</c:v>
                </c:pt>
                <c:pt idx="185">
                  <c:v>126.2346</c:v>
                </c:pt>
                <c:pt idx="186">
                  <c:v>126.2791667</c:v>
                </c:pt>
                <c:pt idx="187">
                  <c:v>126.4912903</c:v>
                </c:pt>
                <c:pt idx="188">
                  <c:v>126.54616129999999</c:v>
                </c:pt>
                <c:pt idx="189">
                  <c:v>126.7313333</c:v>
                </c:pt>
                <c:pt idx="190">
                  <c:v>126.79340000000001</c:v>
                </c:pt>
                <c:pt idx="191">
                  <c:v>127.1917742</c:v>
                </c:pt>
                <c:pt idx="192">
                  <c:v>127.7195806</c:v>
                </c:pt>
                <c:pt idx="193">
                  <c:v>127.859129</c:v>
                </c:pt>
                <c:pt idx="194">
                  <c:v>128.26474999999999</c:v>
                </c:pt>
                <c:pt idx="195">
                  <c:v>128.39949999999999</c:v>
                </c:pt>
                <c:pt idx="196">
                  <c:v>128.71993549999999</c:v>
                </c:pt>
                <c:pt idx="197">
                  <c:v>128.82380649999999</c:v>
                </c:pt>
                <c:pt idx="198">
                  <c:v>129.04443330000001</c:v>
                </c:pt>
                <c:pt idx="199">
                  <c:v>129.04903229999999</c:v>
                </c:pt>
                <c:pt idx="200">
                  <c:v>129.03570970000001</c:v>
                </c:pt>
                <c:pt idx="201">
                  <c:v>129.08940000000001</c:v>
                </c:pt>
                <c:pt idx="202">
                  <c:v>129.11250000000001</c:v>
                </c:pt>
                <c:pt idx="203">
                  <c:v>129.18464520000001</c:v>
                </c:pt>
                <c:pt idx="204">
                  <c:v>129.2015806</c:v>
                </c:pt>
                <c:pt idx="205">
                  <c:v>129.32593550000001</c:v>
                </c:pt>
                <c:pt idx="206">
                  <c:v>129.36861289999999</c:v>
                </c:pt>
                <c:pt idx="207">
                  <c:v>129.69380000000001</c:v>
                </c:pt>
                <c:pt idx="208">
                  <c:v>129.8051935</c:v>
                </c:pt>
                <c:pt idx="209">
                  <c:v>129.81670969999999</c:v>
                </c:pt>
                <c:pt idx="210">
                  <c:v>129.84596669999999</c:v>
                </c:pt>
                <c:pt idx="211">
                  <c:v>129.85553329999999</c:v>
                </c:pt>
                <c:pt idx="212">
                  <c:v>130.15751610000001</c:v>
                </c:pt>
                <c:pt idx="213">
                  <c:v>130.34967739999999</c:v>
                </c:pt>
                <c:pt idx="214">
                  <c:v>130.3849032</c:v>
                </c:pt>
                <c:pt idx="215">
                  <c:v>130.64579309999999</c:v>
                </c:pt>
                <c:pt idx="216">
                  <c:v>130.74137930000001</c:v>
                </c:pt>
                <c:pt idx="217">
                  <c:v>131.03754839999999</c:v>
                </c:pt>
                <c:pt idx="218">
                  <c:v>131.136</c:v>
                </c:pt>
                <c:pt idx="219">
                  <c:v>131.1453333</c:v>
                </c:pt>
                <c:pt idx="220">
                  <c:v>130.95922580000001</c:v>
                </c:pt>
                <c:pt idx="221">
                  <c:v>130.88967740000001</c:v>
                </c:pt>
                <c:pt idx="222">
                  <c:v>130.7196333</c:v>
                </c:pt>
                <c:pt idx="223">
                  <c:v>130.73787100000001</c:v>
                </c:pt>
                <c:pt idx="224">
                  <c:v>130.7561613</c:v>
                </c:pt>
                <c:pt idx="225">
                  <c:v>130.9325484</c:v>
                </c:pt>
                <c:pt idx="226">
                  <c:v>131.0756667</c:v>
                </c:pt>
                <c:pt idx="227">
                  <c:v>131.1083333</c:v>
                </c:pt>
                <c:pt idx="228">
                  <c:v>211.65397160000001</c:v>
                </c:pt>
                <c:pt idx="229">
                  <c:v>211.8004698</c:v>
                </c:pt>
                <c:pt idx="230">
                  <c:v>211.9071653</c:v>
                </c:pt>
                <c:pt idx="231">
                  <c:v>211.93718390000001</c:v>
                </c:pt>
                <c:pt idx="232">
                  <c:v>211.37288799999999</c:v>
                </c:pt>
                <c:pt idx="233">
                  <c:v>211.17388349999999</c:v>
                </c:pt>
                <c:pt idx="234">
                  <c:v>210.8896556</c:v>
                </c:pt>
                <c:pt idx="235">
                  <c:v>211.7325146</c:v>
                </c:pt>
                <c:pt idx="236">
                  <c:v>212.01426050000001</c:v>
                </c:pt>
                <c:pt idx="237">
                  <c:v>211.78018610000001</c:v>
                </c:pt>
                <c:pt idx="238">
                  <c:v>211.66429070000001</c:v>
                </c:pt>
                <c:pt idx="239">
                  <c:v>212.06244469999999</c:v>
                </c:pt>
                <c:pt idx="240">
                  <c:v>212.08691759999999</c:v>
                </c:pt>
                <c:pt idx="241">
                  <c:v>212.04992709999999</c:v>
                </c:pt>
                <c:pt idx="242">
                  <c:v>212.22694630000001</c:v>
                </c:pt>
                <c:pt idx="243">
                  <c:v>212.30195219999999</c:v>
                </c:pt>
                <c:pt idx="244">
                  <c:v>212.5126051</c:v>
                </c:pt>
                <c:pt idx="245">
                  <c:v>212.5604113</c:v>
                </c:pt>
                <c:pt idx="246">
                  <c:v>212.16139509999999</c:v>
                </c:pt>
                <c:pt idx="247">
                  <c:v>212.0193491</c:v>
                </c:pt>
                <c:pt idx="248">
                  <c:v>211.9560305</c:v>
                </c:pt>
                <c:pt idx="249">
                  <c:v>213.1229755</c:v>
                </c:pt>
                <c:pt idx="250">
                  <c:v>213.49446270000001</c:v>
                </c:pt>
                <c:pt idx="251">
                  <c:v>214.3842702</c:v>
                </c:pt>
                <c:pt idx="252">
                  <c:v>214.67299009999999</c:v>
                </c:pt>
                <c:pt idx="253">
                  <c:v>215.40244060000001</c:v>
                </c:pt>
                <c:pt idx="254">
                  <c:v>215.64079390000001</c:v>
                </c:pt>
                <c:pt idx="255">
                  <c:v>216.36558769999999</c:v>
                </c:pt>
                <c:pt idx="256">
                  <c:v>215.83843189999999</c:v>
                </c:pt>
                <c:pt idx="257">
                  <c:v>215.60645550000001</c:v>
                </c:pt>
                <c:pt idx="258">
                  <c:v>215.74745369999999</c:v>
                </c:pt>
                <c:pt idx="259">
                  <c:v>215.84094909999999</c:v>
                </c:pt>
                <c:pt idx="260">
                  <c:v>216.10711979999999</c:v>
                </c:pt>
                <c:pt idx="261">
                  <c:v>216.16780320000001</c:v>
                </c:pt>
                <c:pt idx="262">
                  <c:v>216.3588498</c:v>
                </c:pt>
                <c:pt idx="263">
                  <c:v>216.42268189999999</c:v>
                </c:pt>
                <c:pt idx="264">
                  <c:v>217.61236479999999</c:v>
                </c:pt>
                <c:pt idx="265">
                  <c:v>218.40840800000001</c:v>
                </c:pt>
                <c:pt idx="266">
                  <c:v>218.5699621</c:v>
                </c:pt>
                <c:pt idx="267">
                  <c:v>219.29172869999999</c:v>
                </c:pt>
                <c:pt idx="268">
                  <c:v>219.540637</c:v>
                </c:pt>
                <c:pt idx="269">
                  <c:v>220.2969205</c:v>
                </c:pt>
                <c:pt idx="270">
                  <c:v>220.75619409999999</c:v>
                </c:pt>
                <c:pt idx="271">
                  <c:v>220.84958599999999</c:v>
                </c:pt>
                <c:pt idx="272">
                  <c:v>221.43421459999999</c:v>
                </c:pt>
                <c:pt idx="273">
                  <c:v>221.64600479999999</c:v>
                </c:pt>
                <c:pt idx="274">
                  <c:v>222.0225762</c:v>
                </c:pt>
                <c:pt idx="275">
                  <c:v>222.2594722</c:v>
                </c:pt>
                <c:pt idx="276">
                  <c:v>222.31359259999999</c:v>
                </c:pt>
                <c:pt idx="277">
                  <c:v>222.33432769999999</c:v>
                </c:pt>
                <c:pt idx="278">
                  <c:v>222.33627000000001</c:v>
                </c:pt>
                <c:pt idx="279">
                  <c:v>222.47143360000001</c:v>
                </c:pt>
                <c:pt idx="280">
                  <c:v>222.53851109999999</c:v>
                </c:pt>
                <c:pt idx="281">
                  <c:v>222.5472987</c:v>
                </c:pt>
                <c:pt idx="282">
                  <c:v>223.02988049999999</c:v>
                </c:pt>
                <c:pt idx="283">
                  <c:v>223.77444439999999</c:v>
                </c:pt>
                <c:pt idx="284">
                  <c:v>223.97478699999999</c:v>
                </c:pt>
                <c:pt idx="285">
                  <c:v>212.62235179999999</c:v>
                </c:pt>
                <c:pt idx="286">
                  <c:v>212.77004249999999</c:v>
                </c:pt>
                <c:pt idx="287">
                  <c:v>212.8745193</c:v>
                </c:pt>
                <c:pt idx="288">
                  <c:v>212.9037017</c:v>
                </c:pt>
                <c:pt idx="289">
                  <c:v>212.3322805</c:v>
                </c:pt>
                <c:pt idx="290">
                  <c:v>212.1308239</c:v>
                </c:pt>
                <c:pt idx="291">
                  <c:v>211.84427059999999</c:v>
                </c:pt>
                <c:pt idx="292">
                  <c:v>212.69824360000001</c:v>
                </c:pt>
                <c:pt idx="293">
                  <c:v>212.98359919999999</c:v>
                </c:pt>
                <c:pt idx="294">
                  <c:v>212.74689799999999</c:v>
                </c:pt>
                <c:pt idx="295">
                  <c:v>212.62965489999999</c:v>
                </c:pt>
                <c:pt idx="296">
                  <c:v>213.0311188</c:v>
                </c:pt>
                <c:pt idx="297">
                  <c:v>213.05192220000001</c:v>
                </c:pt>
                <c:pt idx="298">
                  <c:v>213.01331200000001</c:v>
                </c:pt>
                <c:pt idx="299">
                  <c:v>213.19071289999999</c:v>
                </c:pt>
                <c:pt idx="300">
                  <c:v>213.2661373</c:v>
                </c:pt>
                <c:pt idx="301">
                  <c:v>213.47855029999999</c:v>
                </c:pt>
                <c:pt idx="302">
                  <c:v>213.5268011</c:v>
                </c:pt>
                <c:pt idx="303">
                  <c:v>213.123851</c:v>
                </c:pt>
                <c:pt idx="304">
                  <c:v>212.98040589999999</c:v>
                </c:pt>
                <c:pt idx="305">
                  <c:v>212.91342660000001</c:v>
                </c:pt>
                <c:pt idx="306">
                  <c:v>214.0887176</c:v>
                </c:pt>
                <c:pt idx="307">
                  <c:v>214.46309410000001</c:v>
                </c:pt>
                <c:pt idx="308">
                  <c:v>215.35842310000001</c:v>
                </c:pt>
                <c:pt idx="309">
                  <c:v>215.6488731</c:v>
                </c:pt>
                <c:pt idx="310">
                  <c:v>216.38412489999999</c:v>
                </c:pt>
                <c:pt idx="311">
                  <c:v>216.62443339999999</c:v>
                </c:pt>
                <c:pt idx="312">
                  <c:v>217.35475690000001</c:v>
                </c:pt>
                <c:pt idx="313">
                  <c:v>216.81925200000001</c:v>
                </c:pt>
                <c:pt idx="314">
                  <c:v>216.58407320000001</c:v>
                </c:pt>
                <c:pt idx="315">
                  <c:v>216.72573879999999</c:v>
                </c:pt>
                <c:pt idx="316">
                  <c:v>216.82002750000001</c:v>
                </c:pt>
                <c:pt idx="317">
                  <c:v>217.08398940000001</c:v>
                </c:pt>
                <c:pt idx="318">
                  <c:v>217.14382810000001</c:v>
                </c:pt>
                <c:pt idx="319">
                  <c:v>217.3343423</c:v>
                </c:pt>
                <c:pt idx="320">
                  <c:v>217.39803040000001</c:v>
                </c:pt>
                <c:pt idx="321">
                  <c:v>218.59703999999999</c:v>
                </c:pt>
                <c:pt idx="322">
                  <c:v>219.40008119999999</c:v>
                </c:pt>
                <c:pt idx="323">
                  <c:v>219.56311349999999</c:v>
                </c:pt>
                <c:pt idx="324">
                  <c:v>220.29376859999999</c:v>
                </c:pt>
                <c:pt idx="325">
                  <c:v>220.54579609999999</c:v>
                </c:pt>
                <c:pt idx="326">
                  <c:v>221.3088023</c:v>
                </c:pt>
                <c:pt idx="327">
                  <c:v>221.77070929999999</c:v>
                </c:pt>
                <c:pt idx="328">
                  <c:v>221.86449870000001</c:v>
                </c:pt>
                <c:pt idx="329">
                  <c:v>222.4521862</c:v>
                </c:pt>
                <c:pt idx="330">
                  <c:v>222.66509980000001</c:v>
                </c:pt>
                <c:pt idx="331">
                  <c:v>223.04192979999999</c:v>
                </c:pt>
                <c:pt idx="332">
                  <c:v>223.2800541</c:v>
                </c:pt>
                <c:pt idx="333">
                  <c:v>223.33462119999999</c:v>
                </c:pt>
                <c:pt idx="334">
                  <c:v>223.35393970000001</c:v>
                </c:pt>
                <c:pt idx="335">
                  <c:v>223.35531309999999</c:v>
                </c:pt>
                <c:pt idx="336">
                  <c:v>223.49198509999999</c:v>
                </c:pt>
                <c:pt idx="337">
                  <c:v>223.5607856</c:v>
                </c:pt>
                <c:pt idx="338">
                  <c:v>223.56995330000001</c:v>
                </c:pt>
                <c:pt idx="339">
                  <c:v>224.05600759999999</c:v>
                </c:pt>
                <c:pt idx="340">
                  <c:v>224.80422200000001</c:v>
                </c:pt>
                <c:pt idx="341">
                  <c:v>225.00547330000001</c:v>
                </c:pt>
                <c:pt idx="342">
                  <c:v>189.38169740000001</c:v>
                </c:pt>
                <c:pt idx="343">
                  <c:v>189.46427249999999</c:v>
                </c:pt>
                <c:pt idx="344">
                  <c:v>189.66950489999999</c:v>
                </c:pt>
                <c:pt idx="345">
                  <c:v>189.73720750000001</c:v>
                </c:pt>
                <c:pt idx="346">
                  <c:v>189.70482150000001</c:v>
                </c:pt>
                <c:pt idx="347">
                  <c:v>189.69010119999999</c:v>
                </c:pt>
                <c:pt idx="348">
                  <c:v>189.53124829999999</c:v>
                </c:pt>
                <c:pt idx="349">
                  <c:v>189.42265800000001</c:v>
                </c:pt>
                <c:pt idx="350">
                  <c:v>189.4000734</c:v>
                </c:pt>
                <c:pt idx="351">
                  <c:v>189.48826030000001</c:v>
                </c:pt>
                <c:pt idx="352">
                  <c:v>189.52312760000001</c:v>
                </c:pt>
                <c:pt idx="353">
                  <c:v>190.09900279999999</c:v>
                </c:pt>
                <c:pt idx="354">
                  <c:v>190.3621607</c:v>
                </c:pt>
                <c:pt idx="355">
                  <c:v>190.3958293</c:v>
                </c:pt>
                <c:pt idx="356">
                  <c:v>190.67382409999999</c:v>
                </c:pt>
                <c:pt idx="357">
                  <c:v>190.77632180000001</c:v>
                </c:pt>
                <c:pt idx="358">
                  <c:v>190.9964377</c:v>
                </c:pt>
                <c:pt idx="359">
                  <c:v>191.0411474</c:v>
                </c:pt>
                <c:pt idx="360">
                  <c:v>190.99314369999999</c:v>
                </c:pt>
                <c:pt idx="361">
                  <c:v>190.97410690000001</c:v>
                </c:pt>
                <c:pt idx="362">
                  <c:v>191.3683815</c:v>
                </c:pt>
                <c:pt idx="363">
                  <c:v>191.76258949999999</c:v>
                </c:pt>
                <c:pt idx="364">
                  <c:v>191.85728810000001</c:v>
                </c:pt>
                <c:pt idx="365">
                  <c:v>192.01160039999999</c:v>
                </c:pt>
                <c:pt idx="366">
                  <c:v>192.05848399999999</c:v>
                </c:pt>
                <c:pt idx="367">
                  <c:v>192.26917069999999</c:v>
                </c:pt>
                <c:pt idx="368">
                  <c:v>192.3418571</c:v>
                </c:pt>
                <c:pt idx="369">
                  <c:v>192.72520059999999</c:v>
                </c:pt>
                <c:pt idx="370">
                  <c:v>192.8418131</c:v>
                </c:pt>
                <c:pt idx="371">
                  <c:v>192.84706120000001</c:v>
                </c:pt>
                <c:pt idx="372">
                  <c:v>193.09305520000001</c:v>
                </c:pt>
                <c:pt idx="373">
                  <c:v>193.18784479999999</c:v>
                </c:pt>
                <c:pt idx="374">
                  <c:v>193.91101330000001</c:v>
                </c:pt>
                <c:pt idx="375">
                  <c:v>194.11050169999999</c:v>
                </c:pt>
                <c:pt idx="376">
                  <c:v>194.5092113</c:v>
                </c:pt>
                <c:pt idx="377">
                  <c:v>194.6387853</c:v>
                </c:pt>
                <c:pt idx="378">
                  <c:v>194.94597239999999</c:v>
                </c:pt>
                <c:pt idx="379">
                  <c:v>195.48479589999999</c:v>
                </c:pt>
                <c:pt idx="380">
                  <c:v>195.6376941</c:v>
                </c:pt>
                <c:pt idx="381">
                  <c:v>195.82232870000001</c:v>
                </c:pt>
                <c:pt idx="382">
                  <c:v>195.8742575</c:v>
                </c:pt>
                <c:pt idx="383">
                  <c:v>196.5458309</c:v>
                </c:pt>
                <c:pt idx="384">
                  <c:v>196.8728921</c:v>
                </c:pt>
                <c:pt idx="385">
                  <c:v>196.91950560000001</c:v>
                </c:pt>
                <c:pt idx="386">
                  <c:v>196.9565303</c:v>
                </c:pt>
                <c:pt idx="387">
                  <c:v>196.96315989999999</c:v>
                </c:pt>
                <c:pt idx="388">
                  <c:v>197.5971285</c:v>
                </c:pt>
                <c:pt idx="389">
                  <c:v>197.60635339999999</c:v>
                </c:pt>
                <c:pt idx="390">
                  <c:v>197.5481609</c:v>
                </c:pt>
                <c:pt idx="391">
                  <c:v>197.6218954</c:v>
                </c:pt>
                <c:pt idx="392">
                  <c:v>197.6551863</c:v>
                </c:pt>
                <c:pt idx="393">
                  <c:v>197.83221950000001</c:v>
                </c:pt>
                <c:pt idx="394">
                  <c:v>198.02938929999999</c:v>
                </c:pt>
                <c:pt idx="395">
                  <c:v>198.0795651</c:v>
                </c:pt>
                <c:pt idx="396">
                  <c:v>198.0950484</c:v>
                </c:pt>
                <c:pt idx="397">
                  <c:v>198.8221322</c:v>
                </c:pt>
                <c:pt idx="398">
                  <c:v>199.0539368</c:v>
                </c:pt>
                <c:pt idx="399">
                  <c:v>214.47145119999999</c:v>
                </c:pt>
                <c:pt idx="400">
                  <c:v>214.62141890000001</c:v>
                </c:pt>
                <c:pt idx="401">
                  <c:v>214.7216592</c:v>
                </c:pt>
                <c:pt idx="402">
                  <c:v>214.74924490000001</c:v>
                </c:pt>
                <c:pt idx="403">
                  <c:v>214.16421800000001</c:v>
                </c:pt>
                <c:pt idx="404">
                  <c:v>213.95807930000001</c:v>
                </c:pt>
                <c:pt idx="405">
                  <c:v>213.6670857</c:v>
                </c:pt>
                <c:pt idx="406">
                  <c:v>214.5422806</c:v>
                </c:pt>
                <c:pt idx="407">
                  <c:v>214.834529</c:v>
                </c:pt>
                <c:pt idx="408">
                  <c:v>214.59281189999999</c:v>
                </c:pt>
                <c:pt idx="409">
                  <c:v>214.47299520000001</c:v>
                </c:pt>
                <c:pt idx="410">
                  <c:v>214.8807793</c:v>
                </c:pt>
                <c:pt idx="411">
                  <c:v>214.894576</c:v>
                </c:pt>
                <c:pt idx="412">
                  <c:v>214.8528728</c:v>
                </c:pt>
                <c:pt idx="413">
                  <c:v>215.0310029</c:v>
                </c:pt>
                <c:pt idx="414">
                  <c:v>215.10722620000001</c:v>
                </c:pt>
                <c:pt idx="415">
                  <c:v>215.32300000000001</c:v>
                </c:pt>
                <c:pt idx="416">
                  <c:v>215.37209999999999</c:v>
                </c:pt>
                <c:pt idx="417">
                  <c:v>214.96163809999999</c:v>
                </c:pt>
                <c:pt idx="418">
                  <c:v>214.81552139999999</c:v>
                </c:pt>
                <c:pt idx="419">
                  <c:v>214.74155210000001</c:v>
                </c:pt>
                <c:pt idx="420">
                  <c:v>215.9327797</c:v>
                </c:pt>
                <c:pt idx="421">
                  <c:v>216.3126733</c:v>
                </c:pt>
                <c:pt idx="422">
                  <c:v>217.21854540000001</c:v>
                </c:pt>
                <c:pt idx="423">
                  <c:v>217.51229900000001</c:v>
                </c:pt>
                <c:pt idx="424">
                  <c:v>218.25862810000001</c:v>
                </c:pt>
                <c:pt idx="425">
                  <c:v>218.50266999999999</c:v>
                </c:pt>
                <c:pt idx="426">
                  <c:v>219.2435524</c:v>
                </c:pt>
                <c:pt idx="427">
                  <c:v>218.69210509999999</c:v>
                </c:pt>
                <c:pt idx="428">
                  <c:v>218.45081149999999</c:v>
                </c:pt>
                <c:pt idx="429">
                  <c:v>218.5937514</c:v>
                </c:pt>
                <c:pt idx="430">
                  <c:v>218.6895548</c:v>
                </c:pt>
                <c:pt idx="431">
                  <c:v>218.94929909999999</c:v>
                </c:pt>
                <c:pt idx="432">
                  <c:v>219.00752489999999</c:v>
                </c:pt>
                <c:pt idx="433">
                  <c:v>219.1970226</c:v>
                </c:pt>
                <c:pt idx="434">
                  <c:v>219.2604355</c:v>
                </c:pt>
                <c:pt idx="435">
                  <c:v>220.4772543</c:v>
                </c:pt>
                <c:pt idx="436">
                  <c:v>221.29365809999999</c:v>
                </c:pt>
                <c:pt idx="437">
                  <c:v>221.45951289999999</c:v>
                </c:pt>
                <c:pt idx="438">
                  <c:v>222.20714050000001</c:v>
                </c:pt>
                <c:pt idx="439">
                  <c:v>222.46512379999999</c:v>
                </c:pt>
                <c:pt idx="440">
                  <c:v>223.2409668</c:v>
                </c:pt>
                <c:pt idx="441">
                  <c:v>223.7079023</c:v>
                </c:pt>
                <c:pt idx="442">
                  <c:v>223.80245070000001</c:v>
                </c:pt>
                <c:pt idx="443">
                  <c:v>224.39597929999999</c:v>
                </c:pt>
                <c:pt idx="444">
                  <c:v>224.61103790000001</c:v>
                </c:pt>
                <c:pt idx="445">
                  <c:v>224.98836180000001</c:v>
                </c:pt>
                <c:pt idx="446">
                  <c:v>225.22883139999999</c:v>
                </c:pt>
                <c:pt idx="447">
                  <c:v>225.28425139999999</c:v>
                </c:pt>
                <c:pt idx="448">
                  <c:v>225.30086499999999</c:v>
                </c:pt>
                <c:pt idx="449">
                  <c:v>225.3011521</c:v>
                </c:pt>
                <c:pt idx="450">
                  <c:v>225.44070429999999</c:v>
                </c:pt>
                <c:pt idx="451">
                  <c:v>225.51279489999999</c:v>
                </c:pt>
                <c:pt idx="452">
                  <c:v>225.52268849999999</c:v>
                </c:pt>
                <c:pt idx="453">
                  <c:v>226.01537329999999</c:v>
                </c:pt>
                <c:pt idx="454">
                  <c:v>226.77055809999999</c:v>
                </c:pt>
                <c:pt idx="455">
                  <c:v>226.97354480000001</c:v>
                </c:pt>
                <c:pt idx="456">
                  <c:v>214.6554591</c:v>
                </c:pt>
                <c:pt idx="457">
                  <c:v>214.80565340000001</c:v>
                </c:pt>
                <c:pt idx="458">
                  <c:v>214.9054721</c:v>
                </c:pt>
                <c:pt idx="459">
                  <c:v>214.93289899999999</c:v>
                </c:pt>
                <c:pt idx="460">
                  <c:v>214.3465181</c:v>
                </c:pt>
                <c:pt idx="461">
                  <c:v>214.13991350000001</c:v>
                </c:pt>
                <c:pt idx="462">
                  <c:v>213.848478</c:v>
                </c:pt>
                <c:pt idx="463">
                  <c:v>214.72578480000001</c:v>
                </c:pt>
                <c:pt idx="464">
                  <c:v>215.0187191</c:v>
                </c:pt>
                <c:pt idx="465">
                  <c:v>214.7765028</c:v>
                </c:pt>
                <c:pt idx="466">
                  <c:v>214.65643009999999</c:v>
                </c:pt>
                <c:pt idx="467">
                  <c:v>215.064843</c:v>
                </c:pt>
                <c:pt idx="468">
                  <c:v>215.0779426</c:v>
                </c:pt>
                <c:pt idx="469">
                  <c:v>215.0359315</c:v>
                </c:pt>
                <c:pt idx="470">
                  <c:v>215.2141341</c:v>
                </c:pt>
                <c:pt idx="471">
                  <c:v>215.290437</c:v>
                </c:pt>
                <c:pt idx="472">
                  <c:v>215.50654520000001</c:v>
                </c:pt>
                <c:pt idx="473">
                  <c:v>215.5557297</c:v>
                </c:pt>
                <c:pt idx="474">
                  <c:v>215.14452030000001</c:v>
                </c:pt>
                <c:pt idx="475">
                  <c:v>214.99813779999999</c:v>
                </c:pt>
                <c:pt idx="476">
                  <c:v>214.92347290000001</c:v>
                </c:pt>
                <c:pt idx="477">
                  <c:v>216.11628640000001</c:v>
                </c:pt>
                <c:pt idx="478">
                  <c:v>216.49672899999999</c:v>
                </c:pt>
                <c:pt idx="479">
                  <c:v>217.40365030000001</c:v>
                </c:pt>
                <c:pt idx="480">
                  <c:v>217.69773259999999</c:v>
                </c:pt>
                <c:pt idx="481">
                  <c:v>218.44516400000001</c:v>
                </c:pt>
                <c:pt idx="482">
                  <c:v>218.68957750000001</c:v>
                </c:pt>
                <c:pt idx="483">
                  <c:v>219.4315106</c:v>
                </c:pt>
                <c:pt idx="484">
                  <c:v>218.87847679999999</c:v>
                </c:pt>
                <c:pt idx="485">
                  <c:v>218.63657470000001</c:v>
                </c:pt>
                <c:pt idx="486">
                  <c:v>218.7796415</c:v>
                </c:pt>
                <c:pt idx="487">
                  <c:v>218.8755955</c:v>
                </c:pt>
                <c:pt idx="488">
                  <c:v>219.13492009999999</c:v>
                </c:pt>
                <c:pt idx="489">
                  <c:v>219.1929854</c:v>
                </c:pt>
                <c:pt idx="490">
                  <c:v>219.38238200000001</c:v>
                </c:pt>
                <c:pt idx="491">
                  <c:v>219.44576749999999</c:v>
                </c:pt>
                <c:pt idx="492">
                  <c:v>220.66435849999999</c:v>
                </c:pt>
                <c:pt idx="493">
                  <c:v>221.48209209999999</c:v>
                </c:pt>
                <c:pt idx="494">
                  <c:v>221.6482278</c:v>
                </c:pt>
                <c:pt idx="495">
                  <c:v>222.39754429999999</c:v>
                </c:pt>
                <c:pt idx="496">
                  <c:v>222.6561203</c:v>
                </c:pt>
                <c:pt idx="497">
                  <c:v>223.43324079999999</c:v>
                </c:pt>
                <c:pt idx="498">
                  <c:v>223.9006766</c:v>
                </c:pt>
                <c:pt idx="499">
                  <c:v>223.99530060000001</c:v>
                </c:pt>
                <c:pt idx="500">
                  <c:v>224.58941039999999</c:v>
                </c:pt>
                <c:pt idx="501">
                  <c:v>224.80468250000001</c:v>
                </c:pt>
                <c:pt idx="502">
                  <c:v>225.18205549999999</c:v>
                </c:pt>
                <c:pt idx="503">
                  <c:v>225.42275849999999</c:v>
                </c:pt>
                <c:pt idx="504">
                  <c:v>225.4782634</c:v>
                </c:pt>
                <c:pt idx="505">
                  <c:v>225.49460780000001</c:v>
                </c:pt>
                <c:pt idx="506">
                  <c:v>225.49478680000001</c:v>
                </c:pt>
                <c:pt idx="507">
                  <c:v>225.63462559999999</c:v>
                </c:pt>
                <c:pt idx="508">
                  <c:v>225.70704370000001</c:v>
                </c:pt>
                <c:pt idx="509">
                  <c:v>225.71700939999999</c:v>
                </c:pt>
                <c:pt idx="510">
                  <c:v>226.21035409999999</c:v>
                </c:pt>
                <c:pt idx="511">
                  <c:v>226.96623249999999</c:v>
                </c:pt>
                <c:pt idx="512">
                  <c:v>227.16939189999999</c:v>
                </c:pt>
                <c:pt idx="513">
                  <c:v>126.4420645</c:v>
                </c:pt>
                <c:pt idx="514">
                  <c:v>126.49625810000001</c:v>
                </c:pt>
                <c:pt idx="515">
                  <c:v>126.5782857</c:v>
                </c:pt>
                <c:pt idx="516">
                  <c:v>126.60428570000001</c:v>
                </c:pt>
                <c:pt idx="517">
                  <c:v>126.6034839</c:v>
                </c:pt>
                <c:pt idx="518">
                  <c:v>126.6019032</c:v>
                </c:pt>
                <c:pt idx="519">
                  <c:v>126.2898</c:v>
                </c:pt>
                <c:pt idx="520">
                  <c:v>126.1360645</c:v>
                </c:pt>
                <c:pt idx="521">
                  <c:v>126.1119032</c:v>
                </c:pt>
                <c:pt idx="522">
                  <c:v>126.1392</c:v>
                </c:pt>
                <c:pt idx="523">
                  <c:v>126.15179999999999</c:v>
                </c:pt>
                <c:pt idx="524">
                  <c:v>126.0854516</c:v>
                </c:pt>
                <c:pt idx="525">
                  <c:v>126.1019355</c:v>
                </c:pt>
                <c:pt idx="526">
                  <c:v>126.1145806</c:v>
                </c:pt>
                <c:pt idx="527">
                  <c:v>126.2346</c:v>
                </c:pt>
                <c:pt idx="528">
                  <c:v>126.2791667</c:v>
                </c:pt>
                <c:pt idx="529">
                  <c:v>126.4912903</c:v>
                </c:pt>
                <c:pt idx="530">
                  <c:v>126.54616129999999</c:v>
                </c:pt>
                <c:pt idx="531">
                  <c:v>126.7313333</c:v>
                </c:pt>
                <c:pt idx="532">
                  <c:v>126.79340000000001</c:v>
                </c:pt>
                <c:pt idx="533">
                  <c:v>127.1917742</c:v>
                </c:pt>
                <c:pt idx="534">
                  <c:v>127.7195806</c:v>
                </c:pt>
                <c:pt idx="535">
                  <c:v>127.859129</c:v>
                </c:pt>
                <c:pt idx="536">
                  <c:v>128.26474999999999</c:v>
                </c:pt>
                <c:pt idx="537">
                  <c:v>128.39949999999999</c:v>
                </c:pt>
                <c:pt idx="538">
                  <c:v>128.71993549999999</c:v>
                </c:pt>
                <c:pt idx="539">
                  <c:v>128.82380649999999</c:v>
                </c:pt>
                <c:pt idx="540">
                  <c:v>129.04443330000001</c:v>
                </c:pt>
                <c:pt idx="541">
                  <c:v>129.04903229999999</c:v>
                </c:pt>
                <c:pt idx="542">
                  <c:v>129.03570970000001</c:v>
                </c:pt>
                <c:pt idx="543">
                  <c:v>129.08940000000001</c:v>
                </c:pt>
                <c:pt idx="544">
                  <c:v>129.11250000000001</c:v>
                </c:pt>
                <c:pt idx="545">
                  <c:v>129.18464520000001</c:v>
                </c:pt>
                <c:pt idx="546">
                  <c:v>129.2015806</c:v>
                </c:pt>
                <c:pt idx="547">
                  <c:v>129.32593550000001</c:v>
                </c:pt>
                <c:pt idx="548">
                  <c:v>129.36861289999999</c:v>
                </c:pt>
                <c:pt idx="549">
                  <c:v>129.69380000000001</c:v>
                </c:pt>
                <c:pt idx="550">
                  <c:v>129.8051935</c:v>
                </c:pt>
                <c:pt idx="551">
                  <c:v>129.81670969999999</c:v>
                </c:pt>
                <c:pt idx="552">
                  <c:v>129.84596669999999</c:v>
                </c:pt>
                <c:pt idx="553">
                  <c:v>129.85553329999999</c:v>
                </c:pt>
                <c:pt idx="554">
                  <c:v>130.15751610000001</c:v>
                </c:pt>
                <c:pt idx="555">
                  <c:v>130.34967739999999</c:v>
                </c:pt>
                <c:pt idx="556">
                  <c:v>130.3849032</c:v>
                </c:pt>
                <c:pt idx="557">
                  <c:v>130.64579309999999</c:v>
                </c:pt>
                <c:pt idx="558">
                  <c:v>130.74137930000001</c:v>
                </c:pt>
                <c:pt idx="559">
                  <c:v>131.03754839999999</c:v>
                </c:pt>
                <c:pt idx="560">
                  <c:v>131.136</c:v>
                </c:pt>
                <c:pt idx="561">
                  <c:v>131.1453333</c:v>
                </c:pt>
                <c:pt idx="562">
                  <c:v>130.95922580000001</c:v>
                </c:pt>
                <c:pt idx="563">
                  <c:v>130.88967740000001</c:v>
                </c:pt>
                <c:pt idx="564">
                  <c:v>130.7196333</c:v>
                </c:pt>
                <c:pt idx="565">
                  <c:v>130.73787100000001</c:v>
                </c:pt>
                <c:pt idx="566">
                  <c:v>130.7561613</c:v>
                </c:pt>
                <c:pt idx="567">
                  <c:v>130.9325484</c:v>
                </c:pt>
                <c:pt idx="568">
                  <c:v>131.0756667</c:v>
                </c:pt>
                <c:pt idx="569">
                  <c:v>131.1083333</c:v>
                </c:pt>
                <c:pt idx="570">
                  <c:v>214.42488119999999</c:v>
                </c:pt>
                <c:pt idx="571">
                  <c:v>214.5747916</c:v>
                </c:pt>
                <c:pt idx="572">
                  <c:v>214.6751386</c:v>
                </c:pt>
                <c:pt idx="573">
                  <c:v>214.70276459999999</c:v>
                </c:pt>
                <c:pt idx="574">
                  <c:v>214.1180803</c:v>
                </c:pt>
                <c:pt idx="575">
                  <c:v>213.9120595</c:v>
                </c:pt>
                <c:pt idx="576">
                  <c:v>213.6211778</c:v>
                </c:pt>
                <c:pt idx="577">
                  <c:v>214.49583820000001</c:v>
                </c:pt>
                <c:pt idx="578">
                  <c:v>214.787913</c:v>
                </c:pt>
                <c:pt idx="579">
                  <c:v>214.54632219999999</c:v>
                </c:pt>
                <c:pt idx="580">
                  <c:v>214.4265704</c:v>
                </c:pt>
                <c:pt idx="581">
                  <c:v>214.83419520000001</c:v>
                </c:pt>
                <c:pt idx="582">
                  <c:v>214.84816850000001</c:v>
                </c:pt>
                <c:pt idx="583">
                  <c:v>214.8065431</c:v>
                </c:pt>
                <c:pt idx="584">
                  <c:v>214.98465479999999</c:v>
                </c:pt>
                <c:pt idx="585">
                  <c:v>215.060858</c:v>
                </c:pt>
                <c:pt idx="586">
                  <c:v>215.27654720000001</c:v>
                </c:pt>
                <c:pt idx="587">
                  <c:v>215.32562580000001</c:v>
                </c:pt>
                <c:pt idx="588">
                  <c:v>214.9153531</c:v>
                </c:pt>
                <c:pt idx="589">
                  <c:v>214.76930369999999</c:v>
                </c:pt>
                <c:pt idx="590">
                  <c:v>214.69551039999999</c:v>
                </c:pt>
                <c:pt idx="591">
                  <c:v>215.88633669999999</c:v>
                </c:pt>
                <c:pt idx="592">
                  <c:v>216.2660913</c:v>
                </c:pt>
                <c:pt idx="593">
                  <c:v>217.1716979</c:v>
                </c:pt>
                <c:pt idx="594">
                  <c:v>217.46536829999999</c:v>
                </c:pt>
                <c:pt idx="595">
                  <c:v>218.21141840000001</c:v>
                </c:pt>
                <c:pt idx="596">
                  <c:v>218.45536630000001</c:v>
                </c:pt>
                <c:pt idx="597">
                  <c:v>219.1959827</c:v>
                </c:pt>
                <c:pt idx="598">
                  <c:v>218.6449369</c:v>
                </c:pt>
                <c:pt idx="599">
                  <c:v>218.4037974</c:v>
                </c:pt>
                <c:pt idx="600">
                  <c:v>218.54670519999999</c:v>
                </c:pt>
                <c:pt idx="601">
                  <c:v>218.64247040000001</c:v>
                </c:pt>
                <c:pt idx="602">
                  <c:v>218.90232090000001</c:v>
                </c:pt>
                <c:pt idx="603">
                  <c:v>218.96058729999999</c:v>
                </c:pt>
                <c:pt idx="604">
                  <c:v>219.1501106</c:v>
                </c:pt>
                <c:pt idx="605">
                  <c:v>219.21353049999999</c:v>
                </c:pt>
                <c:pt idx="606">
                  <c:v>220.42990069999999</c:v>
                </c:pt>
                <c:pt idx="607">
                  <c:v>221.245968</c:v>
                </c:pt>
                <c:pt idx="608">
                  <c:v>221.4117517</c:v>
                </c:pt>
                <c:pt idx="609">
                  <c:v>222.15895190000001</c:v>
                </c:pt>
                <c:pt idx="610">
                  <c:v>222.41678519999999</c:v>
                </c:pt>
                <c:pt idx="611">
                  <c:v>223.19230490000001</c:v>
                </c:pt>
                <c:pt idx="612">
                  <c:v>223.65911370000001</c:v>
                </c:pt>
                <c:pt idx="613">
                  <c:v>223.75364300000001</c:v>
                </c:pt>
                <c:pt idx="614">
                  <c:v>224.3470245</c:v>
                </c:pt>
                <c:pt idx="615">
                  <c:v>224.56202909999999</c:v>
                </c:pt>
                <c:pt idx="616">
                  <c:v>224.93934049999999</c:v>
                </c:pt>
                <c:pt idx="617">
                  <c:v>225.1797511</c:v>
                </c:pt>
                <c:pt idx="618">
                  <c:v>225.2351496</c:v>
                </c:pt>
                <c:pt idx="619">
                  <c:v>225.25183129999999</c:v>
                </c:pt>
                <c:pt idx="620">
                  <c:v>225.25214579999999</c:v>
                </c:pt>
                <c:pt idx="621">
                  <c:v>225.39162540000001</c:v>
                </c:pt>
                <c:pt idx="622">
                  <c:v>225.4636332</c:v>
                </c:pt>
                <c:pt idx="623">
                  <c:v>225.47350850000001</c:v>
                </c:pt>
                <c:pt idx="624">
                  <c:v>225.96602630000001</c:v>
                </c:pt>
                <c:pt idx="625">
                  <c:v>226.72103559999999</c:v>
                </c:pt>
                <c:pt idx="626">
                  <c:v>226.9239785</c:v>
                </c:pt>
                <c:pt idx="627">
                  <c:v>126.4420645</c:v>
                </c:pt>
                <c:pt idx="628">
                  <c:v>126.49625810000001</c:v>
                </c:pt>
                <c:pt idx="629">
                  <c:v>126.5782857</c:v>
                </c:pt>
                <c:pt idx="630">
                  <c:v>126.60428570000001</c:v>
                </c:pt>
                <c:pt idx="631">
                  <c:v>126.6034839</c:v>
                </c:pt>
                <c:pt idx="632">
                  <c:v>126.6019032</c:v>
                </c:pt>
                <c:pt idx="633">
                  <c:v>126.2898</c:v>
                </c:pt>
                <c:pt idx="634">
                  <c:v>126.1360645</c:v>
                </c:pt>
                <c:pt idx="635">
                  <c:v>126.1119032</c:v>
                </c:pt>
                <c:pt idx="636">
                  <c:v>126.1392</c:v>
                </c:pt>
                <c:pt idx="637">
                  <c:v>126.15179999999999</c:v>
                </c:pt>
                <c:pt idx="638">
                  <c:v>126.0854516</c:v>
                </c:pt>
                <c:pt idx="639">
                  <c:v>126.1019355</c:v>
                </c:pt>
                <c:pt idx="640">
                  <c:v>126.1145806</c:v>
                </c:pt>
                <c:pt idx="641">
                  <c:v>126.2346</c:v>
                </c:pt>
                <c:pt idx="642">
                  <c:v>126.2791667</c:v>
                </c:pt>
                <c:pt idx="643">
                  <c:v>126.4912903</c:v>
                </c:pt>
                <c:pt idx="644">
                  <c:v>126.54616129999999</c:v>
                </c:pt>
                <c:pt idx="645">
                  <c:v>126.7313333</c:v>
                </c:pt>
                <c:pt idx="646">
                  <c:v>126.79340000000001</c:v>
                </c:pt>
                <c:pt idx="647">
                  <c:v>127.1917742</c:v>
                </c:pt>
                <c:pt idx="648">
                  <c:v>127.7195806</c:v>
                </c:pt>
                <c:pt idx="649">
                  <c:v>127.859129</c:v>
                </c:pt>
                <c:pt idx="650">
                  <c:v>128.26474999999999</c:v>
                </c:pt>
                <c:pt idx="651">
                  <c:v>128.39949999999999</c:v>
                </c:pt>
                <c:pt idx="652">
                  <c:v>128.71993549999999</c:v>
                </c:pt>
                <c:pt idx="653">
                  <c:v>128.82380649999999</c:v>
                </c:pt>
                <c:pt idx="654">
                  <c:v>129.04443330000001</c:v>
                </c:pt>
                <c:pt idx="655">
                  <c:v>129.04903229999999</c:v>
                </c:pt>
                <c:pt idx="656">
                  <c:v>129.03570970000001</c:v>
                </c:pt>
                <c:pt idx="657">
                  <c:v>129.08940000000001</c:v>
                </c:pt>
                <c:pt idx="658">
                  <c:v>129.11250000000001</c:v>
                </c:pt>
                <c:pt idx="659">
                  <c:v>129.18464520000001</c:v>
                </c:pt>
                <c:pt idx="660">
                  <c:v>129.2015806</c:v>
                </c:pt>
                <c:pt idx="661">
                  <c:v>129.32593550000001</c:v>
                </c:pt>
                <c:pt idx="662">
                  <c:v>129.36861289999999</c:v>
                </c:pt>
                <c:pt idx="663">
                  <c:v>129.69380000000001</c:v>
                </c:pt>
                <c:pt idx="664">
                  <c:v>129.8051935</c:v>
                </c:pt>
                <c:pt idx="665">
                  <c:v>129.81670969999999</c:v>
                </c:pt>
                <c:pt idx="666">
                  <c:v>129.84596669999999</c:v>
                </c:pt>
                <c:pt idx="667">
                  <c:v>129.85553329999999</c:v>
                </c:pt>
                <c:pt idx="668">
                  <c:v>130.15751610000001</c:v>
                </c:pt>
                <c:pt idx="669">
                  <c:v>130.34967739999999</c:v>
                </c:pt>
                <c:pt idx="670">
                  <c:v>130.3849032</c:v>
                </c:pt>
                <c:pt idx="671">
                  <c:v>130.64579309999999</c:v>
                </c:pt>
                <c:pt idx="672">
                  <c:v>130.74137930000001</c:v>
                </c:pt>
                <c:pt idx="673">
                  <c:v>131.03754839999999</c:v>
                </c:pt>
                <c:pt idx="674">
                  <c:v>131.136</c:v>
                </c:pt>
                <c:pt idx="675">
                  <c:v>131.1453333</c:v>
                </c:pt>
                <c:pt idx="676">
                  <c:v>130.95922580000001</c:v>
                </c:pt>
                <c:pt idx="677">
                  <c:v>130.88967740000001</c:v>
                </c:pt>
                <c:pt idx="678">
                  <c:v>130.7196333</c:v>
                </c:pt>
                <c:pt idx="679">
                  <c:v>130.73787100000001</c:v>
                </c:pt>
                <c:pt idx="680">
                  <c:v>130.7561613</c:v>
                </c:pt>
                <c:pt idx="681">
                  <c:v>130.9325484</c:v>
                </c:pt>
                <c:pt idx="682">
                  <c:v>131.0756667</c:v>
                </c:pt>
                <c:pt idx="683">
                  <c:v>131.1083333</c:v>
                </c:pt>
                <c:pt idx="684">
                  <c:v>126.4420645</c:v>
                </c:pt>
                <c:pt idx="685">
                  <c:v>126.49625810000001</c:v>
                </c:pt>
                <c:pt idx="686">
                  <c:v>126.5782857</c:v>
                </c:pt>
                <c:pt idx="687">
                  <c:v>126.60428570000001</c:v>
                </c:pt>
                <c:pt idx="688">
                  <c:v>126.6034839</c:v>
                </c:pt>
                <c:pt idx="689">
                  <c:v>126.6019032</c:v>
                </c:pt>
                <c:pt idx="690">
                  <c:v>126.2898</c:v>
                </c:pt>
                <c:pt idx="691">
                  <c:v>126.1360645</c:v>
                </c:pt>
                <c:pt idx="692">
                  <c:v>126.1119032</c:v>
                </c:pt>
                <c:pt idx="693">
                  <c:v>126.1392</c:v>
                </c:pt>
                <c:pt idx="694">
                  <c:v>126.15179999999999</c:v>
                </c:pt>
                <c:pt idx="695">
                  <c:v>126.0854516</c:v>
                </c:pt>
                <c:pt idx="696">
                  <c:v>126.1019355</c:v>
                </c:pt>
                <c:pt idx="697">
                  <c:v>126.1145806</c:v>
                </c:pt>
                <c:pt idx="698">
                  <c:v>126.2346</c:v>
                </c:pt>
                <c:pt idx="699">
                  <c:v>126.2791667</c:v>
                </c:pt>
                <c:pt idx="700">
                  <c:v>126.4912903</c:v>
                </c:pt>
                <c:pt idx="701">
                  <c:v>126.54616129999999</c:v>
                </c:pt>
                <c:pt idx="702">
                  <c:v>126.7313333</c:v>
                </c:pt>
                <c:pt idx="703">
                  <c:v>126.79340000000001</c:v>
                </c:pt>
                <c:pt idx="704">
                  <c:v>127.1917742</c:v>
                </c:pt>
                <c:pt idx="705">
                  <c:v>127.7195806</c:v>
                </c:pt>
                <c:pt idx="706">
                  <c:v>127.859129</c:v>
                </c:pt>
                <c:pt idx="707">
                  <c:v>128.26474999999999</c:v>
                </c:pt>
                <c:pt idx="708">
                  <c:v>128.39949999999999</c:v>
                </c:pt>
                <c:pt idx="709">
                  <c:v>128.71993549999999</c:v>
                </c:pt>
                <c:pt idx="710">
                  <c:v>128.82380649999999</c:v>
                </c:pt>
                <c:pt idx="711">
                  <c:v>129.04443330000001</c:v>
                </c:pt>
                <c:pt idx="712">
                  <c:v>129.04903229999999</c:v>
                </c:pt>
                <c:pt idx="713">
                  <c:v>129.03570970000001</c:v>
                </c:pt>
                <c:pt idx="714">
                  <c:v>129.08940000000001</c:v>
                </c:pt>
                <c:pt idx="715">
                  <c:v>129.11250000000001</c:v>
                </c:pt>
                <c:pt idx="716">
                  <c:v>129.18464520000001</c:v>
                </c:pt>
                <c:pt idx="717">
                  <c:v>129.2015806</c:v>
                </c:pt>
                <c:pt idx="718">
                  <c:v>129.32593550000001</c:v>
                </c:pt>
                <c:pt idx="719">
                  <c:v>129.36861289999999</c:v>
                </c:pt>
                <c:pt idx="720">
                  <c:v>129.69380000000001</c:v>
                </c:pt>
                <c:pt idx="721">
                  <c:v>129.8051935</c:v>
                </c:pt>
                <c:pt idx="722">
                  <c:v>129.81670969999999</c:v>
                </c:pt>
                <c:pt idx="723">
                  <c:v>129.84596669999999</c:v>
                </c:pt>
                <c:pt idx="724">
                  <c:v>129.85553329999999</c:v>
                </c:pt>
                <c:pt idx="725">
                  <c:v>130.15751610000001</c:v>
                </c:pt>
                <c:pt idx="726">
                  <c:v>130.34967739999999</c:v>
                </c:pt>
                <c:pt idx="727">
                  <c:v>130.3849032</c:v>
                </c:pt>
                <c:pt idx="728">
                  <c:v>130.64579309999999</c:v>
                </c:pt>
                <c:pt idx="729">
                  <c:v>130.74137930000001</c:v>
                </c:pt>
                <c:pt idx="730">
                  <c:v>131.03754839999999</c:v>
                </c:pt>
                <c:pt idx="731">
                  <c:v>131.136</c:v>
                </c:pt>
                <c:pt idx="732">
                  <c:v>131.1453333</c:v>
                </c:pt>
                <c:pt idx="733">
                  <c:v>130.95922580000001</c:v>
                </c:pt>
                <c:pt idx="734">
                  <c:v>130.88967740000001</c:v>
                </c:pt>
                <c:pt idx="735">
                  <c:v>130.7196333</c:v>
                </c:pt>
                <c:pt idx="736">
                  <c:v>130.73787100000001</c:v>
                </c:pt>
                <c:pt idx="737">
                  <c:v>130.7561613</c:v>
                </c:pt>
                <c:pt idx="738">
                  <c:v>130.9325484</c:v>
                </c:pt>
                <c:pt idx="739">
                  <c:v>131.0756667</c:v>
                </c:pt>
                <c:pt idx="740">
                  <c:v>131.1083333</c:v>
                </c:pt>
                <c:pt idx="741">
                  <c:v>181.8711898</c:v>
                </c:pt>
                <c:pt idx="742">
                  <c:v>181.98231699999999</c:v>
                </c:pt>
                <c:pt idx="743">
                  <c:v>182.1201566</c:v>
                </c:pt>
                <c:pt idx="744">
                  <c:v>182.1628441</c:v>
                </c:pt>
                <c:pt idx="745">
                  <c:v>181.8657537</c:v>
                </c:pt>
                <c:pt idx="746">
                  <c:v>181.75963770000001</c:v>
                </c:pt>
                <c:pt idx="747">
                  <c:v>181.64681540000001</c:v>
                </c:pt>
                <c:pt idx="748">
                  <c:v>182.2389876</c:v>
                </c:pt>
                <c:pt idx="749">
                  <c:v>182.43155709999999</c:v>
                </c:pt>
                <c:pt idx="750">
                  <c:v>182.3187801</c:v>
                </c:pt>
                <c:pt idx="751">
                  <c:v>182.2569603</c:v>
                </c:pt>
                <c:pt idx="752">
                  <c:v>182.53208620000001</c:v>
                </c:pt>
                <c:pt idx="753">
                  <c:v>182.6042922</c:v>
                </c:pt>
                <c:pt idx="754">
                  <c:v>182.59817799999999</c:v>
                </c:pt>
                <c:pt idx="755">
                  <c:v>182.71683849999999</c:v>
                </c:pt>
                <c:pt idx="756">
                  <c:v>182.76400319999999</c:v>
                </c:pt>
                <c:pt idx="757">
                  <c:v>182.9463648</c:v>
                </c:pt>
                <c:pt idx="758">
                  <c:v>182.99161290000001</c:v>
                </c:pt>
                <c:pt idx="759">
                  <c:v>182.66761539999999</c:v>
                </c:pt>
                <c:pt idx="760">
                  <c:v>182.55195380000001</c:v>
                </c:pt>
                <c:pt idx="761">
                  <c:v>182.59830579999999</c:v>
                </c:pt>
                <c:pt idx="762">
                  <c:v>183.44085419999999</c:v>
                </c:pt>
                <c:pt idx="763">
                  <c:v>183.70161289999999</c:v>
                </c:pt>
                <c:pt idx="764">
                  <c:v>184.38799109999999</c:v>
                </c:pt>
                <c:pt idx="765">
                  <c:v>184.61341899999999</c:v>
                </c:pt>
                <c:pt idx="766">
                  <c:v>185.17901670000001</c:v>
                </c:pt>
                <c:pt idx="767">
                  <c:v>185.36366559999999</c:v>
                </c:pt>
                <c:pt idx="768">
                  <c:v>185.9374378</c:v>
                </c:pt>
                <c:pt idx="769">
                  <c:v>185.75450000000001</c:v>
                </c:pt>
                <c:pt idx="770">
                  <c:v>185.64869229999999</c:v>
                </c:pt>
                <c:pt idx="771">
                  <c:v>185.91198850000001</c:v>
                </c:pt>
                <c:pt idx="772">
                  <c:v>186.032016</c:v>
                </c:pt>
                <c:pt idx="773">
                  <c:v>186.37340380000001</c:v>
                </c:pt>
                <c:pt idx="774">
                  <c:v>186.4512115</c:v>
                </c:pt>
                <c:pt idx="775">
                  <c:v>186.61892739999999</c:v>
                </c:pt>
                <c:pt idx="776">
                  <c:v>186.67373760000001</c:v>
                </c:pt>
                <c:pt idx="777">
                  <c:v>187.4837962</c:v>
                </c:pt>
                <c:pt idx="778">
                  <c:v>187.9703629</c:v>
                </c:pt>
                <c:pt idx="779">
                  <c:v>188.06323449999999</c:v>
                </c:pt>
                <c:pt idx="780">
                  <c:v>188.50243459999999</c:v>
                </c:pt>
                <c:pt idx="781">
                  <c:v>188.65446919999999</c:v>
                </c:pt>
                <c:pt idx="782">
                  <c:v>189.1940558</c:v>
                </c:pt>
                <c:pt idx="783">
                  <c:v>189.61222770000001</c:v>
                </c:pt>
                <c:pt idx="784">
                  <c:v>189.70760480000001</c:v>
                </c:pt>
                <c:pt idx="785">
                  <c:v>190.17149269999999</c:v>
                </c:pt>
                <c:pt idx="786">
                  <c:v>190.3359973</c:v>
                </c:pt>
                <c:pt idx="787">
                  <c:v>190.68517120000001</c:v>
                </c:pt>
                <c:pt idx="788">
                  <c:v>190.9222115</c:v>
                </c:pt>
                <c:pt idx="789">
                  <c:v>190.97641669999999</c:v>
                </c:pt>
                <c:pt idx="790">
                  <c:v>191.0091712</c:v>
                </c:pt>
                <c:pt idx="791">
                  <c:v>191.01553290000001</c:v>
                </c:pt>
                <c:pt idx="792">
                  <c:v>191.13388269999999</c:v>
                </c:pt>
                <c:pt idx="793">
                  <c:v>191.16408999999999</c:v>
                </c:pt>
                <c:pt idx="794">
                  <c:v>191.16261349999999</c:v>
                </c:pt>
                <c:pt idx="795">
                  <c:v>191.57767559999999</c:v>
                </c:pt>
                <c:pt idx="796">
                  <c:v>192.1704115</c:v>
                </c:pt>
                <c:pt idx="797">
                  <c:v>192.32726539999999</c:v>
                </c:pt>
                <c:pt idx="798">
                  <c:v>131.5279032</c:v>
                </c:pt>
                <c:pt idx="799">
                  <c:v>131.58661290000001</c:v>
                </c:pt>
                <c:pt idx="800">
                  <c:v>131.73500000000001</c:v>
                </c:pt>
                <c:pt idx="801">
                  <c:v>131.78399999999999</c:v>
                </c:pt>
                <c:pt idx="802">
                  <c:v>131.9019677</c:v>
                </c:pt>
                <c:pt idx="803">
                  <c:v>131.94080650000001</c:v>
                </c:pt>
                <c:pt idx="804">
                  <c:v>132.1062</c:v>
                </c:pt>
                <c:pt idx="805">
                  <c:v>132.36483870000001</c:v>
                </c:pt>
                <c:pt idx="806">
                  <c:v>132.43574190000001</c:v>
                </c:pt>
                <c:pt idx="807">
                  <c:v>132.5218667</c:v>
                </c:pt>
                <c:pt idx="808">
                  <c:v>132.54613330000001</c:v>
                </c:pt>
                <c:pt idx="809">
                  <c:v>132.6141935</c:v>
                </c:pt>
                <c:pt idx="810">
                  <c:v>132.72483869999999</c:v>
                </c:pt>
                <c:pt idx="811">
                  <c:v>132.75645159999999</c:v>
                </c:pt>
                <c:pt idx="812">
                  <c:v>132.7568</c:v>
                </c:pt>
                <c:pt idx="813">
                  <c:v>132.75166669999999</c:v>
                </c:pt>
                <c:pt idx="814">
                  <c:v>132.92458060000001</c:v>
                </c:pt>
                <c:pt idx="815">
                  <c:v>132.97832260000001</c:v>
                </c:pt>
                <c:pt idx="816">
                  <c:v>132.75666670000001</c:v>
                </c:pt>
                <c:pt idx="817">
                  <c:v>132.6764</c:v>
                </c:pt>
                <c:pt idx="818">
                  <c:v>132.88232260000001</c:v>
                </c:pt>
                <c:pt idx="819">
                  <c:v>133.18341939999999</c:v>
                </c:pt>
                <c:pt idx="820">
                  <c:v>133.26087100000001</c:v>
                </c:pt>
                <c:pt idx="821">
                  <c:v>133.61414289999999</c:v>
                </c:pt>
                <c:pt idx="822">
                  <c:v>133.7361429</c:v>
                </c:pt>
                <c:pt idx="823">
                  <c:v>134.06825810000001</c:v>
                </c:pt>
                <c:pt idx="824">
                  <c:v>134.17777419999999</c:v>
                </c:pt>
                <c:pt idx="825">
                  <c:v>134.51436670000001</c:v>
                </c:pt>
                <c:pt idx="826">
                  <c:v>134.85516129999999</c:v>
                </c:pt>
                <c:pt idx="827">
                  <c:v>134.94254839999999</c:v>
                </c:pt>
                <c:pt idx="828">
                  <c:v>135.4468</c:v>
                </c:pt>
                <c:pt idx="829">
                  <c:v>135.62833330000001</c:v>
                </c:pt>
                <c:pt idx="830">
                  <c:v>136.05403229999999</c:v>
                </c:pt>
                <c:pt idx="831">
                  <c:v>136.14412899999999</c:v>
                </c:pt>
                <c:pt idx="832">
                  <c:v>136.24409679999999</c:v>
                </c:pt>
                <c:pt idx="833">
                  <c:v>136.27458060000001</c:v>
                </c:pt>
                <c:pt idx="834">
                  <c:v>136.47200000000001</c:v>
                </c:pt>
                <c:pt idx="835">
                  <c:v>136.47512900000001</c:v>
                </c:pt>
                <c:pt idx="836">
                  <c:v>136.46180649999999</c:v>
                </c:pt>
                <c:pt idx="837">
                  <c:v>136.49093329999999</c:v>
                </c:pt>
                <c:pt idx="838">
                  <c:v>136.50306670000001</c:v>
                </c:pt>
                <c:pt idx="839">
                  <c:v>136.69812899999999</c:v>
                </c:pt>
                <c:pt idx="840">
                  <c:v>137.06325810000001</c:v>
                </c:pt>
                <c:pt idx="841">
                  <c:v>137.1666774</c:v>
                </c:pt>
                <c:pt idx="842">
                  <c:v>137.42389660000001</c:v>
                </c:pt>
                <c:pt idx="843">
                  <c:v>137.50668970000001</c:v>
                </c:pt>
                <c:pt idx="844">
                  <c:v>137.79709679999999</c:v>
                </c:pt>
                <c:pt idx="845">
                  <c:v>138.03319999999999</c:v>
                </c:pt>
                <c:pt idx="846">
                  <c:v>138.08826669999999</c:v>
                </c:pt>
                <c:pt idx="847">
                  <c:v>138.11380650000001</c:v>
                </c:pt>
                <c:pt idx="848">
                  <c:v>138.11741939999999</c:v>
                </c:pt>
                <c:pt idx="849">
                  <c:v>138.22963329999999</c:v>
                </c:pt>
                <c:pt idx="850">
                  <c:v>138.17358060000001</c:v>
                </c:pt>
                <c:pt idx="851">
                  <c:v>138.1437742</c:v>
                </c:pt>
                <c:pt idx="852">
                  <c:v>138.47293550000001</c:v>
                </c:pt>
                <c:pt idx="853">
                  <c:v>138.82560000000001</c:v>
                </c:pt>
                <c:pt idx="854">
                  <c:v>138.9117</c:v>
                </c:pt>
                <c:pt idx="855">
                  <c:v>189.38169740000001</c:v>
                </c:pt>
                <c:pt idx="856">
                  <c:v>189.46427249999999</c:v>
                </c:pt>
                <c:pt idx="857">
                  <c:v>189.66950489999999</c:v>
                </c:pt>
                <c:pt idx="858">
                  <c:v>189.73720750000001</c:v>
                </c:pt>
                <c:pt idx="859">
                  <c:v>189.70482150000001</c:v>
                </c:pt>
                <c:pt idx="860">
                  <c:v>189.69010119999999</c:v>
                </c:pt>
                <c:pt idx="861">
                  <c:v>189.53124829999999</c:v>
                </c:pt>
                <c:pt idx="862">
                  <c:v>189.42265800000001</c:v>
                </c:pt>
                <c:pt idx="863">
                  <c:v>189.4000734</c:v>
                </c:pt>
                <c:pt idx="864">
                  <c:v>189.48826030000001</c:v>
                </c:pt>
                <c:pt idx="865">
                  <c:v>189.52312760000001</c:v>
                </c:pt>
                <c:pt idx="866">
                  <c:v>190.09900279999999</c:v>
                </c:pt>
                <c:pt idx="867">
                  <c:v>190.3621607</c:v>
                </c:pt>
                <c:pt idx="868">
                  <c:v>190.3958293</c:v>
                </c:pt>
                <c:pt idx="869">
                  <c:v>190.67382409999999</c:v>
                </c:pt>
                <c:pt idx="870">
                  <c:v>190.77632180000001</c:v>
                </c:pt>
                <c:pt idx="871">
                  <c:v>190.9964377</c:v>
                </c:pt>
                <c:pt idx="872">
                  <c:v>191.0411474</c:v>
                </c:pt>
                <c:pt idx="873">
                  <c:v>190.99314369999999</c:v>
                </c:pt>
                <c:pt idx="874">
                  <c:v>190.97410690000001</c:v>
                </c:pt>
                <c:pt idx="875">
                  <c:v>191.3683815</c:v>
                </c:pt>
                <c:pt idx="876">
                  <c:v>191.76258949999999</c:v>
                </c:pt>
                <c:pt idx="877">
                  <c:v>191.85728810000001</c:v>
                </c:pt>
                <c:pt idx="878">
                  <c:v>192.01160039999999</c:v>
                </c:pt>
                <c:pt idx="879">
                  <c:v>192.05848399999999</c:v>
                </c:pt>
                <c:pt idx="880">
                  <c:v>192.26917069999999</c:v>
                </c:pt>
                <c:pt idx="881">
                  <c:v>192.3418571</c:v>
                </c:pt>
                <c:pt idx="882">
                  <c:v>192.72520059999999</c:v>
                </c:pt>
                <c:pt idx="883">
                  <c:v>192.8418131</c:v>
                </c:pt>
                <c:pt idx="884">
                  <c:v>192.84706120000001</c:v>
                </c:pt>
                <c:pt idx="885">
                  <c:v>193.09305520000001</c:v>
                </c:pt>
                <c:pt idx="886">
                  <c:v>193.18784479999999</c:v>
                </c:pt>
                <c:pt idx="887">
                  <c:v>193.91101330000001</c:v>
                </c:pt>
                <c:pt idx="888">
                  <c:v>194.11050169999999</c:v>
                </c:pt>
                <c:pt idx="889">
                  <c:v>194.5092113</c:v>
                </c:pt>
                <c:pt idx="890">
                  <c:v>194.6387853</c:v>
                </c:pt>
                <c:pt idx="891">
                  <c:v>194.94597239999999</c:v>
                </c:pt>
                <c:pt idx="892">
                  <c:v>195.48479589999999</c:v>
                </c:pt>
                <c:pt idx="893">
                  <c:v>195.6376941</c:v>
                </c:pt>
                <c:pt idx="894">
                  <c:v>195.82232870000001</c:v>
                </c:pt>
                <c:pt idx="895">
                  <c:v>195.8742575</c:v>
                </c:pt>
                <c:pt idx="896">
                  <c:v>196.5458309</c:v>
                </c:pt>
                <c:pt idx="897">
                  <c:v>196.8728921</c:v>
                </c:pt>
                <c:pt idx="898">
                  <c:v>196.91950560000001</c:v>
                </c:pt>
                <c:pt idx="899">
                  <c:v>196.9565303</c:v>
                </c:pt>
                <c:pt idx="900">
                  <c:v>196.96315989999999</c:v>
                </c:pt>
                <c:pt idx="901">
                  <c:v>197.5971285</c:v>
                </c:pt>
                <c:pt idx="902">
                  <c:v>197.60635339999999</c:v>
                </c:pt>
                <c:pt idx="903">
                  <c:v>197.5481609</c:v>
                </c:pt>
                <c:pt idx="904">
                  <c:v>197.6218954</c:v>
                </c:pt>
                <c:pt idx="905">
                  <c:v>197.6551863</c:v>
                </c:pt>
                <c:pt idx="906">
                  <c:v>197.83221950000001</c:v>
                </c:pt>
                <c:pt idx="907">
                  <c:v>198.02938929999999</c:v>
                </c:pt>
                <c:pt idx="908">
                  <c:v>198.0795651</c:v>
                </c:pt>
                <c:pt idx="909">
                  <c:v>198.0950484</c:v>
                </c:pt>
                <c:pt idx="910">
                  <c:v>198.8221322</c:v>
                </c:pt>
                <c:pt idx="911">
                  <c:v>199.0539368</c:v>
                </c:pt>
                <c:pt idx="912">
                  <c:v>126.4420645</c:v>
                </c:pt>
                <c:pt idx="913">
                  <c:v>126.49625810000001</c:v>
                </c:pt>
                <c:pt idx="914">
                  <c:v>126.5782857</c:v>
                </c:pt>
                <c:pt idx="915">
                  <c:v>126.60428570000001</c:v>
                </c:pt>
                <c:pt idx="916">
                  <c:v>126.6034839</c:v>
                </c:pt>
                <c:pt idx="917">
                  <c:v>126.6019032</c:v>
                </c:pt>
                <c:pt idx="918">
                  <c:v>126.2898</c:v>
                </c:pt>
                <c:pt idx="919">
                  <c:v>126.1360645</c:v>
                </c:pt>
                <c:pt idx="920">
                  <c:v>126.1119032</c:v>
                </c:pt>
                <c:pt idx="921">
                  <c:v>126.1392</c:v>
                </c:pt>
                <c:pt idx="922">
                  <c:v>126.15179999999999</c:v>
                </c:pt>
                <c:pt idx="923">
                  <c:v>126.0854516</c:v>
                </c:pt>
                <c:pt idx="924">
                  <c:v>126.1019355</c:v>
                </c:pt>
                <c:pt idx="925">
                  <c:v>126.1145806</c:v>
                </c:pt>
                <c:pt idx="926">
                  <c:v>126.2346</c:v>
                </c:pt>
                <c:pt idx="927">
                  <c:v>126.2791667</c:v>
                </c:pt>
                <c:pt idx="928">
                  <c:v>126.4912903</c:v>
                </c:pt>
                <c:pt idx="929">
                  <c:v>126.54616129999999</c:v>
                </c:pt>
                <c:pt idx="930">
                  <c:v>126.7313333</c:v>
                </c:pt>
                <c:pt idx="931">
                  <c:v>126.79340000000001</c:v>
                </c:pt>
                <c:pt idx="932">
                  <c:v>127.1917742</c:v>
                </c:pt>
                <c:pt idx="933">
                  <c:v>127.7195806</c:v>
                </c:pt>
                <c:pt idx="934">
                  <c:v>127.859129</c:v>
                </c:pt>
                <c:pt idx="935">
                  <c:v>128.26474999999999</c:v>
                </c:pt>
                <c:pt idx="936">
                  <c:v>128.39949999999999</c:v>
                </c:pt>
                <c:pt idx="937">
                  <c:v>128.71993549999999</c:v>
                </c:pt>
                <c:pt idx="938">
                  <c:v>128.82380649999999</c:v>
                </c:pt>
                <c:pt idx="939">
                  <c:v>129.04443330000001</c:v>
                </c:pt>
                <c:pt idx="940">
                  <c:v>129.04903229999999</c:v>
                </c:pt>
                <c:pt idx="941">
                  <c:v>129.03570970000001</c:v>
                </c:pt>
                <c:pt idx="942">
                  <c:v>129.08940000000001</c:v>
                </c:pt>
                <c:pt idx="943">
                  <c:v>129.11250000000001</c:v>
                </c:pt>
                <c:pt idx="944">
                  <c:v>129.18464520000001</c:v>
                </c:pt>
                <c:pt idx="945">
                  <c:v>129.2015806</c:v>
                </c:pt>
                <c:pt idx="946">
                  <c:v>129.32593550000001</c:v>
                </c:pt>
                <c:pt idx="947">
                  <c:v>129.36861289999999</c:v>
                </c:pt>
                <c:pt idx="948">
                  <c:v>129.69380000000001</c:v>
                </c:pt>
                <c:pt idx="949">
                  <c:v>129.8051935</c:v>
                </c:pt>
                <c:pt idx="950">
                  <c:v>129.81670969999999</c:v>
                </c:pt>
                <c:pt idx="951">
                  <c:v>129.84596669999999</c:v>
                </c:pt>
                <c:pt idx="952">
                  <c:v>129.85553329999999</c:v>
                </c:pt>
                <c:pt idx="953">
                  <c:v>130.15751610000001</c:v>
                </c:pt>
                <c:pt idx="954">
                  <c:v>130.34967739999999</c:v>
                </c:pt>
                <c:pt idx="955">
                  <c:v>130.3849032</c:v>
                </c:pt>
                <c:pt idx="956">
                  <c:v>130.64579309999999</c:v>
                </c:pt>
                <c:pt idx="957">
                  <c:v>130.74137930000001</c:v>
                </c:pt>
                <c:pt idx="958">
                  <c:v>131.03754839999999</c:v>
                </c:pt>
                <c:pt idx="959">
                  <c:v>131.136</c:v>
                </c:pt>
                <c:pt idx="960">
                  <c:v>131.1453333</c:v>
                </c:pt>
                <c:pt idx="961">
                  <c:v>130.95922580000001</c:v>
                </c:pt>
                <c:pt idx="962">
                  <c:v>130.88967740000001</c:v>
                </c:pt>
                <c:pt idx="963">
                  <c:v>130.7196333</c:v>
                </c:pt>
                <c:pt idx="964">
                  <c:v>130.73787100000001</c:v>
                </c:pt>
                <c:pt idx="965">
                  <c:v>130.7561613</c:v>
                </c:pt>
                <c:pt idx="966">
                  <c:v>130.9325484</c:v>
                </c:pt>
                <c:pt idx="967">
                  <c:v>131.0756667</c:v>
                </c:pt>
                <c:pt idx="968">
                  <c:v>131.1083333</c:v>
                </c:pt>
                <c:pt idx="969">
                  <c:v>131.5279032</c:v>
                </c:pt>
                <c:pt idx="970">
                  <c:v>131.58661290000001</c:v>
                </c:pt>
                <c:pt idx="971">
                  <c:v>131.73500000000001</c:v>
                </c:pt>
                <c:pt idx="972">
                  <c:v>131.78399999999999</c:v>
                </c:pt>
                <c:pt idx="973">
                  <c:v>131.9019677</c:v>
                </c:pt>
                <c:pt idx="974">
                  <c:v>131.94080650000001</c:v>
                </c:pt>
                <c:pt idx="975">
                  <c:v>132.1062</c:v>
                </c:pt>
                <c:pt idx="976">
                  <c:v>132.36483870000001</c:v>
                </c:pt>
                <c:pt idx="977">
                  <c:v>132.43574190000001</c:v>
                </c:pt>
                <c:pt idx="978">
                  <c:v>132.5218667</c:v>
                </c:pt>
                <c:pt idx="979">
                  <c:v>132.54613330000001</c:v>
                </c:pt>
                <c:pt idx="980">
                  <c:v>132.6141935</c:v>
                </c:pt>
                <c:pt idx="981">
                  <c:v>132.72483869999999</c:v>
                </c:pt>
                <c:pt idx="982">
                  <c:v>132.75645159999999</c:v>
                </c:pt>
                <c:pt idx="983">
                  <c:v>132.7568</c:v>
                </c:pt>
                <c:pt idx="984">
                  <c:v>132.75166669999999</c:v>
                </c:pt>
                <c:pt idx="985">
                  <c:v>132.92458060000001</c:v>
                </c:pt>
                <c:pt idx="986">
                  <c:v>132.97832260000001</c:v>
                </c:pt>
                <c:pt idx="987">
                  <c:v>132.75666670000001</c:v>
                </c:pt>
                <c:pt idx="988">
                  <c:v>132.6764</c:v>
                </c:pt>
                <c:pt idx="989">
                  <c:v>132.88232260000001</c:v>
                </c:pt>
                <c:pt idx="990">
                  <c:v>133.18341939999999</c:v>
                </c:pt>
                <c:pt idx="991">
                  <c:v>133.26087100000001</c:v>
                </c:pt>
                <c:pt idx="992">
                  <c:v>133.61414289999999</c:v>
                </c:pt>
                <c:pt idx="993">
                  <c:v>133.7361429</c:v>
                </c:pt>
                <c:pt idx="994">
                  <c:v>134.06825810000001</c:v>
                </c:pt>
                <c:pt idx="995">
                  <c:v>134.17777419999999</c:v>
                </c:pt>
                <c:pt idx="996">
                  <c:v>134.51436670000001</c:v>
                </c:pt>
                <c:pt idx="997">
                  <c:v>134.85516129999999</c:v>
                </c:pt>
                <c:pt idx="998">
                  <c:v>134.94254839999999</c:v>
                </c:pt>
                <c:pt idx="999">
                  <c:v>135.4468</c:v>
                </c:pt>
                <c:pt idx="1000">
                  <c:v>135.62833330000001</c:v>
                </c:pt>
                <c:pt idx="1001">
                  <c:v>136.05403229999999</c:v>
                </c:pt>
                <c:pt idx="1002">
                  <c:v>136.14412899999999</c:v>
                </c:pt>
                <c:pt idx="1003">
                  <c:v>136.24409679999999</c:v>
                </c:pt>
                <c:pt idx="1004">
                  <c:v>136.27458060000001</c:v>
                </c:pt>
                <c:pt idx="1005">
                  <c:v>136.47200000000001</c:v>
                </c:pt>
                <c:pt idx="1006">
                  <c:v>136.47512900000001</c:v>
                </c:pt>
                <c:pt idx="1007">
                  <c:v>136.46180649999999</c:v>
                </c:pt>
                <c:pt idx="1008">
                  <c:v>136.49093329999999</c:v>
                </c:pt>
                <c:pt idx="1009">
                  <c:v>136.50306670000001</c:v>
                </c:pt>
                <c:pt idx="1010">
                  <c:v>136.69812899999999</c:v>
                </c:pt>
                <c:pt idx="1011">
                  <c:v>137.06325810000001</c:v>
                </c:pt>
                <c:pt idx="1012">
                  <c:v>137.1666774</c:v>
                </c:pt>
                <c:pt idx="1013">
                  <c:v>137.42389660000001</c:v>
                </c:pt>
                <c:pt idx="1014">
                  <c:v>137.50668970000001</c:v>
                </c:pt>
                <c:pt idx="1015">
                  <c:v>137.79709679999999</c:v>
                </c:pt>
                <c:pt idx="1016">
                  <c:v>138.03319999999999</c:v>
                </c:pt>
                <c:pt idx="1017">
                  <c:v>138.08826669999999</c:v>
                </c:pt>
                <c:pt idx="1018">
                  <c:v>138.11380650000001</c:v>
                </c:pt>
                <c:pt idx="1019">
                  <c:v>138.11741939999999</c:v>
                </c:pt>
                <c:pt idx="1020">
                  <c:v>138.22963329999999</c:v>
                </c:pt>
                <c:pt idx="1021">
                  <c:v>138.17358060000001</c:v>
                </c:pt>
                <c:pt idx="1022">
                  <c:v>138.1437742</c:v>
                </c:pt>
                <c:pt idx="1023">
                  <c:v>138.47293550000001</c:v>
                </c:pt>
                <c:pt idx="1024">
                  <c:v>138.82560000000001</c:v>
                </c:pt>
                <c:pt idx="1025">
                  <c:v>138.9117</c:v>
                </c:pt>
                <c:pt idx="1026">
                  <c:v>131.5279032</c:v>
                </c:pt>
                <c:pt idx="1027">
                  <c:v>131.58661290000001</c:v>
                </c:pt>
                <c:pt idx="1028">
                  <c:v>131.73500000000001</c:v>
                </c:pt>
                <c:pt idx="1029">
                  <c:v>131.78399999999999</c:v>
                </c:pt>
                <c:pt idx="1030">
                  <c:v>131.9019677</c:v>
                </c:pt>
                <c:pt idx="1031">
                  <c:v>131.94080650000001</c:v>
                </c:pt>
                <c:pt idx="1032">
                  <c:v>132.1062</c:v>
                </c:pt>
                <c:pt idx="1033">
                  <c:v>132.36483870000001</c:v>
                </c:pt>
                <c:pt idx="1034">
                  <c:v>132.43574190000001</c:v>
                </c:pt>
                <c:pt idx="1035">
                  <c:v>132.5218667</c:v>
                </c:pt>
                <c:pt idx="1036">
                  <c:v>132.54613330000001</c:v>
                </c:pt>
                <c:pt idx="1037">
                  <c:v>132.6141935</c:v>
                </c:pt>
                <c:pt idx="1038">
                  <c:v>132.72483869999999</c:v>
                </c:pt>
                <c:pt idx="1039">
                  <c:v>132.75645159999999</c:v>
                </c:pt>
                <c:pt idx="1040">
                  <c:v>132.7568</c:v>
                </c:pt>
                <c:pt idx="1041">
                  <c:v>132.75166669999999</c:v>
                </c:pt>
                <c:pt idx="1042">
                  <c:v>132.92458060000001</c:v>
                </c:pt>
                <c:pt idx="1043">
                  <c:v>132.97832260000001</c:v>
                </c:pt>
                <c:pt idx="1044">
                  <c:v>132.75666670000001</c:v>
                </c:pt>
                <c:pt idx="1045">
                  <c:v>132.6764</c:v>
                </c:pt>
                <c:pt idx="1046">
                  <c:v>132.88232260000001</c:v>
                </c:pt>
                <c:pt idx="1047">
                  <c:v>133.18341939999999</c:v>
                </c:pt>
                <c:pt idx="1048">
                  <c:v>133.26087100000001</c:v>
                </c:pt>
                <c:pt idx="1049">
                  <c:v>133.61414289999999</c:v>
                </c:pt>
                <c:pt idx="1050">
                  <c:v>133.7361429</c:v>
                </c:pt>
                <c:pt idx="1051">
                  <c:v>134.06825810000001</c:v>
                </c:pt>
                <c:pt idx="1052">
                  <c:v>134.17777419999999</c:v>
                </c:pt>
                <c:pt idx="1053">
                  <c:v>134.51436670000001</c:v>
                </c:pt>
                <c:pt idx="1054">
                  <c:v>134.85516129999999</c:v>
                </c:pt>
                <c:pt idx="1055">
                  <c:v>134.94254839999999</c:v>
                </c:pt>
                <c:pt idx="1056">
                  <c:v>135.4468</c:v>
                </c:pt>
                <c:pt idx="1057">
                  <c:v>135.62833330000001</c:v>
                </c:pt>
                <c:pt idx="1058">
                  <c:v>136.05403229999999</c:v>
                </c:pt>
                <c:pt idx="1059">
                  <c:v>136.14412899999999</c:v>
                </c:pt>
                <c:pt idx="1060">
                  <c:v>136.24409679999999</c:v>
                </c:pt>
                <c:pt idx="1061">
                  <c:v>136.27458060000001</c:v>
                </c:pt>
                <c:pt idx="1062">
                  <c:v>136.47200000000001</c:v>
                </c:pt>
                <c:pt idx="1063">
                  <c:v>136.47512900000001</c:v>
                </c:pt>
                <c:pt idx="1064">
                  <c:v>136.46180649999999</c:v>
                </c:pt>
                <c:pt idx="1065">
                  <c:v>136.49093329999999</c:v>
                </c:pt>
                <c:pt idx="1066">
                  <c:v>136.50306670000001</c:v>
                </c:pt>
                <c:pt idx="1067">
                  <c:v>136.69812899999999</c:v>
                </c:pt>
                <c:pt idx="1068">
                  <c:v>137.06325810000001</c:v>
                </c:pt>
                <c:pt idx="1069">
                  <c:v>137.1666774</c:v>
                </c:pt>
                <c:pt idx="1070">
                  <c:v>137.42389660000001</c:v>
                </c:pt>
                <c:pt idx="1071">
                  <c:v>137.50668970000001</c:v>
                </c:pt>
                <c:pt idx="1072">
                  <c:v>137.79709679999999</c:v>
                </c:pt>
                <c:pt idx="1073">
                  <c:v>138.03319999999999</c:v>
                </c:pt>
                <c:pt idx="1074">
                  <c:v>138.08826669999999</c:v>
                </c:pt>
                <c:pt idx="1075">
                  <c:v>138.11380650000001</c:v>
                </c:pt>
                <c:pt idx="1076">
                  <c:v>138.11741939999999</c:v>
                </c:pt>
                <c:pt idx="1077">
                  <c:v>138.22963329999999</c:v>
                </c:pt>
                <c:pt idx="1078">
                  <c:v>138.17358060000001</c:v>
                </c:pt>
                <c:pt idx="1079">
                  <c:v>138.1437742</c:v>
                </c:pt>
                <c:pt idx="1080">
                  <c:v>138.47293550000001</c:v>
                </c:pt>
                <c:pt idx="1081">
                  <c:v>138.82560000000001</c:v>
                </c:pt>
                <c:pt idx="1082">
                  <c:v>138.9117</c:v>
                </c:pt>
                <c:pt idx="1083">
                  <c:v>204.24719350000001</c:v>
                </c:pt>
                <c:pt idx="1084">
                  <c:v>204.3857472</c:v>
                </c:pt>
                <c:pt idx="1085">
                  <c:v>204.49407339999999</c:v>
                </c:pt>
                <c:pt idx="1086">
                  <c:v>204.52505980000001</c:v>
                </c:pt>
                <c:pt idx="1087">
                  <c:v>204.02528419999999</c:v>
                </c:pt>
                <c:pt idx="1088">
                  <c:v>203.84881340000001</c:v>
                </c:pt>
                <c:pt idx="1089">
                  <c:v>203.6101784</c:v>
                </c:pt>
                <c:pt idx="1090">
                  <c:v>204.4042877</c:v>
                </c:pt>
                <c:pt idx="1091">
                  <c:v>204.66791979999999</c:v>
                </c:pt>
                <c:pt idx="1092">
                  <c:v>204.46505590000001</c:v>
                </c:pt>
                <c:pt idx="1093">
                  <c:v>204.3625658</c:v>
                </c:pt>
                <c:pt idx="1094">
                  <c:v>204.72932520000001</c:v>
                </c:pt>
                <c:pt idx="1095">
                  <c:v>204.75835660000001</c:v>
                </c:pt>
                <c:pt idx="1096">
                  <c:v>204.7266827</c:v>
                </c:pt>
                <c:pt idx="1097">
                  <c:v>204.88509730000001</c:v>
                </c:pt>
                <c:pt idx="1098">
                  <c:v>204.95198199999999</c:v>
                </c:pt>
                <c:pt idx="1099">
                  <c:v>205.16083699999999</c:v>
                </c:pt>
                <c:pt idx="1100">
                  <c:v>205.20986139999999</c:v>
                </c:pt>
                <c:pt idx="1101">
                  <c:v>204.8249189</c:v>
                </c:pt>
                <c:pt idx="1102">
                  <c:v>204.68773780000001</c:v>
                </c:pt>
                <c:pt idx="1103">
                  <c:v>204.6487803</c:v>
                </c:pt>
                <c:pt idx="1104">
                  <c:v>205.7329407</c:v>
                </c:pt>
                <c:pt idx="1105">
                  <c:v>206.0763862</c:v>
                </c:pt>
                <c:pt idx="1106">
                  <c:v>206.91534849999999</c:v>
                </c:pt>
                <c:pt idx="1107">
                  <c:v>207.1882876</c:v>
                </c:pt>
                <c:pt idx="1108">
                  <c:v>207.88230429999999</c:v>
                </c:pt>
                <c:pt idx="1109">
                  <c:v>208.10926420000001</c:v>
                </c:pt>
                <c:pt idx="1110">
                  <c:v>208.79925950000001</c:v>
                </c:pt>
                <c:pt idx="1111">
                  <c:v>208.35511159999999</c:v>
                </c:pt>
                <c:pt idx="1112">
                  <c:v>208.1535092</c:v>
                </c:pt>
                <c:pt idx="1113">
                  <c:v>208.33464319999999</c:v>
                </c:pt>
                <c:pt idx="1114">
                  <c:v>208.43868470000001</c:v>
                </c:pt>
                <c:pt idx="1115">
                  <c:v>208.71923799999999</c:v>
                </c:pt>
                <c:pt idx="1116">
                  <c:v>208.78200609999999</c:v>
                </c:pt>
                <c:pt idx="1117">
                  <c:v>208.96251609999999</c:v>
                </c:pt>
                <c:pt idx="1118">
                  <c:v>209.0225562</c:v>
                </c:pt>
                <c:pt idx="1119">
                  <c:v>210.11705950000001</c:v>
                </c:pt>
                <c:pt idx="1120">
                  <c:v>210.83645509999999</c:v>
                </c:pt>
                <c:pt idx="1121">
                  <c:v>210.98102009999999</c:v>
                </c:pt>
                <c:pt idx="1122">
                  <c:v>211.6394306</c:v>
                </c:pt>
                <c:pt idx="1123">
                  <c:v>211.86678559999999</c:v>
                </c:pt>
                <c:pt idx="1124">
                  <c:v>212.5711125</c:v>
                </c:pt>
                <c:pt idx="1125">
                  <c:v>213.02362249999999</c:v>
                </c:pt>
                <c:pt idx="1126">
                  <c:v>213.11861379999999</c:v>
                </c:pt>
                <c:pt idx="1127">
                  <c:v>213.6718127</c:v>
                </c:pt>
                <c:pt idx="1128">
                  <c:v>213.8711137</c:v>
                </c:pt>
                <c:pt idx="1129">
                  <c:v>214.23870529999999</c:v>
                </c:pt>
                <c:pt idx="1130">
                  <c:v>214.47710810000001</c:v>
                </c:pt>
                <c:pt idx="1131">
                  <c:v>214.53190989999999</c:v>
                </c:pt>
                <c:pt idx="1132">
                  <c:v>214.5513278</c:v>
                </c:pt>
                <c:pt idx="1133">
                  <c:v>214.5527132</c:v>
                </c:pt>
                <c:pt idx="1134">
                  <c:v>214.68735140000001</c:v>
                </c:pt>
                <c:pt idx="1135">
                  <c:v>214.74335139999999</c:v>
                </c:pt>
                <c:pt idx="1136">
                  <c:v>214.7484595</c:v>
                </c:pt>
                <c:pt idx="1137">
                  <c:v>215.2189573</c:v>
                </c:pt>
                <c:pt idx="1138">
                  <c:v>215.92588649999999</c:v>
                </c:pt>
                <c:pt idx="1139">
                  <c:v>216.11505679999999</c:v>
                </c:pt>
                <c:pt idx="1140">
                  <c:v>210.7526053</c:v>
                </c:pt>
                <c:pt idx="1141">
                  <c:v>210.89799350000001</c:v>
                </c:pt>
                <c:pt idx="1142">
                  <c:v>211.00675419999999</c:v>
                </c:pt>
                <c:pt idx="1143">
                  <c:v>211.03755100000001</c:v>
                </c:pt>
                <c:pt idx="1144">
                  <c:v>210.4798874</c:v>
                </c:pt>
                <c:pt idx="1145">
                  <c:v>210.28316530000001</c:v>
                </c:pt>
                <c:pt idx="1146">
                  <c:v>210.00110179999999</c:v>
                </c:pt>
                <c:pt idx="1147">
                  <c:v>210.83361600000001</c:v>
                </c:pt>
                <c:pt idx="1148">
                  <c:v>211.1120018</c:v>
                </c:pt>
                <c:pt idx="1149">
                  <c:v>210.88037259999999</c:v>
                </c:pt>
                <c:pt idx="1150">
                  <c:v>210.7657317</c:v>
                </c:pt>
                <c:pt idx="1151">
                  <c:v>211.16080489999999</c:v>
                </c:pt>
                <c:pt idx="1152">
                  <c:v>211.18869309999999</c:v>
                </c:pt>
                <c:pt idx="1153">
                  <c:v>211.15321040000001</c:v>
                </c:pt>
                <c:pt idx="1154">
                  <c:v>211.32987420000001</c:v>
                </c:pt>
                <c:pt idx="1155">
                  <c:v>211.4044906</c:v>
                </c:pt>
                <c:pt idx="1156">
                  <c:v>211.61350530000001</c:v>
                </c:pt>
                <c:pt idx="1157">
                  <c:v>211.6608975</c:v>
                </c:pt>
                <c:pt idx="1158">
                  <c:v>211.26554300000001</c:v>
                </c:pt>
                <c:pt idx="1159">
                  <c:v>211.12479930000001</c:v>
                </c:pt>
                <c:pt idx="1160">
                  <c:v>211.06488809999999</c:v>
                </c:pt>
                <c:pt idx="1161">
                  <c:v>212.22406459999999</c:v>
                </c:pt>
                <c:pt idx="1162">
                  <c:v>212.5928624</c:v>
                </c:pt>
                <c:pt idx="1163">
                  <c:v>213.4775305</c:v>
                </c:pt>
                <c:pt idx="1164">
                  <c:v>213.76464010000001</c:v>
                </c:pt>
                <c:pt idx="1165">
                  <c:v>214.4886908</c:v>
                </c:pt>
                <c:pt idx="1166">
                  <c:v>214.72522420000001</c:v>
                </c:pt>
                <c:pt idx="1167">
                  <c:v>215.44487090000001</c:v>
                </c:pt>
                <c:pt idx="1168">
                  <c:v>214.92548650000001</c:v>
                </c:pt>
                <c:pt idx="1169">
                  <c:v>214.69649079999999</c:v>
                </c:pt>
                <c:pt idx="1170">
                  <c:v>214.83686779999999</c:v>
                </c:pt>
                <c:pt idx="1171">
                  <c:v>214.92962489999999</c:v>
                </c:pt>
                <c:pt idx="1172">
                  <c:v>215.19785150000001</c:v>
                </c:pt>
                <c:pt idx="1173">
                  <c:v>215.25932109999999</c:v>
                </c:pt>
                <c:pt idx="1174">
                  <c:v>215.45086319999999</c:v>
                </c:pt>
                <c:pt idx="1175">
                  <c:v>215.51482949999999</c:v>
                </c:pt>
                <c:pt idx="1176">
                  <c:v>216.69583109999999</c:v>
                </c:pt>
                <c:pt idx="1177">
                  <c:v>217.48536050000001</c:v>
                </c:pt>
                <c:pt idx="1178">
                  <c:v>217.6455387</c:v>
                </c:pt>
                <c:pt idx="1179">
                  <c:v>218.35903189999999</c:v>
                </c:pt>
                <c:pt idx="1180">
                  <c:v>218.60503700000001</c:v>
                </c:pt>
                <c:pt idx="1181">
                  <c:v>219.355063</c:v>
                </c:pt>
                <c:pt idx="1182">
                  <c:v>219.81188539999999</c:v>
                </c:pt>
                <c:pt idx="1183">
                  <c:v>219.90490729999999</c:v>
                </c:pt>
                <c:pt idx="1184">
                  <c:v>220.48668860000001</c:v>
                </c:pt>
                <c:pt idx="1185">
                  <c:v>220.69743320000001</c:v>
                </c:pt>
                <c:pt idx="1186">
                  <c:v>221.07376379999999</c:v>
                </c:pt>
                <c:pt idx="1187">
                  <c:v>221.30951659999999</c:v>
                </c:pt>
                <c:pt idx="1188">
                  <c:v>221.3632212</c:v>
                </c:pt>
                <c:pt idx="1189">
                  <c:v>221.38527479999999</c:v>
                </c:pt>
                <c:pt idx="1190">
                  <c:v>221.38774670000001</c:v>
                </c:pt>
                <c:pt idx="1191">
                  <c:v>221.52150639999999</c:v>
                </c:pt>
                <c:pt idx="1192">
                  <c:v>221.58697989999999</c:v>
                </c:pt>
                <c:pt idx="1193">
                  <c:v>221.59541379999999</c:v>
                </c:pt>
                <c:pt idx="1194">
                  <c:v>222.07476349999999</c:v>
                </c:pt>
                <c:pt idx="1195">
                  <c:v>222.8159296</c:v>
                </c:pt>
                <c:pt idx="1196">
                  <c:v>223.0154263</c:v>
                </c:pt>
                <c:pt idx="1197">
                  <c:v>135.35246079999999</c:v>
                </c:pt>
                <c:pt idx="1198">
                  <c:v>135.41130759999999</c:v>
                </c:pt>
                <c:pt idx="1199">
                  <c:v>135.57326019999999</c:v>
                </c:pt>
                <c:pt idx="1200">
                  <c:v>135.62700129999999</c:v>
                </c:pt>
                <c:pt idx="1201">
                  <c:v>135.74649880000001</c:v>
                </c:pt>
                <c:pt idx="1202">
                  <c:v>135.78563589999999</c:v>
                </c:pt>
                <c:pt idx="1203">
                  <c:v>135.96199999999999</c:v>
                </c:pt>
                <c:pt idx="1204">
                  <c:v>136.21816820000001</c:v>
                </c:pt>
                <c:pt idx="1205">
                  <c:v>136.28742629999999</c:v>
                </c:pt>
                <c:pt idx="1206">
                  <c:v>136.37228930000001</c:v>
                </c:pt>
                <c:pt idx="1207">
                  <c:v>136.39626430000001</c:v>
                </c:pt>
                <c:pt idx="1208">
                  <c:v>136.4741118</c:v>
                </c:pt>
                <c:pt idx="1209">
                  <c:v>136.58911180000001</c:v>
                </c:pt>
                <c:pt idx="1210">
                  <c:v>136.62120849999999</c:v>
                </c:pt>
                <c:pt idx="1211">
                  <c:v>136.62975710000001</c:v>
                </c:pt>
                <c:pt idx="1212">
                  <c:v>136.6277321</c:v>
                </c:pt>
                <c:pt idx="1213">
                  <c:v>136.78622580000001</c:v>
                </c:pt>
                <c:pt idx="1214">
                  <c:v>136.83490320000001</c:v>
                </c:pt>
                <c:pt idx="1215">
                  <c:v>136.60757140000001</c:v>
                </c:pt>
                <c:pt idx="1216">
                  <c:v>136.52557139999999</c:v>
                </c:pt>
                <c:pt idx="1217">
                  <c:v>136.73325689999999</c:v>
                </c:pt>
                <c:pt idx="1218">
                  <c:v>137.05424310000001</c:v>
                </c:pt>
                <c:pt idx="1219">
                  <c:v>137.13783179999999</c:v>
                </c:pt>
                <c:pt idx="1220">
                  <c:v>137.5017028</c:v>
                </c:pt>
                <c:pt idx="1221">
                  <c:v>137.62696170000001</c:v>
                </c:pt>
                <c:pt idx="1222">
                  <c:v>137.95589290000001</c:v>
                </c:pt>
                <c:pt idx="1223">
                  <c:v>138.06389290000001</c:v>
                </c:pt>
                <c:pt idx="1224">
                  <c:v>138.41312020000001</c:v>
                </c:pt>
                <c:pt idx="1225">
                  <c:v>138.76946079999999</c:v>
                </c:pt>
                <c:pt idx="1226">
                  <c:v>138.86063820000001</c:v>
                </c:pt>
                <c:pt idx="1227">
                  <c:v>139.36375000000001</c:v>
                </c:pt>
                <c:pt idx="1228">
                  <c:v>139.54420830000001</c:v>
                </c:pt>
                <c:pt idx="1229">
                  <c:v>139.98964860000001</c:v>
                </c:pt>
                <c:pt idx="1230">
                  <c:v>140.0859873</c:v>
                </c:pt>
                <c:pt idx="1231">
                  <c:v>140.19698500000001</c:v>
                </c:pt>
                <c:pt idx="1232">
                  <c:v>140.23101729999999</c:v>
                </c:pt>
                <c:pt idx="1233">
                  <c:v>140.43475000000001</c:v>
                </c:pt>
                <c:pt idx="1234">
                  <c:v>140.42797580000001</c:v>
                </c:pt>
                <c:pt idx="1235">
                  <c:v>140.4111613</c:v>
                </c:pt>
                <c:pt idx="1236">
                  <c:v>140.4307857</c:v>
                </c:pt>
                <c:pt idx="1237">
                  <c:v>140.43978569999999</c:v>
                </c:pt>
                <c:pt idx="1238">
                  <c:v>140.64613589999999</c:v>
                </c:pt>
                <c:pt idx="1239">
                  <c:v>141.01619239999999</c:v>
                </c:pt>
                <c:pt idx="1240">
                  <c:v>141.11998270000001</c:v>
                </c:pt>
                <c:pt idx="1241">
                  <c:v>141.3875357</c:v>
                </c:pt>
                <c:pt idx="1242">
                  <c:v>141.4742857</c:v>
                </c:pt>
                <c:pt idx="1243">
                  <c:v>141.7712396</c:v>
                </c:pt>
                <c:pt idx="1244">
                  <c:v>142.01779289999999</c:v>
                </c:pt>
                <c:pt idx="1245">
                  <c:v>142.0759262</c:v>
                </c:pt>
                <c:pt idx="1246">
                  <c:v>142.10954380000001</c:v>
                </c:pt>
                <c:pt idx="1247">
                  <c:v>142.11580989999999</c:v>
                </c:pt>
                <c:pt idx="1248">
                  <c:v>142.22342979999999</c:v>
                </c:pt>
                <c:pt idx="1249">
                  <c:v>142.19162789999999</c:v>
                </c:pt>
                <c:pt idx="1250">
                  <c:v>142.17056339999999</c:v>
                </c:pt>
                <c:pt idx="1251">
                  <c:v>142.500303</c:v>
                </c:pt>
                <c:pt idx="1252">
                  <c:v>142.85168329999999</c:v>
                </c:pt>
                <c:pt idx="1253">
                  <c:v>142.93761670000001</c:v>
                </c:pt>
                <c:pt idx="1254">
                  <c:v>131.5279032</c:v>
                </c:pt>
                <c:pt idx="1255">
                  <c:v>131.58661290000001</c:v>
                </c:pt>
                <c:pt idx="1256">
                  <c:v>131.73500000000001</c:v>
                </c:pt>
                <c:pt idx="1257">
                  <c:v>131.78399999999999</c:v>
                </c:pt>
                <c:pt idx="1258">
                  <c:v>131.9019677</c:v>
                </c:pt>
                <c:pt idx="1259">
                  <c:v>131.94080650000001</c:v>
                </c:pt>
                <c:pt idx="1260">
                  <c:v>132.1062</c:v>
                </c:pt>
                <c:pt idx="1261">
                  <c:v>132.36483870000001</c:v>
                </c:pt>
                <c:pt idx="1262">
                  <c:v>132.43574190000001</c:v>
                </c:pt>
                <c:pt idx="1263">
                  <c:v>132.5218667</c:v>
                </c:pt>
                <c:pt idx="1264">
                  <c:v>132.54613330000001</c:v>
                </c:pt>
                <c:pt idx="1265">
                  <c:v>132.6141935</c:v>
                </c:pt>
                <c:pt idx="1266">
                  <c:v>132.72483869999999</c:v>
                </c:pt>
                <c:pt idx="1267">
                  <c:v>132.75645159999999</c:v>
                </c:pt>
                <c:pt idx="1268">
                  <c:v>132.7568</c:v>
                </c:pt>
                <c:pt idx="1269">
                  <c:v>132.75166669999999</c:v>
                </c:pt>
                <c:pt idx="1270">
                  <c:v>132.92458060000001</c:v>
                </c:pt>
                <c:pt idx="1271">
                  <c:v>132.97832260000001</c:v>
                </c:pt>
                <c:pt idx="1272">
                  <c:v>132.75666670000001</c:v>
                </c:pt>
                <c:pt idx="1273">
                  <c:v>132.6764</c:v>
                </c:pt>
                <c:pt idx="1274">
                  <c:v>132.88232260000001</c:v>
                </c:pt>
                <c:pt idx="1275">
                  <c:v>133.18341939999999</c:v>
                </c:pt>
                <c:pt idx="1276">
                  <c:v>133.26087100000001</c:v>
                </c:pt>
                <c:pt idx="1277">
                  <c:v>133.61414289999999</c:v>
                </c:pt>
                <c:pt idx="1278">
                  <c:v>133.7361429</c:v>
                </c:pt>
                <c:pt idx="1279">
                  <c:v>134.06825810000001</c:v>
                </c:pt>
                <c:pt idx="1280">
                  <c:v>134.17777419999999</c:v>
                </c:pt>
                <c:pt idx="1281">
                  <c:v>134.51436670000001</c:v>
                </c:pt>
                <c:pt idx="1282">
                  <c:v>134.85516129999999</c:v>
                </c:pt>
                <c:pt idx="1283">
                  <c:v>134.94254839999999</c:v>
                </c:pt>
                <c:pt idx="1284">
                  <c:v>135.4468</c:v>
                </c:pt>
                <c:pt idx="1285">
                  <c:v>135.62833330000001</c:v>
                </c:pt>
                <c:pt idx="1286">
                  <c:v>136.05403229999999</c:v>
                </c:pt>
                <c:pt idx="1287">
                  <c:v>136.14412899999999</c:v>
                </c:pt>
                <c:pt idx="1288">
                  <c:v>136.24409679999999</c:v>
                </c:pt>
                <c:pt idx="1289">
                  <c:v>136.27458060000001</c:v>
                </c:pt>
                <c:pt idx="1290">
                  <c:v>136.47200000000001</c:v>
                </c:pt>
                <c:pt idx="1291">
                  <c:v>136.47512900000001</c:v>
                </c:pt>
                <c:pt idx="1292">
                  <c:v>136.46180649999999</c:v>
                </c:pt>
                <c:pt idx="1293">
                  <c:v>136.49093329999999</c:v>
                </c:pt>
                <c:pt idx="1294">
                  <c:v>136.50306670000001</c:v>
                </c:pt>
                <c:pt idx="1295">
                  <c:v>136.69812899999999</c:v>
                </c:pt>
                <c:pt idx="1296">
                  <c:v>137.06325810000001</c:v>
                </c:pt>
                <c:pt idx="1297">
                  <c:v>137.1666774</c:v>
                </c:pt>
                <c:pt idx="1298">
                  <c:v>137.42389660000001</c:v>
                </c:pt>
                <c:pt idx="1299">
                  <c:v>137.50668970000001</c:v>
                </c:pt>
                <c:pt idx="1300">
                  <c:v>137.79709679999999</c:v>
                </c:pt>
                <c:pt idx="1301">
                  <c:v>138.03319999999999</c:v>
                </c:pt>
                <c:pt idx="1302">
                  <c:v>138.08826669999999</c:v>
                </c:pt>
                <c:pt idx="1303">
                  <c:v>138.11380650000001</c:v>
                </c:pt>
                <c:pt idx="1304">
                  <c:v>138.11741939999999</c:v>
                </c:pt>
                <c:pt idx="1305">
                  <c:v>138.22963329999999</c:v>
                </c:pt>
                <c:pt idx="1306">
                  <c:v>138.17358060000001</c:v>
                </c:pt>
                <c:pt idx="1307">
                  <c:v>138.1437742</c:v>
                </c:pt>
                <c:pt idx="1308">
                  <c:v>138.47293550000001</c:v>
                </c:pt>
                <c:pt idx="1309">
                  <c:v>138.82560000000001</c:v>
                </c:pt>
                <c:pt idx="1310">
                  <c:v>138.9117</c:v>
                </c:pt>
                <c:pt idx="1311">
                  <c:v>131.5279032</c:v>
                </c:pt>
                <c:pt idx="1312">
                  <c:v>131.58661290000001</c:v>
                </c:pt>
                <c:pt idx="1313">
                  <c:v>131.73500000000001</c:v>
                </c:pt>
                <c:pt idx="1314">
                  <c:v>131.78399999999999</c:v>
                </c:pt>
                <c:pt idx="1315">
                  <c:v>131.9019677</c:v>
                </c:pt>
                <c:pt idx="1316">
                  <c:v>131.94080650000001</c:v>
                </c:pt>
                <c:pt idx="1317">
                  <c:v>132.1062</c:v>
                </c:pt>
                <c:pt idx="1318">
                  <c:v>132.36483870000001</c:v>
                </c:pt>
                <c:pt idx="1319">
                  <c:v>132.43574190000001</c:v>
                </c:pt>
                <c:pt idx="1320">
                  <c:v>132.5218667</c:v>
                </c:pt>
                <c:pt idx="1321">
                  <c:v>132.54613330000001</c:v>
                </c:pt>
                <c:pt idx="1322">
                  <c:v>132.6141935</c:v>
                </c:pt>
                <c:pt idx="1323">
                  <c:v>132.72483869999999</c:v>
                </c:pt>
                <c:pt idx="1324">
                  <c:v>132.75645159999999</c:v>
                </c:pt>
                <c:pt idx="1325">
                  <c:v>132.7568</c:v>
                </c:pt>
                <c:pt idx="1326">
                  <c:v>132.75166669999999</c:v>
                </c:pt>
                <c:pt idx="1327">
                  <c:v>132.92458060000001</c:v>
                </c:pt>
                <c:pt idx="1328">
                  <c:v>132.97832260000001</c:v>
                </c:pt>
                <c:pt idx="1329">
                  <c:v>132.75666670000001</c:v>
                </c:pt>
                <c:pt idx="1330">
                  <c:v>132.6764</c:v>
                </c:pt>
                <c:pt idx="1331">
                  <c:v>132.88232260000001</c:v>
                </c:pt>
                <c:pt idx="1332">
                  <c:v>133.18341939999999</c:v>
                </c:pt>
                <c:pt idx="1333">
                  <c:v>133.26087100000001</c:v>
                </c:pt>
                <c:pt idx="1334">
                  <c:v>133.61414289999999</c:v>
                </c:pt>
                <c:pt idx="1335">
                  <c:v>133.7361429</c:v>
                </c:pt>
                <c:pt idx="1336">
                  <c:v>134.06825810000001</c:v>
                </c:pt>
                <c:pt idx="1337">
                  <c:v>134.17777419999999</c:v>
                </c:pt>
                <c:pt idx="1338">
                  <c:v>134.51436670000001</c:v>
                </c:pt>
                <c:pt idx="1339">
                  <c:v>134.85516129999999</c:v>
                </c:pt>
                <c:pt idx="1340">
                  <c:v>134.94254839999999</c:v>
                </c:pt>
                <c:pt idx="1341">
                  <c:v>135.4468</c:v>
                </c:pt>
                <c:pt idx="1342">
                  <c:v>135.62833330000001</c:v>
                </c:pt>
                <c:pt idx="1343">
                  <c:v>136.05403229999999</c:v>
                </c:pt>
                <c:pt idx="1344">
                  <c:v>136.14412899999999</c:v>
                </c:pt>
                <c:pt idx="1345">
                  <c:v>136.24409679999999</c:v>
                </c:pt>
                <c:pt idx="1346">
                  <c:v>136.27458060000001</c:v>
                </c:pt>
                <c:pt idx="1347">
                  <c:v>136.47200000000001</c:v>
                </c:pt>
                <c:pt idx="1348">
                  <c:v>136.47512900000001</c:v>
                </c:pt>
                <c:pt idx="1349">
                  <c:v>136.46180649999999</c:v>
                </c:pt>
                <c:pt idx="1350">
                  <c:v>136.49093329999999</c:v>
                </c:pt>
                <c:pt idx="1351">
                  <c:v>136.50306670000001</c:v>
                </c:pt>
                <c:pt idx="1352">
                  <c:v>136.69812899999999</c:v>
                </c:pt>
                <c:pt idx="1353">
                  <c:v>137.06325810000001</c:v>
                </c:pt>
                <c:pt idx="1354">
                  <c:v>137.1666774</c:v>
                </c:pt>
                <c:pt idx="1355">
                  <c:v>137.42389660000001</c:v>
                </c:pt>
                <c:pt idx="1356">
                  <c:v>137.50668970000001</c:v>
                </c:pt>
                <c:pt idx="1357">
                  <c:v>137.79709679999999</c:v>
                </c:pt>
                <c:pt idx="1358">
                  <c:v>138.03319999999999</c:v>
                </c:pt>
                <c:pt idx="1359">
                  <c:v>138.08826669999999</c:v>
                </c:pt>
                <c:pt idx="1360">
                  <c:v>138.11380650000001</c:v>
                </c:pt>
                <c:pt idx="1361">
                  <c:v>138.11741939999999</c:v>
                </c:pt>
                <c:pt idx="1362">
                  <c:v>138.22963329999999</c:v>
                </c:pt>
                <c:pt idx="1363">
                  <c:v>138.17358060000001</c:v>
                </c:pt>
                <c:pt idx="1364">
                  <c:v>138.1437742</c:v>
                </c:pt>
                <c:pt idx="1365">
                  <c:v>138.47293550000001</c:v>
                </c:pt>
                <c:pt idx="1366">
                  <c:v>138.82560000000001</c:v>
                </c:pt>
                <c:pt idx="1367">
                  <c:v>138.9117</c:v>
                </c:pt>
                <c:pt idx="1368">
                  <c:v>204.24719350000001</c:v>
                </c:pt>
                <c:pt idx="1369">
                  <c:v>204.3857472</c:v>
                </c:pt>
                <c:pt idx="1370">
                  <c:v>204.49407339999999</c:v>
                </c:pt>
                <c:pt idx="1371">
                  <c:v>204.52505980000001</c:v>
                </c:pt>
                <c:pt idx="1372">
                  <c:v>204.02528419999999</c:v>
                </c:pt>
                <c:pt idx="1373">
                  <c:v>203.84881340000001</c:v>
                </c:pt>
                <c:pt idx="1374">
                  <c:v>203.6101784</c:v>
                </c:pt>
                <c:pt idx="1375">
                  <c:v>204.4042877</c:v>
                </c:pt>
                <c:pt idx="1376">
                  <c:v>204.66791979999999</c:v>
                </c:pt>
                <c:pt idx="1377">
                  <c:v>204.46505590000001</c:v>
                </c:pt>
                <c:pt idx="1378">
                  <c:v>204.3625658</c:v>
                </c:pt>
                <c:pt idx="1379">
                  <c:v>204.72932520000001</c:v>
                </c:pt>
                <c:pt idx="1380">
                  <c:v>204.75835660000001</c:v>
                </c:pt>
                <c:pt idx="1381">
                  <c:v>204.7266827</c:v>
                </c:pt>
                <c:pt idx="1382">
                  <c:v>204.88509730000001</c:v>
                </c:pt>
                <c:pt idx="1383">
                  <c:v>204.95198199999999</c:v>
                </c:pt>
                <c:pt idx="1384">
                  <c:v>205.16083699999999</c:v>
                </c:pt>
                <c:pt idx="1385">
                  <c:v>205.20986139999999</c:v>
                </c:pt>
                <c:pt idx="1386">
                  <c:v>204.8249189</c:v>
                </c:pt>
                <c:pt idx="1387">
                  <c:v>204.68773780000001</c:v>
                </c:pt>
                <c:pt idx="1388">
                  <c:v>204.6487803</c:v>
                </c:pt>
                <c:pt idx="1389">
                  <c:v>205.7329407</c:v>
                </c:pt>
                <c:pt idx="1390">
                  <c:v>206.0763862</c:v>
                </c:pt>
                <c:pt idx="1391">
                  <c:v>206.91534849999999</c:v>
                </c:pt>
                <c:pt idx="1392">
                  <c:v>207.1882876</c:v>
                </c:pt>
                <c:pt idx="1393">
                  <c:v>207.88230429999999</c:v>
                </c:pt>
                <c:pt idx="1394">
                  <c:v>208.10926420000001</c:v>
                </c:pt>
                <c:pt idx="1395">
                  <c:v>208.79925950000001</c:v>
                </c:pt>
                <c:pt idx="1396">
                  <c:v>208.35511159999999</c:v>
                </c:pt>
                <c:pt idx="1397">
                  <c:v>208.1535092</c:v>
                </c:pt>
                <c:pt idx="1398">
                  <c:v>208.33464319999999</c:v>
                </c:pt>
                <c:pt idx="1399">
                  <c:v>208.43868470000001</c:v>
                </c:pt>
                <c:pt idx="1400">
                  <c:v>208.71923799999999</c:v>
                </c:pt>
                <c:pt idx="1401">
                  <c:v>208.78200609999999</c:v>
                </c:pt>
                <c:pt idx="1402">
                  <c:v>208.96251609999999</c:v>
                </c:pt>
                <c:pt idx="1403">
                  <c:v>209.0225562</c:v>
                </c:pt>
                <c:pt idx="1404">
                  <c:v>210.11705950000001</c:v>
                </c:pt>
                <c:pt idx="1405">
                  <c:v>210.83645509999999</c:v>
                </c:pt>
                <c:pt idx="1406">
                  <c:v>210.98102009999999</c:v>
                </c:pt>
                <c:pt idx="1407">
                  <c:v>211.6394306</c:v>
                </c:pt>
                <c:pt idx="1408">
                  <c:v>211.86678559999999</c:v>
                </c:pt>
                <c:pt idx="1409">
                  <c:v>212.5711125</c:v>
                </c:pt>
                <c:pt idx="1410">
                  <c:v>213.02362249999999</c:v>
                </c:pt>
                <c:pt idx="1411">
                  <c:v>213.11861379999999</c:v>
                </c:pt>
                <c:pt idx="1412">
                  <c:v>213.6718127</c:v>
                </c:pt>
                <c:pt idx="1413">
                  <c:v>213.8711137</c:v>
                </c:pt>
                <c:pt idx="1414">
                  <c:v>214.23870529999999</c:v>
                </c:pt>
                <c:pt idx="1415">
                  <c:v>214.47710810000001</c:v>
                </c:pt>
                <c:pt idx="1416">
                  <c:v>214.53190989999999</c:v>
                </c:pt>
                <c:pt idx="1417">
                  <c:v>214.5513278</c:v>
                </c:pt>
                <c:pt idx="1418">
                  <c:v>214.5527132</c:v>
                </c:pt>
                <c:pt idx="1419">
                  <c:v>214.68735140000001</c:v>
                </c:pt>
                <c:pt idx="1420">
                  <c:v>214.74335139999999</c:v>
                </c:pt>
                <c:pt idx="1421">
                  <c:v>214.7484595</c:v>
                </c:pt>
                <c:pt idx="1422">
                  <c:v>215.2189573</c:v>
                </c:pt>
                <c:pt idx="1423">
                  <c:v>215.92588649999999</c:v>
                </c:pt>
                <c:pt idx="1424">
                  <c:v>216.11505679999999</c:v>
                </c:pt>
                <c:pt idx="1425">
                  <c:v>131.5279032</c:v>
                </c:pt>
                <c:pt idx="1426">
                  <c:v>131.58661290000001</c:v>
                </c:pt>
                <c:pt idx="1427">
                  <c:v>131.73500000000001</c:v>
                </c:pt>
                <c:pt idx="1428">
                  <c:v>131.78399999999999</c:v>
                </c:pt>
                <c:pt idx="1429">
                  <c:v>131.9019677</c:v>
                </c:pt>
                <c:pt idx="1430">
                  <c:v>131.94080650000001</c:v>
                </c:pt>
                <c:pt idx="1431">
                  <c:v>132.1062</c:v>
                </c:pt>
                <c:pt idx="1432">
                  <c:v>132.36483870000001</c:v>
                </c:pt>
                <c:pt idx="1433">
                  <c:v>132.43574190000001</c:v>
                </c:pt>
                <c:pt idx="1434">
                  <c:v>132.5218667</c:v>
                </c:pt>
                <c:pt idx="1435">
                  <c:v>132.54613330000001</c:v>
                </c:pt>
                <c:pt idx="1436">
                  <c:v>132.6141935</c:v>
                </c:pt>
                <c:pt idx="1437">
                  <c:v>132.72483869999999</c:v>
                </c:pt>
                <c:pt idx="1438">
                  <c:v>132.75645159999999</c:v>
                </c:pt>
                <c:pt idx="1439">
                  <c:v>132.7568</c:v>
                </c:pt>
                <c:pt idx="1440">
                  <c:v>132.75166669999999</c:v>
                </c:pt>
                <c:pt idx="1441">
                  <c:v>132.92458060000001</c:v>
                </c:pt>
                <c:pt idx="1442">
                  <c:v>132.97832260000001</c:v>
                </c:pt>
                <c:pt idx="1443">
                  <c:v>132.75666670000001</c:v>
                </c:pt>
                <c:pt idx="1444">
                  <c:v>132.6764</c:v>
                </c:pt>
                <c:pt idx="1445">
                  <c:v>132.88232260000001</c:v>
                </c:pt>
                <c:pt idx="1446">
                  <c:v>133.18341939999999</c:v>
                </c:pt>
                <c:pt idx="1447">
                  <c:v>133.26087100000001</c:v>
                </c:pt>
                <c:pt idx="1448">
                  <c:v>133.61414289999999</c:v>
                </c:pt>
                <c:pt idx="1449">
                  <c:v>133.7361429</c:v>
                </c:pt>
                <c:pt idx="1450">
                  <c:v>134.06825810000001</c:v>
                </c:pt>
                <c:pt idx="1451">
                  <c:v>134.17777419999999</c:v>
                </c:pt>
                <c:pt idx="1452">
                  <c:v>134.51436670000001</c:v>
                </c:pt>
                <c:pt idx="1453">
                  <c:v>134.85516129999999</c:v>
                </c:pt>
                <c:pt idx="1454">
                  <c:v>134.94254839999999</c:v>
                </c:pt>
                <c:pt idx="1455">
                  <c:v>135.4468</c:v>
                </c:pt>
                <c:pt idx="1456">
                  <c:v>135.62833330000001</c:v>
                </c:pt>
                <c:pt idx="1457">
                  <c:v>136.05403229999999</c:v>
                </c:pt>
                <c:pt idx="1458">
                  <c:v>136.14412899999999</c:v>
                </c:pt>
                <c:pt idx="1459">
                  <c:v>136.24409679999999</c:v>
                </c:pt>
                <c:pt idx="1460">
                  <c:v>136.27458060000001</c:v>
                </c:pt>
                <c:pt idx="1461">
                  <c:v>136.47200000000001</c:v>
                </c:pt>
                <c:pt idx="1462">
                  <c:v>136.47512900000001</c:v>
                </c:pt>
                <c:pt idx="1463">
                  <c:v>136.46180649999999</c:v>
                </c:pt>
                <c:pt idx="1464">
                  <c:v>136.49093329999999</c:v>
                </c:pt>
                <c:pt idx="1465">
                  <c:v>136.50306670000001</c:v>
                </c:pt>
                <c:pt idx="1466">
                  <c:v>136.69812899999999</c:v>
                </c:pt>
                <c:pt idx="1467">
                  <c:v>137.06325810000001</c:v>
                </c:pt>
                <c:pt idx="1468">
                  <c:v>137.1666774</c:v>
                </c:pt>
                <c:pt idx="1469">
                  <c:v>137.42389660000001</c:v>
                </c:pt>
                <c:pt idx="1470">
                  <c:v>137.50668970000001</c:v>
                </c:pt>
                <c:pt idx="1471">
                  <c:v>137.79709679999999</c:v>
                </c:pt>
                <c:pt idx="1472">
                  <c:v>138.03319999999999</c:v>
                </c:pt>
                <c:pt idx="1473">
                  <c:v>138.08826669999999</c:v>
                </c:pt>
                <c:pt idx="1474">
                  <c:v>138.11380650000001</c:v>
                </c:pt>
                <c:pt idx="1475">
                  <c:v>138.11741939999999</c:v>
                </c:pt>
                <c:pt idx="1476">
                  <c:v>138.22963329999999</c:v>
                </c:pt>
                <c:pt idx="1477">
                  <c:v>138.17358060000001</c:v>
                </c:pt>
                <c:pt idx="1478">
                  <c:v>138.1437742</c:v>
                </c:pt>
                <c:pt idx="1479">
                  <c:v>138.47293550000001</c:v>
                </c:pt>
                <c:pt idx="1480">
                  <c:v>138.82560000000001</c:v>
                </c:pt>
                <c:pt idx="1481">
                  <c:v>138.9117</c:v>
                </c:pt>
                <c:pt idx="1482">
                  <c:v>135.35246079999999</c:v>
                </c:pt>
                <c:pt idx="1483">
                  <c:v>135.41130759999999</c:v>
                </c:pt>
                <c:pt idx="1484">
                  <c:v>135.57326019999999</c:v>
                </c:pt>
                <c:pt idx="1485">
                  <c:v>135.62700129999999</c:v>
                </c:pt>
                <c:pt idx="1486">
                  <c:v>135.74649880000001</c:v>
                </c:pt>
                <c:pt idx="1487">
                  <c:v>135.78563589999999</c:v>
                </c:pt>
                <c:pt idx="1488">
                  <c:v>135.96199999999999</c:v>
                </c:pt>
                <c:pt idx="1489">
                  <c:v>136.21816820000001</c:v>
                </c:pt>
                <c:pt idx="1490">
                  <c:v>136.28742629999999</c:v>
                </c:pt>
                <c:pt idx="1491">
                  <c:v>136.37228930000001</c:v>
                </c:pt>
                <c:pt idx="1492">
                  <c:v>136.39626430000001</c:v>
                </c:pt>
                <c:pt idx="1493">
                  <c:v>136.4741118</c:v>
                </c:pt>
                <c:pt idx="1494">
                  <c:v>136.58911180000001</c:v>
                </c:pt>
                <c:pt idx="1495">
                  <c:v>136.62120849999999</c:v>
                </c:pt>
                <c:pt idx="1496">
                  <c:v>136.62975710000001</c:v>
                </c:pt>
                <c:pt idx="1497">
                  <c:v>136.6277321</c:v>
                </c:pt>
                <c:pt idx="1498">
                  <c:v>136.78622580000001</c:v>
                </c:pt>
                <c:pt idx="1499">
                  <c:v>136.83490320000001</c:v>
                </c:pt>
                <c:pt idx="1500">
                  <c:v>136.60757140000001</c:v>
                </c:pt>
                <c:pt idx="1501">
                  <c:v>136.52557139999999</c:v>
                </c:pt>
                <c:pt idx="1502">
                  <c:v>136.73325689999999</c:v>
                </c:pt>
                <c:pt idx="1503">
                  <c:v>137.05424310000001</c:v>
                </c:pt>
                <c:pt idx="1504">
                  <c:v>137.13783179999999</c:v>
                </c:pt>
                <c:pt idx="1505">
                  <c:v>137.5017028</c:v>
                </c:pt>
                <c:pt idx="1506">
                  <c:v>137.62696170000001</c:v>
                </c:pt>
                <c:pt idx="1507">
                  <c:v>137.95589290000001</c:v>
                </c:pt>
                <c:pt idx="1508">
                  <c:v>138.06389290000001</c:v>
                </c:pt>
                <c:pt idx="1509">
                  <c:v>138.41312020000001</c:v>
                </c:pt>
                <c:pt idx="1510">
                  <c:v>138.76946079999999</c:v>
                </c:pt>
                <c:pt idx="1511">
                  <c:v>138.86063820000001</c:v>
                </c:pt>
                <c:pt idx="1512">
                  <c:v>139.36375000000001</c:v>
                </c:pt>
                <c:pt idx="1513">
                  <c:v>139.54420830000001</c:v>
                </c:pt>
                <c:pt idx="1514">
                  <c:v>139.98964860000001</c:v>
                </c:pt>
                <c:pt idx="1515">
                  <c:v>140.0859873</c:v>
                </c:pt>
                <c:pt idx="1516">
                  <c:v>140.19698500000001</c:v>
                </c:pt>
                <c:pt idx="1517">
                  <c:v>140.23101729999999</c:v>
                </c:pt>
                <c:pt idx="1518">
                  <c:v>140.43475000000001</c:v>
                </c:pt>
                <c:pt idx="1519">
                  <c:v>140.42797580000001</c:v>
                </c:pt>
                <c:pt idx="1520">
                  <c:v>140.4111613</c:v>
                </c:pt>
                <c:pt idx="1521">
                  <c:v>140.4307857</c:v>
                </c:pt>
                <c:pt idx="1522">
                  <c:v>140.43978569999999</c:v>
                </c:pt>
                <c:pt idx="1523">
                  <c:v>140.64613589999999</c:v>
                </c:pt>
                <c:pt idx="1524">
                  <c:v>141.01619239999999</c:v>
                </c:pt>
                <c:pt idx="1525">
                  <c:v>141.11998270000001</c:v>
                </c:pt>
                <c:pt idx="1526">
                  <c:v>141.3875357</c:v>
                </c:pt>
                <c:pt idx="1527">
                  <c:v>141.4742857</c:v>
                </c:pt>
                <c:pt idx="1528">
                  <c:v>141.7712396</c:v>
                </c:pt>
                <c:pt idx="1529">
                  <c:v>142.01779289999999</c:v>
                </c:pt>
                <c:pt idx="1530">
                  <c:v>142.0759262</c:v>
                </c:pt>
                <c:pt idx="1531">
                  <c:v>142.10954380000001</c:v>
                </c:pt>
                <c:pt idx="1532">
                  <c:v>142.11580989999999</c:v>
                </c:pt>
                <c:pt idx="1533">
                  <c:v>142.22342979999999</c:v>
                </c:pt>
                <c:pt idx="1534">
                  <c:v>142.19162789999999</c:v>
                </c:pt>
                <c:pt idx="1535">
                  <c:v>142.17056339999999</c:v>
                </c:pt>
                <c:pt idx="1536">
                  <c:v>142.500303</c:v>
                </c:pt>
                <c:pt idx="1537">
                  <c:v>142.85168329999999</c:v>
                </c:pt>
                <c:pt idx="1538">
                  <c:v>142.93761670000001</c:v>
                </c:pt>
                <c:pt idx="1539">
                  <c:v>126.4420645</c:v>
                </c:pt>
                <c:pt idx="1540">
                  <c:v>126.49625810000001</c:v>
                </c:pt>
                <c:pt idx="1541">
                  <c:v>126.5782857</c:v>
                </c:pt>
                <c:pt idx="1542">
                  <c:v>126.60428570000001</c:v>
                </c:pt>
                <c:pt idx="1543">
                  <c:v>126.6034839</c:v>
                </c:pt>
                <c:pt idx="1544">
                  <c:v>126.6019032</c:v>
                </c:pt>
                <c:pt idx="1545">
                  <c:v>126.2898</c:v>
                </c:pt>
                <c:pt idx="1546">
                  <c:v>126.1360645</c:v>
                </c:pt>
                <c:pt idx="1547">
                  <c:v>126.1119032</c:v>
                </c:pt>
                <c:pt idx="1548">
                  <c:v>126.1392</c:v>
                </c:pt>
                <c:pt idx="1549">
                  <c:v>126.15179999999999</c:v>
                </c:pt>
                <c:pt idx="1550">
                  <c:v>126.0854516</c:v>
                </c:pt>
                <c:pt idx="1551">
                  <c:v>126.1019355</c:v>
                </c:pt>
                <c:pt idx="1552">
                  <c:v>126.1145806</c:v>
                </c:pt>
                <c:pt idx="1553">
                  <c:v>126.2346</c:v>
                </c:pt>
                <c:pt idx="1554">
                  <c:v>126.2791667</c:v>
                </c:pt>
                <c:pt idx="1555">
                  <c:v>126.4912903</c:v>
                </c:pt>
                <c:pt idx="1556">
                  <c:v>126.54616129999999</c:v>
                </c:pt>
                <c:pt idx="1557">
                  <c:v>126.7313333</c:v>
                </c:pt>
                <c:pt idx="1558">
                  <c:v>126.79340000000001</c:v>
                </c:pt>
                <c:pt idx="1559">
                  <c:v>127.1917742</c:v>
                </c:pt>
                <c:pt idx="1560">
                  <c:v>127.7195806</c:v>
                </c:pt>
                <c:pt idx="1561">
                  <c:v>127.859129</c:v>
                </c:pt>
                <c:pt idx="1562">
                  <c:v>128.26474999999999</c:v>
                </c:pt>
                <c:pt idx="1563">
                  <c:v>128.39949999999999</c:v>
                </c:pt>
                <c:pt idx="1564">
                  <c:v>128.71993549999999</c:v>
                </c:pt>
                <c:pt idx="1565">
                  <c:v>128.82380649999999</c:v>
                </c:pt>
                <c:pt idx="1566">
                  <c:v>129.04443330000001</c:v>
                </c:pt>
                <c:pt idx="1567">
                  <c:v>129.04903229999999</c:v>
                </c:pt>
                <c:pt idx="1568">
                  <c:v>129.03570970000001</c:v>
                </c:pt>
                <c:pt idx="1569">
                  <c:v>129.08940000000001</c:v>
                </c:pt>
                <c:pt idx="1570">
                  <c:v>129.11250000000001</c:v>
                </c:pt>
                <c:pt idx="1571">
                  <c:v>129.18464520000001</c:v>
                </c:pt>
                <c:pt idx="1572">
                  <c:v>129.2015806</c:v>
                </c:pt>
                <c:pt idx="1573">
                  <c:v>129.32593550000001</c:v>
                </c:pt>
                <c:pt idx="1574">
                  <c:v>129.36861289999999</c:v>
                </c:pt>
                <c:pt idx="1575">
                  <c:v>129.69380000000001</c:v>
                </c:pt>
                <c:pt idx="1576">
                  <c:v>129.8051935</c:v>
                </c:pt>
                <c:pt idx="1577">
                  <c:v>129.81670969999999</c:v>
                </c:pt>
                <c:pt idx="1578">
                  <c:v>129.84596669999999</c:v>
                </c:pt>
                <c:pt idx="1579">
                  <c:v>129.85553329999999</c:v>
                </c:pt>
                <c:pt idx="1580">
                  <c:v>130.15751610000001</c:v>
                </c:pt>
                <c:pt idx="1581">
                  <c:v>130.34967739999999</c:v>
                </c:pt>
                <c:pt idx="1582">
                  <c:v>130.3849032</c:v>
                </c:pt>
                <c:pt idx="1583">
                  <c:v>130.64579309999999</c:v>
                </c:pt>
                <c:pt idx="1584">
                  <c:v>130.74137930000001</c:v>
                </c:pt>
                <c:pt idx="1585">
                  <c:v>131.03754839999999</c:v>
                </c:pt>
                <c:pt idx="1586">
                  <c:v>131.136</c:v>
                </c:pt>
                <c:pt idx="1587">
                  <c:v>131.1453333</c:v>
                </c:pt>
                <c:pt idx="1588">
                  <c:v>130.95922580000001</c:v>
                </c:pt>
                <c:pt idx="1589">
                  <c:v>130.88967740000001</c:v>
                </c:pt>
                <c:pt idx="1590">
                  <c:v>130.7196333</c:v>
                </c:pt>
                <c:pt idx="1591">
                  <c:v>130.73787100000001</c:v>
                </c:pt>
                <c:pt idx="1592">
                  <c:v>130.7561613</c:v>
                </c:pt>
                <c:pt idx="1593">
                  <c:v>130.9325484</c:v>
                </c:pt>
                <c:pt idx="1594">
                  <c:v>131.0756667</c:v>
                </c:pt>
                <c:pt idx="1595">
                  <c:v>131.1083333</c:v>
                </c:pt>
                <c:pt idx="1596">
                  <c:v>131.5279032</c:v>
                </c:pt>
                <c:pt idx="1597">
                  <c:v>131.58661290000001</c:v>
                </c:pt>
                <c:pt idx="1598">
                  <c:v>131.73500000000001</c:v>
                </c:pt>
                <c:pt idx="1599">
                  <c:v>131.78399999999999</c:v>
                </c:pt>
                <c:pt idx="1600">
                  <c:v>131.9019677</c:v>
                </c:pt>
                <c:pt idx="1601">
                  <c:v>131.94080650000001</c:v>
                </c:pt>
                <c:pt idx="1602">
                  <c:v>132.1062</c:v>
                </c:pt>
                <c:pt idx="1603">
                  <c:v>132.36483870000001</c:v>
                </c:pt>
                <c:pt idx="1604">
                  <c:v>132.43574190000001</c:v>
                </c:pt>
                <c:pt idx="1605">
                  <c:v>132.5218667</c:v>
                </c:pt>
                <c:pt idx="1606">
                  <c:v>132.54613330000001</c:v>
                </c:pt>
                <c:pt idx="1607">
                  <c:v>132.6141935</c:v>
                </c:pt>
                <c:pt idx="1608">
                  <c:v>132.72483869999999</c:v>
                </c:pt>
                <c:pt idx="1609">
                  <c:v>132.75645159999999</c:v>
                </c:pt>
                <c:pt idx="1610">
                  <c:v>132.7568</c:v>
                </c:pt>
                <c:pt idx="1611">
                  <c:v>132.75166669999999</c:v>
                </c:pt>
                <c:pt idx="1612">
                  <c:v>132.92458060000001</c:v>
                </c:pt>
                <c:pt idx="1613">
                  <c:v>132.97832260000001</c:v>
                </c:pt>
                <c:pt idx="1614">
                  <c:v>132.75666670000001</c:v>
                </c:pt>
                <c:pt idx="1615">
                  <c:v>132.6764</c:v>
                </c:pt>
                <c:pt idx="1616">
                  <c:v>132.88232260000001</c:v>
                </c:pt>
                <c:pt idx="1617">
                  <c:v>133.18341939999999</c:v>
                </c:pt>
                <c:pt idx="1618">
                  <c:v>133.26087100000001</c:v>
                </c:pt>
                <c:pt idx="1619">
                  <c:v>133.61414289999999</c:v>
                </c:pt>
                <c:pt idx="1620">
                  <c:v>133.7361429</c:v>
                </c:pt>
                <c:pt idx="1621">
                  <c:v>134.06825810000001</c:v>
                </c:pt>
                <c:pt idx="1622">
                  <c:v>134.17777419999999</c:v>
                </c:pt>
                <c:pt idx="1623">
                  <c:v>134.51436670000001</c:v>
                </c:pt>
                <c:pt idx="1624">
                  <c:v>134.85516129999999</c:v>
                </c:pt>
                <c:pt idx="1625">
                  <c:v>134.94254839999999</c:v>
                </c:pt>
                <c:pt idx="1626">
                  <c:v>135.4468</c:v>
                </c:pt>
                <c:pt idx="1627">
                  <c:v>135.62833330000001</c:v>
                </c:pt>
                <c:pt idx="1628">
                  <c:v>136.05403229999999</c:v>
                </c:pt>
                <c:pt idx="1629">
                  <c:v>136.14412899999999</c:v>
                </c:pt>
                <c:pt idx="1630">
                  <c:v>136.24409679999999</c:v>
                </c:pt>
                <c:pt idx="1631">
                  <c:v>136.27458060000001</c:v>
                </c:pt>
                <c:pt idx="1632">
                  <c:v>136.47200000000001</c:v>
                </c:pt>
                <c:pt idx="1633">
                  <c:v>136.47512900000001</c:v>
                </c:pt>
                <c:pt idx="1634">
                  <c:v>136.46180649999999</c:v>
                </c:pt>
                <c:pt idx="1635">
                  <c:v>136.49093329999999</c:v>
                </c:pt>
                <c:pt idx="1636">
                  <c:v>136.50306670000001</c:v>
                </c:pt>
                <c:pt idx="1637">
                  <c:v>136.69812899999999</c:v>
                </c:pt>
                <c:pt idx="1638">
                  <c:v>137.06325810000001</c:v>
                </c:pt>
                <c:pt idx="1639">
                  <c:v>137.1666774</c:v>
                </c:pt>
                <c:pt idx="1640">
                  <c:v>137.42389660000001</c:v>
                </c:pt>
                <c:pt idx="1641">
                  <c:v>137.50668970000001</c:v>
                </c:pt>
                <c:pt idx="1642">
                  <c:v>137.79709679999999</c:v>
                </c:pt>
                <c:pt idx="1643">
                  <c:v>138.03319999999999</c:v>
                </c:pt>
                <c:pt idx="1644">
                  <c:v>138.08826669999999</c:v>
                </c:pt>
                <c:pt idx="1645">
                  <c:v>138.11380650000001</c:v>
                </c:pt>
                <c:pt idx="1646">
                  <c:v>138.11741939999999</c:v>
                </c:pt>
                <c:pt idx="1647">
                  <c:v>138.22963329999999</c:v>
                </c:pt>
                <c:pt idx="1648">
                  <c:v>138.17358060000001</c:v>
                </c:pt>
                <c:pt idx="1649">
                  <c:v>138.1437742</c:v>
                </c:pt>
                <c:pt idx="1650">
                  <c:v>138.47293550000001</c:v>
                </c:pt>
                <c:pt idx="1651">
                  <c:v>138.82560000000001</c:v>
                </c:pt>
                <c:pt idx="1652">
                  <c:v>138.9117</c:v>
                </c:pt>
                <c:pt idx="1653">
                  <c:v>210.7526053</c:v>
                </c:pt>
                <c:pt idx="1654">
                  <c:v>210.89799350000001</c:v>
                </c:pt>
                <c:pt idx="1655">
                  <c:v>211.00675419999999</c:v>
                </c:pt>
                <c:pt idx="1656">
                  <c:v>211.03755100000001</c:v>
                </c:pt>
                <c:pt idx="1657">
                  <c:v>210.4798874</c:v>
                </c:pt>
                <c:pt idx="1658">
                  <c:v>210.28316530000001</c:v>
                </c:pt>
                <c:pt idx="1659">
                  <c:v>210.00110179999999</c:v>
                </c:pt>
                <c:pt idx="1660">
                  <c:v>210.83361600000001</c:v>
                </c:pt>
                <c:pt idx="1661">
                  <c:v>211.1120018</c:v>
                </c:pt>
                <c:pt idx="1662">
                  <c:v>210.88037259999999</c:v>
                </c:pt>
                <c:pt idx="1663">
                  <c:v>210.7657317</c:v>
                </c:pt>
                <c:pt idx="1664">
                  <c:v>211.16080489999999</c:v>
                </c:pt>
                <c:pt idx="1665">
                  <c:v>211.18869309999999</c:v>
                </c:pt>
                <c:pt idx="1666">
                  <c:v>211.15321040000001</c:v>
                </c:pt>
                <c:pt idx="1667">
                  <c:v>211.32987420000001</c:v>
                </c:pt>
                <c:pt idx="1668">
                  <c:v>211.4044906</c:v>
                </c:pt>
                <c:pt idx="1669">
                  <c:v>211.61350530000001</c:v>
                </c:pt>
                <c:pt idx="1670">
                  <c:v>211.6608975</c:v>
                </c:pt>
                <c:pt idx="1671">
                  <c:v>211.26554300000001</c:v>
                </c:pt>
                <c:pt idx="1672">
                  <c:v>211.12479930000001</c:v>
                </c:pt>
                <c:pt idx="1673">
                  <c:v>211.06488809999999</c:v>
                </c:pt>
                <c:pt idx="1674">
                  <c:v>212.22406459999999</c:v>
                </c:pt>
                <c:pt idx="1675">
                  <c:v>212.5928624</c:v>
                </c:pt>
                <c:pt idx="1676">
                  <c:v>213.4775305</c:v>
                </c:pt>
                <c:pt idx="1677">
                  <c:v>213.76464010000001</c:v>
                </c:pt>
                <c:pt idx="1678">
                  <c:v>214.4886908</c:v>
                </c:pt>
                <c:pt idx="1679">
                  <c:v>214.72522420000001</c:v>
                </c:pt>
                <c:pt idx="1680">
                  <c:v>215.44487090000001</c:v>
                </c:pt>
                <c:pt idx="1681">
                  <c:v>214.92548650000001</c:v>
                </c:pt>
                <c:pt idx="1682">
                  <c:v>214.69649079999999</c:v>
                </c:pt>
                <c:pt idx="1683">
                  <c:v>214.83686779999999</c:v>
                </c:pt>
                <c:pt idx="1684">
                  <c:v>214.92962489999999</c:v>
                </c:pt>
                <c:pt idx="1685">
                  <c:v>215.19785150000001</c:v>
                </c:pt>
                <c:pt idx="1686">
                  <c:v>215.25932109999999</c:v>
                </c:pt>
                <c:pt idx="1687">
                  <c:v>215.45086319999999</c:v>
                </c:pt>
                <c:pt idx="1688">
                  <c:v>215.51482949999999</c:v>
                </c:pt>
                <c:pt idx="1689">
                  <c:v>216.69583109999999</c:v>
                </c:pt>
                <c:pt idx="1690">
                  <c:v>217.48536050000001</c:v>
                </c:pt>
                <c:pt idx="1691">
                  <c:v>217.6455387</c:v>
                </c:pt>
                <c:pt idx="1692">
                  <c:v>218.35903189999999</c:v>
                </c:pt>
                <c:pt idx="1693">
                  <c:v>218.60503700000001</c:v>
                </c:pt>
                <c:pt idx="1694">
                  <c:v>219.355063</c:v>
                </c:pt>
                <c:pt idx="1695">
                  <c:v>219.81188539999999</c:v>
                </c:pt>
                <c:pt idx="1696">
                  <c:v>219.90490729999999</c:v>
                </c:pt>
                <c:pt idx="1697">
                  <c:v>220.48668860000001</c:v>
                </c:pt>
                <c:pt idx="1698">
                  <c:v>220.69743320000001</c:v>
                </c:pt>
                <c:pt idx="1699">
                  <c:v>221.07376379999999</c:v>
                </c:pt>
                <c:pt idx="1700">
                  <c:v>221.30951659999999</c:v>
                </c:pt>
                <c:pt idx="1701">
                  <c:v>221.3632212</c:v>
                </c:pt>
                <c:pt idx="1702">
                  <c:v>221.38527479999999</c:v>
                </c:pt>
                <c:pt idx="1703">
                  <c:v>221.38774670000001</c:v>
                </c:pt>
                <c:pt idx="1704">
                  <c:v>221.52150639999999</c:v>
                </c:pt>
                <c:pt idx="1705">
                  <c:v>221.58697989999999</c:v>
                </c:pt>
                <c:pt idx="1706">
                  <c:v>221.59541379999999</c:v>
                </c:pt>
                <c:pt idx="1707">
                  <c:v>222.07476349999999</c:v>
                </c:pt>
                <c:pt idx="1708">
                  <c:v>222.8159296</c:v>
                </c:pt>
                <c:pt idx="1709">
                  <c:v>223.0154263</c:v>
                </c:pt>
                <c:pt idx="1710">
                  <c:v>210.7526053</c:v>
                </c:pt>
                <c:pt idx="1711">
                  <c:v>210.89799350000001</c:v>
                </c:pt>
                <c:pt idx="1712">
                  <c:v>211.00675419999999</c:v>
                </c:pt>
                <c:pt idx="1713">
                  <c:v>211.03755100000001</c:v>
                </c:pt>
                <c:pt idx="1714">
                  <c:v>210.4798874</c:v>
                </c:pt>
                <c:pt idx="1715">
                  <c:v>210.28316530000001</c:v>
                </c:pt>
                <c:pt idx="1716">
                  <c:v>210.00110179999999</c:v>
                </c:pt>
                <c:pt idx="1717">
                  <c:v>210.83361600000001</c:v>
                </c:pt>
                <c:pt idx="1718">
                  <c:v>211.1120018</c:v>
                </c:pt>
                <c:pt idx="1719">
                  <c:v>210.88037259999999</c:v>
                </c:pt>
                <c:pt idx="1720">
                  <c:v>210.7657317</c:v>
                </c:pt>
                <c:pt idx="1721">
                  <c:v>211.16080489999999</c:v>
                </c:pt>
                <c:pt idx="1722">
                  <c:v>211.18869309999999</c:v>
                </c:pt>
                <c:pt idx="1723">
                  <c:v>211.15321040000001</c:v>
                </c:pt>
                <c:pt idx="1724">
                  <c:v>211.32987420000001</c:v>
                </c:pt>
                <c:pt idx="1725">
                  <c:v>211.4044906</c:v>
                </c:pt>
                <c:pt idx="1726">
                  <c:v>211.61350530000001</c:v>
                </c:pt>
                <c:pt idx="1727">
                  <c:v>211.6608975</c:v>
                </c:pt>
                <c:pt idx="1728">
                  <c:v>211.26554300000001</c:v>
                </c:pt>
                <c:pt idx="1729">
                  <c:v>211.12479930000001</c:v>
                </c:pt>
                <c:pt idx="1730">
                  <c:v>211.06488809999999</c:v>
                </c:pt>
                <c:pt idx="1731">
                  <c:v>212.22406459999999</c:v>
                </c:pt>
                <c:pt idx="1732">
                  <c:v>212.5928624</c:v>
                </c:pt>
                <c:pt idx="1733">
                  <c:v>213.4775305</c:v>
                </c:pt>
                <c:pt idx="1734">
                  <c:v>213.76464010000001</c:v>
                </c:pt>
                <c:pt idx="1735">
                  <c:v>214.4886908</c:v>
                </c:pt>
                <c:pt idx="1736">
                  <c:v>214.72522420000001</c:v>
                </c:pt>
                <c:pt idx="1737">
                  <c:v>215.44487090000001</c:v>
                </c:pt>
                <c:pt idx="1738">
                  <c:v>214.92548650000001</c:v>
                </c:pt>
                <c:pt idx="1739">
                  <c:v>214.69649079999999</c:v>
                </c:pt>
                <c:pt idx="1740">
                  <c:v>214.83686779999999</c:v>
                </c:pt>
                <c:pt idx="1741">
                  <c:v>214.92962489999999</c:v>
                </c:pt>
                <c:pt idx="1742">
                  <c:v>215.19785150000001</c:v>
                </c:pt>
                <c:pt idx="1743">
                  <c:v>215.25932109999999</c:v>
                </c:pt>
                <c:pt idx="1744">
                  <c:v>215.45086319999999</c:v>
                </c:pt>
                <c:pt idx="1745">
                  <c:v>215.51482949999999</c:v>
                </c:pt>
                <c:pt idx="1746">
                  <c:v>216.69583109999999</c:v>
                </c:pt>
                <c:pt idx="1747">
                  <c:v>217.48536050000001</c:v>
                </c:pt>
                <c:pt idx="1748">
                  <c:v>217.6455387</c:v>
                </c:pt>
                <c:pt idx="1749">
                  <c:v>218.35903189999999</c:v>
                </c:pt>
                <c:pt idx="1750">
                  <c:v>218.60503700000001</c:v>
                </c:pt>
                <c:pt idx="1751">
                  <c:v>219.355063</c:v>
                </c:pt>
                <c:pt idx="1752">
                  <c:v>219.81188539999999</c:v>
                </c:pt>
                <c:pt idx="1753">
                  <c:v>219.90490729999999</c:v>
                </c:pt>
                <c:pt idx="1754">
                  <c:v>220.48668860000001</c:v>
                </c:pt>
                <c:pt idx="1755">
                  <c:v>220.69743320000001</c:v>
                </c:pt>
                <c:pt idx="1756">
                  <c:v>221.07376379999999</c:v>
                </c:pt>
                <c:pt idx="1757">
                  <c:v>221.30951659999999</c:v>
                </c:pt>
                <c:pt idx="1758">
                  <c:v>221.3632212</c:v>
                </c:pt>
                <c:pt idx="1759">
                  <c:v>221.38527479999999</c:v>
                </c:pt>
                <c:pt idx="1760">
                  <c:v>221.38774670000001</c:v>
                </c:pt>
                <c:pt idx="1761">
                  <c:v>221.52150639999999</c:v>
                </c:pt>
                <c:pt idx="1762">
                  <c:v>221.58697989999999</c:v>
                </c:pt>
                <c:pt idx="1763">
                  <c:v>221.59541379999999</c:v>
                </c:pt>
                <c:pt idx="1764">
                  <c:v>222.07476349999999</c:v>
                </c:pt>
                <c:pt idx="1765">
                  <c:v>222.8159296</c:v>
                </c:pt>
                <c:pt idx="1766">
                  <c:v>223.0154263</c:v>
                </c:pt>
                <c:pt idx="1767">
                  <c:v>189.38169740000001</c:v>
                </c:pt>
                <c:pt idx="1768">
                  <c:v>189.46427249999999</c:v>
                </c:pt>
                <c:pt idx="1769">
                  <c:v>189.66950489999999</c:v>
                </c:pt>
                <c:pt idx="1770">
                  <c:v>189.73720750000001</c:v>
                </c:pt>
                <c:pt idx="1771">
                  <c:v>189.70482150000001</c:v>
                </c:pt>
                <c:pt idx="1772">
                  <c:v>189.69010119999999</c:v>
                </c:pt>
                <c:pt idx="1773">
                  <c:v>189.53124829999999</c:v>
                </c:pt>
                <c:pt idx="1774">
                  <c:v>189.42265800000001</c:v>
                </c:pt>
                <c:pt idx="1775">
                  <c:v>189.4000734</c:v>
                </c:pt>
                <c:pt idx="1776">
                  <c:v>189.48826030000001</c:v>
                </c:pt>
                <c:pt idx="1777">
                  <c:v>189.52312760000001</c:v>
                </c:pt>
                <c:pt idx="1778">
                  <c:v>190.09900279999999</c:v>
                </c:pt>
                <c:pt idx="1779">
                  <c:v>190.3621607</c:v>
                </c:pt>
                <c:pt idx="1780">
                  <c:v>190.3958293</c:v>
                </c:pt>
                <c:pt idx="1781">
                  <c:v>190.67382409999999</c:v>
                </c:pt>
                <c:pt idx="1782">
                  <c:v>190.77632180000001</c:v>
                </c:pt>
                <c:pt idx="1783">
                  <c:v>190.9964377</c:v>
                </c:pt>
                <c:pt idx="1784">
                  <c:v>191.0411474</c:v>
                </c:pt>
                <c:pt idx="1785">
                  <c:v>190.99314369999999</c:v>
                </c:pt>
                <c:pt idx="1786">
                  <c:v>190.97410690000001</c:v>
                </c:pt>
                <c:pt idx="1787">
                  <c:v>191.3683815</c:v>
                </c:pt>
                <c:pt idx="1788">
                  <c:v>191.76258949999999</c:v>
                </c:pt>
                <c:pt idx="1789">
                  <c:v>191.85728810000001</c:v>
                </c:pt>
                <c:pt idx="1790">
                  <c:v>192.01160039999999</c:v>
                </c:pt>
                <c:pt idx="1791">
                  <c:v>192.05848399999999</c:v>
                </c:pt>
                <c:pt idx="1792">
                  <c:v>192.26917069999999</c:v>
                </c:pt>
                <c:pt idx="1793">
                  <c:v>192.3418571</c:v>
                </c:pt>
                <c:pt idx="1794">
                  <c:v>192.72520059999999</c:v>
                </c:pt>
                <c:pt idx="1795">
                  <c:v>192.8418131</c:v>
                </c:pt>
                <c:pt idx="1796">
                  <c:v>192.84706120000001</c:v>
                </c:pt>
                <c:pt idx="1797">
                  <c:v>193.09305520000001</c:v>
                </c:pt>
                <c:pt idx="1798">
                  <c:v>193.18784479999999</c:v>
                </c:pt>
                <c:pt idx="1799">
                  <c:v>193.91101330000001</c:v>
                </c:pt>
                <c:pt idx="1800">
                  <c:v>194.11050169999999</c:v>
                </c:pt>
                <c:pt idx="1801">
                  <c:v>194.5092113</c:v>
                </c:pt>
                <c:pt idx="1802">
                  <c:v>194.6387853</c:v>
                </c:pt>
                <c:pt idx="1803">
                  <c:v>194.94597239999999</c:v>
                </c:pt>
                <c:pt idx="1804">
                  <c:v>195.48479589999999</c:v>
                </c:pt>
                <c:pt idx="1805">
                  <c:v>195.6376941</c:v>
                </c:pt>
                <c:pt idx="1806">
                  <c:v>195.82232870000001</c:v>
                </c:pt>
                <c:pt idx="1807">
                  <c:v>195.8742575</c:v>
                </c:pt>
                <c:pt idx="1808">
                  <c:v>196.5458309</c:v>
                </c:pt>
                <c:pt idx="1809">
                  <c:v>196.8728921</c:v>
                </c:pt>
                <c:pt idx="1810">
                  <c:v>196.91950560000001</c:v>
                </c:pt>
                <c:pt idx="1811">
                  <c:v>196.9565303</c:v>
                </c:pt>
                <c:pt idx="1812">
                  <c:v>196.96315989999999</c:v>
                </c:pt>
                <c:pt idx="1813">
                  <c:v>197.5971285</c:v>
                </c:pt>
                <c:pt idx="1814">
                  <c:v>197.60635339999999</c:v>
                </c:pt>
                <c:pt idx="1815">
                  <c:v>197.5481609</c:v>
                </c:pt>
                <c:pt idx="1816">
                  <c:v>197.6218954</c:v>
                </c:pt>
                <c:pt idx="1817">
                  <c:v>197.6551863</c:v>
                </c:pt>
                <c:pt idx="1818">
                  <c:v>197.83221950000001</c:v>
                </c:pt>
                <c:pt idx="1819">
                  <c:v>198.02938929999999</c:v>
                </c:pt>
                <c:pt idx="1820">
                  <c:v>198.0795651</c:v>
                </c:pt>
                <c:pt idx="1821">
                  <c:v>198.0950484</c:v>
                </c:pt>
                <c:pt idx="1822">
                  <c:v>198.8221322</c:v>
                </c:pt>
                <c:pt idx="1823">
                  <c:v>199.0539368</c:v>
                </c:pt>
                <c:pt idx="1824">
                  <c:v>126.4420645</c:v>
                </c:pt>
                <c:pt idx="1825">
                  <c:v>126.49625810000001</c:v>
                </c:pt>
                <c:pt idx="1826">
                  <c:v>126.5782857</c:v>
                </c:pt>
                <c:pt idx="1827">
                  <c:v>126.60428570000001</c:v>
                </c:pt>
                <c:pt idx="1828">
                  <c:v>126.6034839</c:v>
                </c:pt>
                <c:pt idx="1829">
                  <c:v>126.6019032</c:v>
                </c:pt>
                <c:pt idx="1830">
                  <c:v>126.2898</c:v>
                </c:pt>
                <c:pt idx="1831">
                  <c:v>126.1360645</c:v>
                </c:pt>
                <c:pt idx="1832">
                  <c:v>126.1119032</c:v>
                </c:pt>
                <c:pt idx="1833">
                  <c:v>126.1392</c:v>
                </c:pt>
                <c:pt idx="1834">
                  <c:v>126.15179999999999</c:v>
                </c:pt>
                <c:pt idx="1835">
                  <c:v>126.0854516</c:v>
                </c:pt>
                <c:pt idx="1836">
                  <c:v>126.1019355</c:v>
                </c:pt>
                <c:pt idx="1837">
                  <c:v>126.1145806</c:v>
                </c:pt>
                <c:pt idx="1838">
                  <c:v>126.2346</c:v>
                </c:pt>
                <c:pt idx="1839">
                  <c:v>126.2791667</c:v>
                </c:pt>
                <c:pt idx="1840">
                  <c:v>126.4912903</c:v>
                </c:pt>
                <c:pt idx="1841">
                  <c:v>126.54616129999999</c:v>
                </c:pt>
                <c:pt idx="1842">
                  <c:v>126.7313333</c:v>
                </c:pt>
                <c:pt idx="1843">
                  <c:v>126.79340000000001</c:v>
                </c:pt>
                <c:pt idx="1844">
                  <c:v>127.1917742</c:v>
                </c:pt>
                <c:pt idx="1845">
                  <c:v>127.7195806</c:v>
                </c:pt>
                <c:pt idx="1846">
                  <c:v>127.859129</c:v>
                </c:pt>
                <c:pt idx="1847">
                  <c:v>128.26474999999999</c:v>
                </c:pt>
                <c:pt idx="1848">
                  <c:v>128.39949999999999</c:v>
                </c:pt>
                <c:pt idx="1849">
                  <c:v>128.71993549999999</c:v>
                </c:pt>
                <c:pt idx="1850">
                  <c:v>128.82380649999999</c:v>
                </c:pt>
                <c:pt idx="1851">
                  <c:v>129.04443330000001</c:v>
                </c:pt>
                <c:pt idx="1852">
                  <c:v>129.04903229999999</c:v>
                </c:pt>
                <c:pt idx="1853">
                  <c:v>129.03570970000001</c:v>
                </c:pt>
                <c:pt idx="1854">
                  <c:v>129.08940000000001</c:v>
                </c:pt>
                <c:pt idx="1855">
                  <c:v>129.11250000000001</c:v>
                </c:pt>
                <c:pt idx="1856">
                  <c:v>129.18464520000001</c:v>
                </c:pt>
                <c:pt idx="1857">
                  <c:v>129.2015806</c:v>
                </c:pt>
                <c:pt idx="1858">
                  <c:v>129.32593550000001</c:v>
                </c:pt>
                <c:pt idx="1859">
                  <c:v>129.36861289999999</c:v>
                </c:pt>
                <c:pt idx="1860">
                  <c:v>129.69380000000001</c:v>
                </c:pt>
                <c:pt idx="1861">
                  <c:v>129.8051935</c:v>
                </c:pt>
                <c:pt idx="1862">
                  <c:v>129.81670969999999</c:v>
                </c:pt>
                <c:pt idx="1863">
                  <c:v>129.84596669999999</c:v>
                </c:pt>
                <c:pt idx="1864">
                  <c:v>129.85553329999999</c:v>
                </c:pt>
                <c:pt idx="1865">
                  <c:v>130.15751610000001</c:v>
                </c:pt>
                <c:pt idx="1866">
                  <c:v>130.34967739999999</c:v>
                </c:pt>
                <c:pt idx="1867">
                  <c:v>130.3849032</c:v>
                </c:pt>
                <c:pt idx="1868">
                  <c:v>130.64579309999999</c:v>
                </c:pt>
                <c:pt idx="1869">
                  <c:v>130.74137930000001</c:v>
                </c:pt>
                <c:pt idx="1870">
                  <c:v>131.03754839999999</c:v>
                </c:pt>
                <c:pt idx="1871">
                  <c:v>131.136</c:v>
                </c:pt>
                <c:pt idx="1872">
                  <c:v>131.1453333</c:v>
                </c:pt>
                <c:pt idx="1873">
                  <c:v>130.95922580000001</c:v>
                </c:pt>
                <c:pt idx="1874">
                  <c:v>130.88967740000001</c:v>
                </c:pt>
                <c:pt idx="1875">
                  <c:v>130.7196333</c:v>
                </c:pt>
                <c:pt idx="1876">
                  <c:v>130.73787100000001</c:v>
                </c:pt>
                <c:pt idx="1877">
                  <c:v>130.7561613</c:v>
                </c:pt>
                <c:pt idx="1878">
                  <c:v>130.9325484</c:v>
                </c:pt>
                <c:pt idx="1879">
                  <c:v>131.0756667</c:v>
                </c:pt>
                <c:pt idx="1880">
                  <c:v>131.1083333</c:v>
                </c:pt>
                <c:pt idx="1881">
                  <c:v>126.4420645</c:v>
                </c:pt>
                <c:pt idx="1882">
                  <c:v>126.49625810000001</c:v>
                </c:pt>
                <c:pt idx="1883">
                  <c:v>126.5782857</c:v>
                </c:pt>
                <c:pt idx="1884">
                  <c:v>126.60428570000001</c:v>
                </c:pt>
                <c:pt idx="1885">
                  <c:v>126.6034839</c:v>
                </c:pt>
                <c:pt idx="1886">
                  <c:v>126.6019032</c:v>
                </c:pt>
                <c:pt idx="1887">
                  <c:v>126.2898</c:v>
                </c:pt>
                <c:pt idx="1888">
                  <c:v>126.1360645</c:v>
                </c:pt>
                <c:pt idx="1889">
                  <c:v>126.1119032</c:v>
                </c:pt>
                <c:pt idx="1890">
                  <c:v>126.1392</c:v>
                </c:pt>
                <c:pt idx="1891">
                  <c:v>126.15179999999999</c:v>
                </c:pt>
                <c:pt idx="1892">
                  <c:v>126.0854516</c:v>
                </c:pt>
                <c:pt idx="1893">
                  <c:v>126.1019355</c:v>
                </c:pt>
                <c:pt idx="1894">
                  <c:v>126.1145806</c:v>
                </c:pt>
                <c:pt idx="1895">
                  <c:v>126.2346</c:v>
                </c:pt>
                <c:pt idx="1896">
                  <c:v>126.2791667</c:v>
                </c:pt>
                <c:pt idx="1897">
                  <c:v>126.4912903</c:v>
                </c:pt>
                <c:pt idx="1898">
                  <c:v>126.54616129999999</c:v>
                </c:pt>
                <c:pt idx="1899">
                  <c:v>126.7313333</c:v>
                </c:pt>
                <c:pt idx="1900">
                  <c:v>126.79340000000001</c:v>
                </c:pt>
                <c:pt idx="1901">
                  <c:v>127.1917742</c:v>
                </c:pt>
                <c:pt idx="1902">
                  <c:v>127.7195806</c:v>
                </c:pt>
                <c:pt idx="1903">
                  <c:v>127.859129</c:v>
                </c:pt>
                <c:pt idx="1904">
                  <c:v>128.26474999999999</c:v>
                </c:pt>
                <c:pt idx="1905">
                  <c:v>128.39949999999999</c:v>
                </c:pt>
                <c:pt idx="1906">
                  <c:v>128.71993549999999</c:v>
                </c:pt>
                <c:pt idx="1907">
                  <c:v>128.82380649999999</c:v>
                </c:pt>
                <c:pt idx="1908">
                  <c:v>129.04443330000001</c:v>
                </c:pt>
                <c:pt idx="1909">
                  <c:v>129.04903229999999</c:v>
                </c:pt>
                <c:pt idx="1910">
                  <c:v>129.03570970000001</c:v>
                </c:pt>
                <c:pt idx="1911">
                  <c:v>129.08940000000001</c:v>
                </c:pt>
                <c:pt idx="1912">
                  <c:v>129.11250000000001</c:v>
                </c:pt>
                <c:pt idx="1913">
                  <c:v>129.18464520000001</c:v>
                </c:pt>
                <c:pt idx="1914">
                  <c:v>129.2015806</c:v>
                </c:pt>
                <c:pt idx="1915">
                  <c:v>129.32593550000001</c:v>
                </c:pt>
                <c:pt idx="1916">
                  <c:v>129.36861289999999</c:v>
                </c:pt>
                <c:pt idx="1917">
                  <c:v>129.69380000000001</c:v>
                </c:pt>
                <c:pt idx="1918">
                  <c:v>129.8051935</c:v>
                </c:pt>
                <c:pt idx="1919">
                  <c:v>129.81670969999999</c:v>
                </c:pt>
                <c:pt idx="1920">
                  <c:v>129.84596669999999</c:v>
                </c:pt>
                <c:pt idx="1921">
                  <c:v>129.85553329999999</c:v>
                </c:pt>
                <c:pt idx="1922">
                  <c:v>130.15751610000001</c:v>
                </c:pt>
                <c:pt idx="1923">
                  <c:v>130.34967739999999</c:v>
                </c:pt>
                <c:pt idx="1924">
                  <c:v>130.3849032</c:v>
                </c:pt>
                <c:pt idx="1925">
                  <c:v>130.64579309999999</c:v>
                </c:pt>
                <c:pt idx="1926">
                  <c:v>130.74137930000001</c:v>
                </c:pt>
                <c:pt idx="1927">
                  <c:v>131.03754839999999</c:v>
                </c:pt>
                <c:pt idx="1928">
                  <c:v>131.136</c:v>
                </c:pt>
                <c:pt idx="1929">
                  <c:v>131.1453333</c:v>
                </c:pt>
                <c:pt idx="1930">
                  <c:v>130.95922580000001</c:v>
                </c:pt>
                <c:pt idx="1931">
                  <c:v>130.88967740000001</c:v>
                </c:pt>
                <c:pt idx="1932">
                  <c:v>130.7196333</c:v>
                </c:pt>
                <c:pt idx="1933">
                  <c:v>130.73787100000001</c:v>
                </c:pt>
                <c:pt idx="1934">
                  <c:v>130.7561613</c:v>
                </c:pt>
                <c:pt idx="1935">
                  <c:v>130.9325484</c:v>
                </c:pt>
                <c:pt idx="1936">
                  <c:v>131.0756667</c:v>
                </c:pt>
                <c:pt idx="1937">
                  <c:v>131.1083333</c:v>
                </c:pt>
                <c:pt idx="1938">
                  <c:v>135.35246079999999</c:v>
                </c:pt>
                <c:pt idx="1939">
                  <c:v>135.41130759999999</c:v>
                </c:pt>
                <c:pt idx="1940">
                  <c:v>135.57326019999999</c:v>
                </c:pt>
                <c:pt idx="1941">
                  <c:v>135.62700129999999</c:v>
                </c:pt>
                <c:pt idx="1942">
                  <c:v>135.74649880000001</c:v>
                </c:pt>
                <c:pt idx="1943">
                  <c:v>135.78563589999999</c:v>
                </c:pt>
                <c:pt idx="1944">
                  <c:v>135.96199999999999</c:v>
                </c:pt>
                <c:pt idx="1945">
                  <c:v>136.21816820000001</c:v>
                </c:pt>
                <c:pt idx="1946">
                  <c:v>136.28742629999999</c:v>
                </c:pt>
                <c:pt idx="1947">
                  <c:v>136.37228930000001</c:v>
                </c:pt>
                <c:pt idx="1948">
                  <c:v>136.39626430000001</c:v>
                </c:pt>
                <c:pt idx="1949">
                  <c:v>136.4741118</c:v>
                </c:pt>
                <c:pt idx="1950">
                  <c:v>136.58911180000001</c:v>
                </c:pt>
                <c:pt idx="1951">
                  <c:v>136.62120849999999</c:v>
                </c:pt>
                <c:pt idx="1952">
                  <c:v>136.62975710000001</c:v>
                </c:pt>
                <c:pt idx="1953">
                  <c:v>136.6277321</c:v>
                </c:pt>
                <c:pt idx="1954">
                  <c:v>136.78622580000001</c:v>
                </c:pt>
                <c:pt idx="1955">
                  <c:v>136.83490320000001</c:v>
                </c:pt>
                <c:pt idx="1956">
                  <c:v>136.60757140000001</c:v>
                </c:pt>
                <c:pt idx="1957">
                  <c:v>136.52557139999999</c:v>
                </c:pt>
                <c:pt idx="1958">
                  <c:v>136.73325689999999</c:v>
                </c:pt>
                <c:pt idx="1959">
                  <c:v>137.05424310000001</c:v>
                </c:pt>
                <c:pt idx="1960">
                  <c:v>137.13783179999999</c:v>
                </c:pt>
                <c:pt idx="1961">
                  <c:v>137.5017028</c:v>
                </c:pt>
                <c:pt idx="1962">
                  <c:v>137.62696170000001</c:v>
                </c:pt>
                <c:pt idx="1963">
                  <c:v>137.95589290000001</c:v>
                </c:pt>
                <c:pt idx="1964">
                  <c:v>138.06389290000001</c:v>
                </c:pt>
                <c:pt idx="1965">
                  <c:v>138.41312020000001</c:v>
                </c:pt>
                <c:pt idx="1966">
                  <c:v>138.76946079999999</c:v>
                </c:pt>
                <c:pt idx="1967">
                  <c:v>138.86063820000001</c:v>
                </c:pt>
                <c:pt idx="1968">
                  <c:v>139.36375000000001</c:v>
                </c:pt>
                <c:pt idx="1969">
                  <c:v>139.54420830000001</c:v>
                </c:pt>
                <c:pt idx="1970">
                  <c:v>139.98964860000001</c:v>
                </c:pt>
                <c:pt idx="1971">
                  <c:v>140.0859873</c:v>
                </c:pt>
                <c:pt idx="1972">
                  <c:v>140.19698500000001</c:v>
                </c:pt>
                <c:pt idx="1973">
                  <c:v>140.23101729999999</c:v>
                </c:pt>
                <c:pt idx="1974">
                  <c:v>140.43475000000001</c:v>
                </c:pt>
                <c:pt idx="1975">
                  <c:v>140.42797580000001</c:v>
                </c:pt>
                <c:pt idx="1976">
                  <c:v>140.4111613</c:v>
                </c:pt>
                <c:pt idx="1977">
                  <c:v>140.4307857</c:v>
                </c:pt>
                <c:pt idx="1978">
                  <c:v>140.43978569999999</c:v>
                </c:pt>
                <c:pt idx="1979">
                  <c:v>140.64613589999999</c:v>
                </c:pt>
                <c:pt idx="1980">
                  <c:v>141.01619239999999</c:v>
                </c:pt>
                <c:pt idx="1981">
                  <c:v>141.11998270000001</c:v>
                </c:pt>
                <c:pt idx="1982">
                  <c:v>141.3875357</c:v>
                </c:pt>
                <c:pt idx="1983">
                  <c:v>141.4742857</c:v>
                </c:pt>
                <c:pt idx="1984">
                  <c:v>141.7712396</c:v>
                </c:pt>
                <c:pt idx="1985">
                  <c:v>142.01779289999999</c:v>
                </c:pt>
                <c:pt idx="1986">
                  <c:v>142.0759262</c:v>
                </c:pt>
                <c:pt idx="1987">
                  <c:v>142.10954380000001</c:v>
                </c:pt>
                <c:pt idx="1988">
                  <c:v>142.11580989999999</c:v>
                </c:pt>
                <c:pt idx="1989">
                  <c:v>142.22342979999999</c:v>
                </c:pt>
                <c:pt idx="1990">
                  <c:v>142.19162789999999</c:v>
                </c:pt>
                <c:pt idx="1991">
                  <c:v>142.17056339999999</c:v>
                </c:pt>
                <c:pt idx="1992">
                  <c:v>142.500303</c:v>
                </c:pt>
                <c:pt idx="1993">
                  <c:v>142.85168329999999</c:v>
                </c:pt>
                <c:pt idx="1994">
                  <c:v>142.93761670000001</c:v>
                </c:pt>
                <c:pt idx="1995">
                  <c:v>209.85296629999999</c:v>
                </c:pt>
                <c:pt idx="1996">
                  <c:v>209.9970208</c:v>
                </c:pt>
                <c:pt idx="1997">
                  <c:v>210.10927459999999</c:v>
                </c:pt>
                <c:pt idx="1998">
                  <c:v>210.14136070000001</c:v>
                </c:pt>
                <c:pt idx="1999">
                  <c:v>209.59386559999999</c:v>
                </c:pt>
                <c:pt idx="2000">
                  <c:v>209.40063799999999</c:v>
                </c:pt>
                <c:pt idx="2001">
                  <c:v>209.12158669999999</c:v>
                </c:pt>
                <c:pt idx="2002">
                  <c:v>209.93980909999999</c:v>
                </c:pt>
                <c:pt idx="2003">
                  <c:v>210.2135668</c:v>
                </c:pt>
                <c:pt idx="2004">
                  <c:v>209.984205</c:v>
                </c:pt>
                <c:pt idx="2005">
                  <c:v>209.8708867</c:v>
                </c:pt>
                <c:pt idx="2006">
                  <c:v>210.2614925</c:v>
                </c:pt>
                <c:pt idx="2007">
                  <c:v>210.29666309999999</c:v>
                </c:pt>
                <c:pt idx="2008">
                  <c:v>210.2641156</c:v>
                </c:pt>
                <c:pt idx="2009">
                  <c:v>210.4404433</c:v>
                </c:pt>
                <c:pt idx="2010">
                  <c:v>210.51443979999999</c:v>
                </c:pt>
                <c:pt idx="2011">
                  <c:v>210.72024440000001</c:v>
                </c:pt>
                <c:pt idx="2012">
                  <c:v>210.76679440000001</c:v>
                </c:pt>
                <c:pt idx="2013">
                  <c:v>210.37626299999999</c:v>
                </c:pt>
                <c:pt idx="2014">
                  <c:v>210.2372494</c:v>
                </c:pt>
                <c:pt idx="2015">
                  <c:v>210.18423580000001</c:v>
                </c:pt>
                <c:pt idx="2016">
                  <c:v>211.3333753</c:v>
                </c:pt>
                <c:pt idx="2017">
                  <c:v>211.69850930000001</c:v>
                </c:pt>
                <c:pt idx="2018">
                  <c:v>212.57620499999999</c:v>
                </c:pt>
                <c:pt idx="2019">
                  <c:v>212.86113130000001</c:v>
                </c:pt>
                <c:pt idx="2020">
                  <c:v>213.57767010000001</c:v>
                </c:pt>
                <c:pt idx="2021">
                  <c:v>213.81166579999999</c:v>
                </c:pt>
                <c:pt idx="2022">
                  <c:v>214.52403760000001</c:v>
                </c:pt>
                <c:pt idx="2023">
                  <c:v>214.01628049999999</c:v>
                </c:pt>
                <c:pt idx="2024">
                  <c:v>213.7917147</c:v>
                </c:pt>
                <c:pt idx="2025">
                  <c:v>213.93241219999999</c:v>
                </c:pt>
                <c:pt idx="2026">
                  <c:v>214.02455560000001</c:v>
                </c:pt>
                <c:pt idx="2027">
                  <c:v>214.2972939</c:v>
                </c:pt>
                <c:pt idx="2028">
                  <c:v>214.36027010000001</c:v>
                </c:pt>
                <c:pt idx="2029">
                  <c:v>214.5516896</c:v>
                </c:pt>
                <c:pt idx="2030">
                  <c:v>214.61553760000001</c:v>
                </c:pt>
                <c:pt idx="2031">
                  <c:v>215.7831333</c:v>
                </c:pt>
                <c:pt idx="2032">
                  <c:v>216.56343440000001</c:v>
                </c:pt>
                <c:pt idx="2033">
                  <c:v>216.7217373</c:v>
                </c:pt>
                <c:pt idx="2034">
                  <c:v>217.4229206</c:v>
                </c:pt>
                <c:pt idx="2035">
                  <c:v>217.66458779999999</c:v>
                </c:pt>
                <c:pt idx="2036">
                  <c:v>218.40628760000001</c:v>
                </c:pt>
                <c:pt idx="2037">
                  <c:v>218.8619099</c:v>
                </c:pt>
                <c:pt idx="2038">
                  <c:v>218.9551002</c:v>
                </c:pt>
                <c:pt idx="2039">
                  <c:v>219.5340975</c:v>
                </c:pt>
                <c:pt idx="2040">
                  <c:v>219.7437314</c:v>
                </c:pt>
                <c:pt idx="2041">
                  <c:v>220.12041249999999</c:v>
                </c:pt>
                <c:pt idx="2042">
                  <c:v>220.3545033</c:v>
                </c:pt>
                <c:pt idx="2043">
                  <c:v>220.40755809999999</c:v>
                </c:pt>
                <c:pt idx="2044">
                  <c:v>220.4322099</c:v>
                </c:pt>
                <c:pt idx="2045">
                  <c:v>220.43570729999999</c:v>
                </c:pt>
                <c:pt idx="2046">
                  <c:v>220.56711200000001</c:v>
                </c:pt>
                <c:pt idx="2047">
                  <c:v>220.63193580000001</c:v>
                </c:pt>
                <c:pt idx="2048">
                  <c:v>220.64046630000001</c:v>
                </c:pt>
                <c:pt idx="2049">
                  <c:v>221.11811420000001</c:v>
                </c:pt>
                <c:pt idx="2050">
                  <c:v>221.8533396</c:v>
                </c:pt>
                <c:pt idx="2051">
                  <c:v>222.0510793</c:v>
                </c:pt>
                <c:pt idx="2052">
                  <c:v>209.85296629999999</c:v>
                </c:pt>
                <c:pt idx="2053">
                  <c:v>209.9970208</c:v>
                </c:pt>
                <c:pt idx="2054">
                  <c:v>210.10927459999999</c:v>
                </c:pt>
                <c:pt idx="2055">
                  <c:v>210.14136070000001</c:v>
                </c:pt>
                <c:pt idx="2056">
                  <c:v>209.59386559999999</c:v>
                </c:pt>
                <c:pt idx="2057">
                  <c:v>209.40063799999999</c:v>
                </c:pt>
                <c:pt idx="2058">
                  <c:v>209.12158669999999</c:v>
                </c:pt>
                <c:pt idx="2059">
                  <c:v>209.93980909999999</c:v>
                </c:pt>
                <c:pt idx="2060">
                  <c:v>210.2135668</c:v>
                </c:pt>
                <c:pt idx="2061">
                  <c:v>209.984205</c:v>
                </c:pt>
                <c:pt idx="2062">
                  <c:v>209.8708867</c:v>
                </c:pt>
                <c:pt idx="2063">
                  <c:v>210.2614925</c:v>
                </c:pt>
                <c:pt idx="2064">
                  <c:v>210.29666309999999</c:v>
                </c:pt>
                <c:pt idx="2065">
                  <c:v>210.2641156</c:v>
                </c:pt>
                <c:pt idx="2066">
                  <c:v>210.4404433</c:v>
                </c:pt>
                <c:pt idx="2067">
                  <c:v>210.51443979999999</c:v>
                </c:pt>
                <c:pt idx="2068">
                  <c:v>210.72024440000001</c:v>
                </c:pt>
                <c:pt idx="2069">
                  <c:v>210.76679440000001</c:v>
                </c:pt>
                <c:pt idx="2070">
                  <c:v>210.37626299999999</c:v>
                </c:pt>
                <c:pt idx="2071">
                  <c:v>210.2372494</c:v>
                </c:pt>
                <c:pt idx="2072">
                  <c:v>210.18423580000001</c:v>
                </c:pt>
                <c:pt idx="2073">
                  <c:v>211.3333753</c:v>
                </c:pt>
                <c:pt idx="2074">
                  <c:v>211.69850930000001</c:v>
                </c:pt>
                <c:pt idx="2075">
                  <c:v>212.57620499999999</c:v>
                </c:pt>
                <c:pt idx="2076">
                  <c:v>212.86113130000001</c:v>
                </c:pt>
                <c:pt idx="2077">
                  <c:v>213.57767010000001</c:v>
                </c:pt>
                <c:pt idx="2078">
                  <c:v>213.81166579999999</c:v>
                </c:pt>
                <c:pt idx="2079">
                  <c:v>214.52403760000001</c:v>
                </c:pt>
                <c:pt idx="2080">
                  <c:v>214.01628049999999</c:v>
                </c:pt>
                <c:pt idx="2081">
                  <c:v>213.7917147</c:v>
                </c:pt>
                <c:pt idx="2082">
                  <c:v>213.93241219999999</c:v>
                </c:pt>
                <c:pt idx="2083">
                  <c:v>214.02455560000001</c:v>
                </c:pt>
                <c:pt idx="2084">
                  <c:v>214.2972939</c:v>
                </c:pt>
                <c:pt idx="2085">
                  <c:v>214.36027010000001</c:v>
                </c:pt>
                <c:pt idx="2086">
                  <c:v>214.5516896</c:v>
                </c:pt>
                <c:pt idx="2087">
                  <c:v>214.61553760000001</c:v>
                </c:pt>
                <c:pt idx="2088">
                  <c:v>215.7831333</c:v>
                </c:pt>
                <c:pt idx="2089">
                  <c:v>216.56343440000001</c:v>
                </c:pt>
                <c:pt idx="2090">
                  <c:v>216.7217373</c:v>
                </c:pt>
                <c:pt idx="2091">
                  <c:v>217.4229206</c:v>
                </c:pt>
                <c:pt idx="2092">
                  <c:v>217.66458779999999</c:v>
                </c:pt>
                <c:pt idx="2093">
                  <c:v>218.40628760000001</c:v>
                </c:pt>
                <c:pt idx="2094">
                  <c:v>218.8619099</c:v>
                </c:pt>
                <c:pt idx="2095">
                  <c:v>218.9551002</c:v>
                </c:pt>
                <c:pt idx="2096">
                  <c:v>219.5340975</c:v>
                </c:pt>
                <c:pt idx="2097">
                  <c:v>219.7437314</c:v>
                </c:pt>
                <c:pt idx="2098">
                  <c:v>220.12041249999999</c:v>
                </c:pt>
                <c:pt idx="2099">
                  <c:v>220.3545033</c:v>
                </c:pt>
                <c:pt idx="2100">
                  <c:v>220.40755809999999</c:v>
                </c:pt>
                <c:pt idx="2101">
                  <c:v>220.4322099</c:v>
                </c:pt>
                <c:pt idx="2102">
                  <c:v>220.43570729999999</c:v>
                </c:pt>
                <c:pt idx="2103">
                  <c:v>220.56711200000001</c:v>
                </c:pt>
                <c:pt idx="2104">
                  <c:v>220.63193580000001</c:v>
                </c:pt>
                <c:pt idx="2105">
                  <c:v>220.64046630000001</c:v>
                </c:pt>
                <c:pt idx="2106">
                  <c:v>221.11811420000001</c:v>
                </c:pt>
                <c:pt idx="2107">
                  <c:v>221.8533396</c:v>
                </c:pt>
                <c:pt idx="2108">
                  <c:v>222.0510793</c:v>
                </c:pt>
                <c:pt idx="2109">
                  <c:v>126.4420645</c:v>
                </c:pt>
                <c:pt idx="2110">
                  <c:v>126.49625810000001</c:v>
                </c:pt>
                <c:pt idx="2111">
                  <c:v>126.5782857</c:v>
                </c:pt>
                <c:pt idx="2112">
                  <c:v>126.60428570000001</c:v>
                </c:pt>
                <c:pt idx="2113">
                  <c:v>126.6034839</c:v>
                </c:pt>
                <c:pt idx="2114">
                  <c:v>126.6019032</c:v>
                </c:pt>
                <c:pt idx="2115">
                  <c:v>126.2898</c:v>
                </c:pt>
                <c:pt idx="2116">
                  <c:v>126.1360645</c:v>
                </c:pt>
                <c:pt idx="2117">
                  <c:v>126.1119032</c:v>
                </c:pt>
                <c:pt idx="2118">
                  <c:v>126.1392</c:v>
                </c:pt>
                <c:pt idx="2119">
                  <c:v>126.15179999999999</c:v>
                </c:pt>
                <c:pt idx="2120">
                  <c:v>126.0854516</c:v>
                </c:pt>
                <c:pt idx="2121">
                  <c:v>126.1019355</c:v>
                </c:pt>
                <c:pt idx="2122">
                  <c:v>126.1145806</c:v>
                </c:pt>
                <c:pt idx="2123">
                  <c:v>126.2346</c:v>
                </c:pt>
                <c:pt idx="2124">
                  <c:v>126.2791667</c:v>
                </c:pt>
                <c:pt idx="2125">
                  <c:v>126.4912903</c:v>
                </c:pt>
                <c:pt idx="2126">
                  <c:v>126.54616129999999</c:v>
                </c:pt>
                <c:pt idx="2127">
                  <c:v>126.7313333</c:v>
                </c:pt>
                <c:pt idx="2128">
                  <c:v>126.79340000000001</c:v>
                </c:pt>
                <c:pt idx="2129">
                  <c:v>127.1917742</c:v>
                </c:pt>
                <c:pt idx="2130">
                  <c:v>127.7195806</c:v>
                </c:pt>
                <c:pt idx="2131">
                  <c:v>127.859129</c:v>
                </c:pt>
                <c:pt idx="2132">
                  <c:v>128.26474999999999</c:v>
                </c:pt>
                <c:pt idx="2133">
                  <c:v>128.39949999999999</c:v>
                </c:pt>
                <c:pt idx="2134">
                  <c:v>128.71993549999999</c:v>
                </c:pt>
                <c:pt idx="2135">
                  <c:v>128.82380649999999</c:v>
                </c:pt>
                <c:pt idx="2136">
                  <c:v>129.04443330000001</c:v>
                </c:pt>
                <c:pt idx="2137">
                  <c:v>129.04903229999999</c:v>
                </c:pt>
                <c:pt idx="2138">
                  <c:v>129.03570970000001</c:v>
                </c:pt>
                <c:pt idx="2139">
                  <c:v>129.08940000000001</c:v>
                </c:pt>
                <c:pt idx="2140">
                  <c:v>129.11250000000001</c:v>
                </c:pt>
                <c:pt idx="2141">
                  <c:v>129.18464520000001</c:v>
                </c:pt>
                <c:pt idx="2142">
                  <c:v>129.2015806</c:v>
                </c:pt>
                <c:pt idx="2143">
                  <c:v>129.32593550000001</c:v>
                </c:pt>
                <c:pt idx="2144">
                  <c:v>129.36861289999999</c:v>
                </c:pt>
                <c:pt idx="2145">
                  <c:v>129.69380000000001</c:v>
                </c:pt>
                <c:pt idx="2146">
                  <c:v>129.8051935</c:v>
                </c:pt>
                <c:pt idx="2147">
                  <c:v>129.81670969999999</c:v>
                </c:pt>
                <c:pt idx="2148">
                  <c:v>129.84596669999999</c:v>
                </c:pt>
                <c:pt idx="2149">
                  <c:v>129.85553329999999</c:v>
                </c:pt>
                <c:pt idx="2150">
                  <c:v>130.15751610000001</c:v>
                </c:pt>
                <c:pt idx="2151">
                  <c:v>130.34967739999999</c:v>
                </c:pt>
                <c:pt idx="2152">
                  <c:v>130.3849032</c:v>
                </c:pt>
                <c:pt idx="2153">
                  <c:v>130.64579309999999</c:v>
                </c:pt>
                <c:pt idx="2154">
                  <c:v>130.74137930000001</c:v>
                </c:pt>
                <c:pt idx="2155">
                  <c:v>131.03754839999999</c:v>
                </c:pt>
                <c:pt idx="2156">
                  <c:v>131.136</c:v>
                </c:pt>
                <c:pt idx="2157">
                  <c:v>131.1453333</c:v>
                </c:pt>
                <c:pt idx="2158">
                  <c:v>130.95922580000001</c:v>
                </c:pt>
                <c:pt idx="2159">
                  <c:v>130.88967740000001</c:v>
                </c:pt>
                <c:pt idx="2160">
                  <c:v>130.7196333</c:v>
                </c:pt>
                <c:pt idx="2161">
                  <c:v>130.73787100000001</c:v>
                </c:pt>
                <c:pt idx="2162">
                  <c:v>130.7561613</c:v>
                </c:pt>
                <c:pt idx="2163">
                  <c:v>130.9325484</c:v>
                </c:pt>
                <c:pt idx="2164">
                  <c:v>131.0756667</c:v>
                </c:pt>
                <c:pt idx="2165">
                  <c:v>131.1083333</c:v>
                </c:pt>
                <c:pt idx="2166">
                  <c:v>209.85296629999999</c:v>
                </c:pt>
                <c:pt idx="2167">
                  <c:v>209.9970208</c:v>
                </c:pt>
                <c:pt idx="2168">
                  <c:v>210.10927459999999</c:v>
                </c:pt>
                <c:pt idx="2169">
                  <c:v>210.14136070000001</c:v>
                </c:pt>
                <c:pt idx="2170">
                  <c:v>209.59386559999999</c:v>
                </c:pt>
                <c:pt idx="2171">
                  <c:v>209.40063799999999</c:v>
                </c:pt>
                <c:pt idx="2172">
                  <c:v>209.12158669999999</c:v>
                </c:pt>
                <c:pt idx="2173">
                  <c:v>209.93980909999999</c:v>
                </c:pt>
                <c:pt idx="2174">
                  <c:v>210.2135668</c:v>
                </c:pt>
                <c:pt idx="2175">
                  <c:v>209.984205</c:v>
                </c:pt>
                <c:pt idx="2176">
                  <c:v>209.8708867</c:v>
                </c:pt>
                <c:pt idx="2177">
                  <c:v>210.2614925</c:v>
                </c:pt>
                <c:pt idx="2178">
                  <c:v>210.29666309999999</c:v>
                </c:pt>
                <c:pt idx="2179">
                  <c:v>210.2641156</c:v>
                </c:pt>
                <c:pt idx="2180">
                  <c:v>210.4404433</c:v>
                </c:pt>
                <c:pt idx="2181">
                  <c:v>210.51443979999999</c:v>
                </c:pt>
                <c:pt idx="2182">
                  <c:v>210.72024440000001</c:v>
                </c:pt>
                <c:pt idx="2183">
                  <c:v>210.76679440000001</c:v>
                </c:pt>
                <c:pt idx="2184">
                  <c:v>210.37626299999999</c:v>
                </c:pt>
                <c:pt idx="2185">
                  <c:v>210.2372494</c:v>
                </c:pt>
                <c:pt idx="2186">
                  <c:v>210.18423580000001</c:v>
                </c:pt>
                <c:pt idx="2187">
                  <c:v>211.3333753</c:v>
                </c:pt>
                <c:pt idx="2188">
                  <c:v>211.69850930000001</c:v>
                </c:pt>
                <c:pt idx="2189">
                  <c:v>212.57620499999999</c:v>
                </c:pt>
                <c:pt idx="2190">
                  <c:v>212.86113130000001</c:v>
                </c:pt>
                <c:pt idx="2191">
                  <c:v>213.57767010000001</c:v>
                </c:pt>
                <c:pt idx="2192">
                  <c:v>213.81166579999999</c:v>
                </c:pt>
                <c:pt idx="2193">
                  <c:v>214.52403760000001</c:v>
                </c:pt>
                <c:pt idx="2194">
                  <c:v>214.01628049999999</c:v>
                </c:pt>
                <c:pt idx="2195">
                  <c:v>213.7917147</c:v>
                </c:pt>
                <c:pt idx="2196">
                  <c:v>213.93241219999999</c:v>
                </c:pt>
                <c:pt idx="2197">
                  <c:v>214.02455560000001</c:v>
                </c:pt>
                <c:pt idx="2198">
                  <c:v>214.2972939</c:v>
                </c:pt>
                <c:pt idx="2199">
                  <c:v>214.36027010000001</c:v>
                </c:pt>
                <c:pt idx="2200">
                  <c:v>214.5516896</c:v>
                </c:pt>
                <c:pt idx="2201">
                  <c:v>214.61553760000001</c:v>
                </c:pt>
                <c:pt idx="2202">
                  <c:v>215.7831333</c:v>
                </c:pt>
                <c:pt idx="2203">
                  <c:v>216.56343440000001</c:v>
                </c:pt>
                <c:pt idx="2204">
                  <c:v>216.7217373</c:v>
                </c:pt>
                <c:pt idx="2205">
                  <c:v>217.4229206</c:v>
                </c:pt>
                <c:pt idx="2206">
                  <c:v>217.66458779999999</c:v>
                </c:pt>
                <c:pt idx="2207">
                  <c:v>218.40628760000001</c:v>
                </c:pt>
                <c:pt idx="2208">
                  <c:v>218.8619099</c:v>
                </c:pt>
                <c:pt idx="2209">
                  <c:v>218.9551002</c:v>
                </c:pt>
                <c:pt idx="2210">
                  <c:v>219.5340975</c:v>
                </c:pt>
                <c:pt idx="2211">
                  <c:v>219.7437314</c:v>
                </c:pt>
                <c:pt idx="2212">
                  <c:v>220.12041249999999</c:v>
                </c:pt>
                <c:pt idx="2213">
                  <c:v>220.3545033</c:v>
                </c:pt>
                <c:pt idx="2214">
                  <c:v>220.40755809999999</c:v>
                </c:pt>
                <c:pt idx="2215">
                  <c:v>220.4322099</c:v>
                </c:pt>
                <c:pt idx="2216">
                  <c:v>220.43570729999999</c:v>
                </c:pt>
                <c:pt idx="2217">
                  <c:v>220.56711200000001</c:v>
                </c:pt>
                <c:pt idx="2218">
                  <c:v>220.63193580000001</c:v>
                </c:pt>
                <c:pt idx="2219">
                  <c:v>220.64046630000001</c:v>
                </c:pt>
                <c:pt idx="2220">
                  <c:v>221.11811420000001</c:v>
                </c:pt>
                <c:pt idx="2221">
                  <c:v>221.8533396</c:v>
                </c:pt>
                <c:pt idx="2222">
                  <c:v>222.0510793</c:v>
                </c:pt>
                <c:pt idx="2223">
                  <c:v>131.5279032</c:v>
                </c:pt>
                <c:pt idx="2224">
                  <c:v>131.58661290000001</c:v>
                </c:pt>
                <c:pt idx="2225">
                  <c:v>131.73500000000001</c:v>
                </c:pt>
                <c:pt idx="2226">
                  <c:v>131.78399999999999</c:v>
                </c:pt>
                <c:pt idx="2227">
                  <c:v>131.9019677</c:v>
                </c:pt>
                <c:pt idx="2228">
                  <c:v>131.94080650000001</c:v>
                </c:pt>
                <c:pt idx="2229">
                  <c:v>132.1062</c:v>
                </c:pt>
                <c:pt idx="2230">
                  <c:v>132.36483870000001</c:v>
                </c:pt>
                <c:pt idx="2231">
                  <c:v>132.43574190000001</c:v>
                </c:pt>
                <c:pt idx="2232">
                  <c:v>132.5218667</c:v>
                </c:pt>
                <c:pt idx="2233">
                  <c:v>132.54613330000001</c:v>
                </c:pt>
                <c:pt idx="2234">
                  <c:v>132.6141935</c:v>
                </c:pt>
                <c:pt idx="2235">
                  <c:v>132.72483869999999</c:v>
                </c:pt>
                <c:pt idx="2236">
                  <c:v>132.75645159999999</c:v>
                </c:pt>
                <c:pt idx="2237">
                  <c:v>132.7568</c:v>
                </c:pt>
                <c:pt idx="2238">
                  <c:v>132.75166669999999</c:v>
                </c:pt>
                <c:pt idx="2239">
                  <c:v>132.92458060000001</c:v>
                </c:pt>
                <c:pt idx="2240">
                  <c:v>132.97832260000001</c:v>
                </c:pt>
                <c:pt idx="2241">
                  <c:v>132.75666670000001</c:v>
                </c:pt>
                <c:pt idx="2242">
                  <c:v>132.6764</c:v>
                </c:pt>
                <c:pt idx="2243">
                  <c:v>132.88232260000001</c:v>
                </c:pt>
                <c:pt idx="2244">
                  <c:v>133.18341939999999</c:v>
                </c:pt>
                <c:pt idx="2245">
                  <c:v>133.26087100000001</c:v>
                </c:pt>
                <c:pt idx="2246">
                  <c:v>133.61414289999999</c:v>
                </c:pt>
                <c:pt idx="2247">
                  <c:v>133.7361429</c:v>
                </c:pt>
                <c:pt idx="2248">
                  <c:v>134.06825810000001</c:v>
                </c:pt>
                <c:pt idx="2249">
                  <c:v>134.17777419999999</c:v>
                </c:pt>
                <c:pt idx="2250">
                  <c:v>134.51436670000001</c:v>
                </c:pt>
                <c:pt idx="2251">
                  <c:v>134.85516129999999</c:v>
                </c:pt>
                <c:pt idx="2252">
                  <c:v>134.94254839999999</c:v>
                </c:pt>
                <c:pt idx="2253">
                  <c:v>135.4468</c:v>
                </c:pt>
                <c:pt idx="2254">
                  <c:v>135.62833330000001</c:v>
                </c:pt>
                <c:pt idx="2255">
                  <c:v>136.05403229999999</c:v>
                </c:pt>
                <c:pt idx="2256">
                  <c:v>136.14412899999999</c:v>
                </c:pt>
                <c:pt idx="2257">
                  <c:v>136.24409679999999</c:v>
                </c:pt>
                <c:pt idx="2258">
                  <c:v>136.27458060000001</c:v>
                </c:pt>
                <c:pt idx="2259">
                  <c:v>136.47200000000001</c:v>
                </c:pt>
                <c:pt idx="2260">
                  <c:v>136.47512900000001</c:v>
                </c:pt>
                <c:pt idx="2261">
                  <c:v>136.46180649999999</c:v>
                </c:pt>
                <c:pt idx="2262">
                  <c:v>136.49093329999999</c:v>
                </c:pt>
                <c:pt idx="2263">
                  <c:v>136.50306670000001</c:v>
                </c:pt>
                <c:pt idx="2264">
                  <c:v>136.69812899999999</c:v>
                </c:pt>
                <c:pt idx="2265">
                  <c:v>137.06325810000001</c:v>
                </c:pt>
                <c:pt idx="2266">
                  <c:v>137.1666774</c:v>
                </c:pt>
                <c:pt idx="2267">
                  <c:v>137.42389660000001</c:v>
                </c:pt>
                <c:pt idx="2268">
                  <c:v>137.50668970000001</c:v>
                </c:pt>
                <c:pt idx="2269">
                  <c:v>137.79709679999999</c:v>
                </c:pt>
                <c:pt idx="2270">
                  <c:v>138.03319999999999</c:v>
                </c:pt>
                <c:pt idx="2271">
                  <c:v>138.08826669999999</c:v>
                </c:pt>
                <c:pt idx="2272">
                  <c:v>138.11380650000001</c:v>
                </c:pt>
                <c:pt idx="2273">
                  <c:v>138.11741939999999</c:v>
                </c:pt>
                <c:pt idx="2274">
                  <c:v>138.22963329999999</c:v>
                </c:pt>
                <c:pt idx="2275">
                  <c:v>138.17358060000001</c:v>
                </c:pt>
                <c:pt idx="2276">
                  <c:v>138.1437742</c:v>
                </c:pt>
                <c:pt idx="2277">
                  <c:v>138.47293550000001</c:v>
                </c:pt>
                <c:pt idx="2278">
                  <c:v>138.82560000000001</c:v>
                </c:pt>
                <c:pt idx="2279">
                  <c:v>138.9117</c:v>
                </c:pt>
                <c:pt idx="2280">
                  <c:v>189.38169740000001</c:v>
                </c:pt>
                <c:pt idx="2281">
                  <c:v>189.46427249999999</c:v>
                </c:pt>
                <c:pt idx="2282">
                  <c:v>189.66950489999999</c:v>
                </c:pt>
                <c:pt idx="2283">
                  <c:v>189.73720750000001</c:v>
                </c:pt>
                <c:pt idx="2284">
                  <c:v>189.70482150000001</c:v>
                </c:pt>
                <c:pt idx="2285">
                  <c:v>189.69010119999999</c:v>
                </c:pt>
                <c:pt idx="2286">
                  <c:v>189.53124829999999</c:v>
                </c:pt>
                <c:pt idx="2287">
                  <c:v>189.42265800000001</c:v>
                </c:pt>
                <c:pt idx="2288">
                  <c:v>189.4000734</c:v>
                </c:pt>
                <c:pt idx="2289">
                  <c:v>189.48826030000001</c:v>
                </c:pt>
                <c:pt idx="2290">
                  <c:v>189.52312760000001</c:v>
                </c:pt>
                <c:pt idx="2291">
                  <c:v>190.09900279999999</c:v>
                </c:pt>
                <c:pt idx="2292">
                  <c:v>190.3621607</c:v>
                </c:pt>
                <c:pt idx="2293">
                  <c:v>190.3958293</c:v>
                </c:pt>
                <c:pt idx="2294">
                  <c:v>190.67382409999999</c:v>
                </c:pt>
                <c:pt idx="2295">
                  <c:v>190.77632180000001</c:v>
                </c:pt>
                <c:pt idx="2296">
                  <c:v>190.9964377</c:v>
                </c:pt>
                <c:pt idx="2297">
                  <c:v>191.0411474</c:v>
                </c:pt>
                <c:pt idx="2298">
                  <c:v>190.99314369999999</c:v>
                </c:pt>
                <c:pt idx="2299">
                  <c:v>190.97410690000001</c:v>
                </c:pt>
                <c:pt idx="2300">
                  <c:v>191.3683815</c:v>
                </c:pt>
                <c:pt idx="2301">
                  <c:v>191.76258949999999</c:v>
                </c:pt>
                <c:pt idx="2302">
                  <c:v>191.85728810000001</c:v>
                </c:pt>
                <c:pt idx="2303">
                  <c:v>192.01160039999999</c:v>
                </c:pt>
                <c:pt idx="2304">
                  <c:v>192.05848399999999</c:v>
                </c:pt>
                <c:pt idx="2305">
                  <c:v>192.26917069999999</c:v>
                </c:pt>
                <c:pt idx="2306">
                  <c:v>192.3418571</c:v>
                </c:pt>
                <c:pt idx="2307">
                  <c:v>192.72520059999999</c:v>
                </c:pt>
                <c:pt idx="2308">
                  <c:v>192.8418131</c:v>
                </c:pt>
                <c:pt idx="2309">
                  <c:v>192.84706120000001</c:v>
                </c:pt>
                <c:pt idx="2310">
                  <c:v>193.09305520000001</c:v>
                </c:pt>
                <c:pt idx="2311">
                  <c:v>193.18784479999999</c:v>
                </c:pt>
                <c:pt idx="2312">
                  <c:v>193.91101330000001</c:v>
                </c:pt>
                <c:pt idx="2313">
                  <c:v>194.11050169999999</c:v>
                </c:pt>
                <c:pt idx="2314">
                  <c:v>194.5092113</c:v>
                </c:pt>
                <c:pt idx="2315">
                  <c:v>194.6387853</c:v>
                </c:pt>
                <c:pt idx="2316">
                  <c:v>194.94597239999999</c:v>
                </c:pt>
                <c:pt idx="2317">
                  <c:v>195.48479589999999</c:v>
                </c:pt>
                <c:pt idx="2318">
                  <c:v>195.6376941</c:v>
                </c:pt>
                <c:pt idx="2319">
                  <c:v>195.82232870000001</c:v>
                </c:pt>
                <c:pt idx="2320">
                  <c:v>195.8742575</c:v>
                </c:pt>
                <c:pt idx="2321">
                  <c:v>196.5458309</c:v>
                </c:pt>
                <c:pt idx="2322">
                  <c:v>196.8728921</c:v>
                </c:pt>
                <c:pt idx="2323">
                  <c:v>196.91950560000001</c:v>
                </c:pt>
                <c:pt idx="2324">
                  <c:v>196.9565303</c:v>
                </c:pt>
                <c:pt idx="2325">
                  <c:v>196.96315989999999</c:v>
                </c:pt>
                <c:pt idx="2326">
                  <c:v>197.5971285</c:v>
                </c:pt>
                <c:pt idx="2327">
                  <c:v>197.60635339999999</c:v>
                </c:pt>
                <c:pt idx="2328">
                  <c:v>197.5481609</c:v>
                </c:pt>
                <c:pt idx="2329">
                  <c:v>197.6218954</c:v>
                </c:pt>
                <c:pt idx="2330">
                  <c:v>197.6551863</c:v>
                </c:pt>
                <c:pt idx="2331">
                  <c:v>197.83221950000001</c:v>
                </c:pt>
                <c:pt idx="2332">
                  <c:v>198.02938929999999</c:v>
                </c:pt>
                <c:pt idx="2333">
                  <c:v>198.0795651</c:v>
                </c:pt>
                <c:pt idx="2334">
                  <c:v>198.0950484</c:v>
                </c:pt>
                <c:pt idx="2335">
                  <c:v>198.8221322</c:v>
                </c:pt>
                <c:pt idx="2336">
                  <c:v>199.0539368</c:v>
                </c:pt>
                <c:pt idx="2337">
                  <c:v>126.4420645</c:v>
                </c:pt>
                <c:pt idx="2338">
                  <c:v>126.49625810000001</c:v>
                </c:pt>
                <c:pt idx="2339">
                  <c:v>126.5782857</c:v>
                </c:pt>
                <c:pt idx="2340">
                  <c:v>126.60428570000001</c:v>
                </c:pt>
                <c:pt idx="2341">
                  <c:v>126.6034839</c:v>
                </c:pt>
                <c:pt idx="2342">
                  <c:v>126.6019032</c:v>
                </c:pt>
                <c:pt idx="2343">
                  <c:v>126.2898</c:v>
                </c:pt>
                <c:pt idx="2344">
                  <c:v>126.1360645</c:v>
                </c:pt>
                <c:pt idx="2345">
                  <c:v>126.1119032</c:v>
                </c:pt>
                <c:pt idx="2346">
                  <c:v>126.1392</c:v>
                </c:pt>
                <c:pt idx="2347">
                  <c:v>126.15179999999999</c:v>
                </c:pt>
                <c:pt idx="2348">
                  <c:v>126.0854516</c:v>
                </c:pt>
                <c:pt idx="2349">
                  <c:v>126.1019355</c:v>
                </c:pt>
                <c:pt idx="2350">
                  <c:v>126.1145806</c:v>
                </c:pt>
                <c:pt idx="2351">
                  <c:v>126.2346</c:v>
                </c:pt>
                <c:pt idx="2352">
                  <c:v>126.2791667</c:v>
                </c:pt>
                <c:pt idx="2353">
                  <c:v>126.4912903</c:v>
                </c:pt>
                <c:pt idx="2354">
                  <c:v>126.54616129999999</c:v>
                </c:pt>
                <c:pt idx="2355">
                  <c:v>126.7313333</c:v>
                </c:pt>
                <c:pt idx="2356">
                  <c:v>126.79340000000001</c:v>
                </c:pt>
                <c:pt idx="2357">
                  <c:v>127.1917742</c:v>
                </c:pt>
                <c:pt idx="2358">
                  <c:v>127.7195806</c:v>
                </c:pt>
                <c:pt idx="2359">
                  <c:v>127.859129</c:v>
                </c:pt>
                <c:pt idx="2360">
                  <c:v>128.26474999999999</c:v>
                </c:pt>
                <c:pt idx="2361">
                  <c:v>128.39949999999999</c:v>
                </c:pt>
                <c:pt idx="2362">
                  <c:v>128.71993549999999</c:v>
                </c:pt>
                <c:pt idx="2363">
                  <c:v>128.82380649999999</c:v>
                </c:pt>
                <c:pt idx="2364">
                  <c:v>129.04443330000001</c:v>
                </c:pt>
                <c:pt idx="2365">
                  <c:v>129.04903229999999</c:v>
                </c:pt>
                <c:pt idx="2366">
                  <c:v>129.03570970000001</c:v>
                </c:pt>
                <c:pt idx="2367">
                  <c:v>129.08940000000001</c:v>
                </c:pt>
                <c:pt idx="2368">
                  <c:v>129.11250000000001</c:v>
                </c:pt>
                <c:pt idx="2369">
                  <c:v>129.18464520000001</c:v>
                </c:pt>
                <c:pt idx="2370">
                  <c:v>129.2015806</c:v>
                </c:pt>
                <c:pt idx="2371">
                  <c:v>129.32593550000001</c:v>
                </c:pt>
                <c:pt idx="2372">
                  <c:v>129.36861289999999</c:v>
                </c:pt>
                <c:pt idx="2373">
                  <c:v>129.69380000000001</c:v>
                </c:pt>
                <c:pt idx="2374">
                  <c:v>129.8051935</c:v>
                </c:pt>
                <c:pt idx="2375">
                  <c:v>129.81670969999999</c:v>
                </c:pt>
                <c:pt idx="2376">
                  <c:v>129.84596669999999</c:v>
                </c:pt>
                <c:pt idx="2377">
                  <c:v>129.85553329999999</c:v>
                </c:pt>
                <c:pt idx="2378">
                  <c:v>130.15751610000001</c:v>
                </c:pt>
                <c:pt idx="2379">
                  <c:v>130.34967739999999</c:v>
                </c:pt>
                <c:pt idx="2380">
                  <c:v>130.3849032</c:v>
                </c:pt>
                <c:pt idx="2381">
                  <c:v>130.64579309999999</c:v>
                </c:pt>
                <c:pt idx="2382">
                  <c:v>130.74137930000001</c:v>
                </c:pt>
                <c:pt idx="2383">
                  <c:v>131.03754839999999</c:v>
                </c:pt>
                <c:pt idx="2384">
                  <c:v>131.136</c:v>
                </c:pt>
                <c:pt idx="2385">
                  <c:v>131.1453333</c:v>
                </c:pt>
                <c:pt idx="2386">
                  <c:v>130.95922580000001</c:v>
                </c:pt>
                <c:pt idx="2387">
                  <c:v>130.88967740000001</c:v>
                </c:pt>
                <c:pt idx="2388">
                  <c:v>130.7196333</c:v>
                </c:pt>
                <c:pt idx="2389">
                  <c:v>130.73787100000001</c:v>
                </c:pt>
                <c:pt idx="2390">
                  <c:v>130.7561613</c:v>
                </c:pt>
                <c:pt idx="2391">
                  <c:v>130.9325484</c:v>
                </c:pt>
                <c:pt idx="2392">
                  <c:v>131.0756667</c:v>
                </c:pt>
                <c:pt idx="2393">
                  <c:v>131.1083333</c:v>
                </c:pt>
                <c:pt idx="2394">
                  <c:v>203.0642742</c:v>
                </c:pt>
                <c:pt idx="2395">
                  <c:v>203.20109679999999</c:v>
                </c:pt>
                <c:pt idx="2396">
                  <c:v>203.31176529999999</c:v>
                </c:pt>
                <c:pt idx="2397">
                  <c:v>203.34365819999999</c:v>
                </c:pt>
                <c:pt idx="2398">
                  <c:v>202.83803</c:v>
                </c:pt>
                <c:pt idx="2399">
                  <c:v>202.65946539999999</c:v>
                </c:pt>
                <c:pt idx="2400">
                  <c:v>202.37925709999999</c:v>
                </c:pt>
                <c:pt idx="2401">
                  <c:v>203.1222028</c:v>
                </c:pt>
                <c:pt idx="2402">
                  <c:v>203.37276729999999</c:v>
                </c:pt>
                <c:pt idx="2403">
                  <c:v>203.16415240000001</c:v>
                </c:pt>
                <c:pt idx="2404">
                  <c:v>203.06091900000001</c:v>
                </c:pt>
                <c:pt idx="2405">
                  <c:v>203.41733869999999</c:v>
                </c:pt>
                <c:pt idx="2406">
                  <c:v>203.45072579999999</c:v>
                </c:pt>
                <c:pt idx="2407">
                  <c:v>203.42146769999999</c:v>
                </c:pt>
                <c:pt idx="2408">
                  <c:v>203.59342860000001</c:v>
                </c:pt>
                <c:pt idx="2409">
                  <c:v>203.66517859999999</c:v>
                </c:pt>
                <c:pt idx="2410">
                  <c:v>203.87138709999999</c:v>
                </c:pt>
                <c:pt idx="2411">
                  <c:v>203.91854839999999</c:v>
                </c:pt>
                <c:pt idx="2412">
                  <c:v>203.57142859999999</c:v>
                </c:pt>
                <c:pt idx="2413">
                  <c:v>203.44757860000001</c:v>
                </c:pt>
                <c:pt idx="2414">
                  <c:v>203.42670050000001</c:v>
                </c:pt>
                <c:pt idx="2415">
                  <c:v>204.52641940000001</c:v>
                </c:pt>
                <c:pt idx="2416">
                  <c:v>204.87387100000001</c:v>
                </c:pt>
                <c:pt idx="2417">
                  <c:v>205.71482140000001</c:v>
                </c:pt>
                <c:pt idx="2418">
                  <c:v>205.9880714</c:v>
                </c:pt>
                <c:pt idx="2419">
                  <c:v>206.67331110000001</c:v>
                </c:pt>
                <c:pt idx="2420">
                  <c:v>206.8970046</c:v>
                </c:pt>
                <c:pt idx="2421">
                  <c:v>207.57149290000001</c:v>
                </c:pt>
                <c:pt idx="2422">
                  <c:v>207.10390090000001</c:v>
                </c:pt>
                <c:pt idx="2423">
                  <c:v>206.8958203</c:v>
                </c:pt>
                <c:pt idx="2424">
                  <c:v>207.02885710000001</c:v>
                </c:pt>
                <c:pt idx="2425">
                  <c:v>207.11527380000001</c:v>
                </c:pt>
                <c:pt idx="2426">
                  <c:v>207.37329489999999</c:v>
                </c:pt>
                <c:pt idx="2427">
                  <c:v>207.43303689999999</c:v>
                </c:pt>
                <c:pt idx="2428">
                  <c:v>207.62069589999999</c:v>
                </c:pt>
                <c:pt idx="2429">
                  <c:v>207.68338940000001</c:v>
                </c:pt>
                <c:pt idx="2430">
                  <c:v>208.78721429999999</c:v>
                </c:pt>
                <c:pt idx="2431">
                  <c:v>209.516265</c:v>
                </c:pt>
                <c:pt idx="2432">
                  <c:v>209.66328110000001</c:v>
                </c:pt>
                <c:pt idx="2433">
                  <c:v>210.31260710000001</c:v>
                </c:pt>
                <c:pt idx="2434">
                  <c:v>210.5363571</c:v>
                </c:pt>
                <c:pt idx="2435">
                  <c:v>211.24281339999999</c:v>
                </c:pt>
                <c:pt idx="2436">
                  <c:v>211.67620049999999</c:v>
                </c:pt>
                <c:pt idx="2437">
                  <c:v>211.76441009999999</c:v>
                </c:pt>
                <c:pt idx="2438">
                  <c:v>212.3180074</c:v>
                </c:pt>
                <c:pt idx="2439">
                  <c:v>212.5185936</c:v>
                </c:pt>
                <c:pt idx="2440">
                  <c:v>212.88875350000001</c:v>
                </c:pt>
                <c:pt idx="2441">
                  <c:v>213.11258570000001</c:v>
                </c:pt>
                <c:pt idx="2442">
                  <c:v>213.1623524</c:v>
                </c:pt>
                <c:pt idx="2443">
                  <c:v>213.17197469999999</c:v>
                </c:pt>
                <c:pt idx="2444">
                  <c:v>213.17028110000001</c:v>
                </c:pt>
                <c:pt idx="2445">
                  <c:v>213.27974520000001</c:v>
                </c:pt>
                <c:pt idx="2446">
                  <c:v>213.33888020000001</c:v>
                </c:pt>
                <c:pt idx="2447">
                  <c:v>213.34736409999999</c:v>
                </c:pt>
                <c:pt idx="2448">
                  <c:v>213.79909910000001</c:v>
                </c:pt>
                <c:pt idx="2449">
                  <c:v>214.49126670000001</c:v>
                </c:pt>
                <c:pt idx="2450">
                  <c:v>214.6772833</c:v>
                </c:pt>
                <c:pt idx="2451">
                  <c:v>126.4420645</c:v>
                </c:pt>
                <c:pt idx="2452">
                  <c:v>126.49625810000001</c:v>
                </c:pt>
                <c:pt idx="2453">
                  <c:v>126.5782857</c:v>
                </c:pt>
                <c:pt idx="2454">
                  <c:v>126.60428570000001</c:v>
                </c:pt>
                <c:pt idx="2455">
                  <c:v>126.6034839</c:v>
                </c:pt>
                <c:pt idx="2456">
                  <c:v>126.6019032</c:v>
                </c:pt>
                <c:pt idx="2457">
                  <c:v>126.2898</c:v>
                </c:pt>
                <c:pt idx="2458">
                  <c:v>126.1360645</c:v>
                </c:pt>
                <c:pt idx="2459">
                  <c:v>126.1119032</c:v>
                </c:pt>
                <c:pt idx="2460">
                  <c:v>126.1392</c:v>
                </c:pt>
                <c:pt idx="2461">
                  <c:v>126.15179999999999</c:v>
                </c:pt>
                <c:pt idx="2462">
                  <c:v>126.0854516</c:v>
                </c:pt>
                <c:pt idx="2463">
                  <c:v>126.1019355</c:v>
                </c:pt>
                <c:pt idx="2464">
                  <c:v>126.1145806</c:v>
                </c:pt>
                <c:pt idx="2465">
                  <c:v>126.2346</c:v>
                </c:pt>
                <c:pt idx="2466">
                  <c:v>126.2791667</c:v>
                </c:pt>
                <c:pt idx="2467">
                  <c:v>126.4912903</c:v>
                </c:pt>
                <c:pt idx="2468">
                  <c:v>126.54616129999999</c:v>
                </c:pt>
                <c:pt idx="2469">
                  <c:v>126.7313333</c:v>
                </c:pt>
                <c:pt idx="2470">
                  <c:v>126.79340000000001</c:v>
                </c:pt>
                <c:pt idx="2471">
                  <c:v>127.1917742</c:v>
                </c:pt>
                <c:pt idx="2472">
                  <c:v>127.7195806</c:v>
                </c:pt>
                <c:pt idx="2473">
                  <c:v>127.859129</c:v>
                </c:pt>
                <c:pt idx="2474">
                  <c:v>128.26474999999999</c:v>
                </c:pt>
                <c:pt idx="2475">
                  <c:v>128.39949999999999</c:v>
                </c:pt>
                <c:pt idx="2476">
                  <c:v>128.71993549999999</c:v>
                </c:pt>
                <c:pt idx="2477">
                  <c:v>128.82380649999999</c:v>
                </c:pt>
                <c:pt idx="2478">
                  <c:v>129.04443330000001</c:v>
                </c:pt>
                <c:pt idx="2479">
                  <c:v>129.04903229999999</c:v>
                </c:pt>
                <c:pt idx="2480">
                  <c:v>129.03570970000001</c:v>
                </c:pt>
                <c:pt idx="2481">
                  <c:v>129.08940000000001</c:v>
                </c:pt>
                <c:pt idx="2482">
                  <c:v>129.11250000000001</c:v>
                </c:pt>
                <c:pt idx="2483">
                  <c:v>129.18464520000001</c:v>
                </c:pt>
                <c:pt idx="2484">
                  <c:v>129.2015806</c:v>
                </c:pt>
                <c:pt idx="2485">
                  <c:v>129.32593550000001</c:v>
                </c:pt>
                <c:pt idx="2486">
                  <c:v>129.36861289999999</c:v>
                </c:pt>
                <c:pt idx="2487">
                  <c:v>129.69380000000001</c:v>
                </c:pt>
                <c:pt idx="2488">
                  <c:v>129.8051935</c:v>
                </c:pt>
                <c:pt idx="2489">
                  <c:v>129.81670969999999</c:v>
                </c:pt>
                <c:pt idx="2490">
                  <c:v>129.84596669999999</c:v>
                </c:pt>
                <c:pt idx="2491">
                  <c:v>129.85553329999999</c:v>
                </c:pt>
                <c:pt idx="2492">
                  <c:v>130.15751610000001</c:v>
                </c:pt>
                <c:pt idx="2493">
                  <c:v>130.34967739999999</c:v>
                </c:pt>
                <c:pt idx="2494">
                  <c:v>130.3849032</c:v>
                </c:pt>
                <c:pt idx="2495">
                  <c:v>130.64579309999999</c:v>
                </c:pt>
                <c:pt idx="2496">
                  <c:v>130.74137930000001</c:v>
                </c:pt>
                <c:pt idx="2497">
                  <c:v>131.03754839999999</c:v>
                </c:pt>
                <c:pt idx="2498">
                  <c:v>131.136</c:v>
                </c:pt>
                <c:pt idx="2499">
                  <c:v>131.1453333</c:v>
                </c:pt>
                <c:pt idx="2500">
                  <c:v>130.95922580000001</c:v>
                </c:pt>
                <c:pt idx="2501">
                  <c:v>130.88967740000001</c:v>
                </c:pt>
                <c:pt idx="2502">
                  <c:v>130.7196333</c:v>
                </c:pt>
                <c:pt idx="2503">
                  <c:v>130.73787100000001</c:v>
                </c:pt>
                <c:pt idx="2504">
                  <c:v>130.7561613</c:v>
                </c:pt>
                <c:pt idx="2505">
                  <c:v>130.9325484</c:v>
                </c:pt>
                <c:pt idx="2506">
                  <c:v>131.0756667</c:v>
                </c:pt>
                <c:pt idx="2507">
                  <c:v>131.1083333</c:v>
                </c:pt>
                <c:pt idx="2508">
                  <c:v>181.8711898</c:v>
                </c:pt>
                <c:pt idx="2509">
                  <c:v>181.98231699999999</c:v>
                </c:pt>
                <c:pt idx="2510">
                  <c:v>182.1201566</c:v>
                </c:pt>
                <c:pt idx="2511">
                  <c:v>182.1628441</c:v>
                </c:pt>
                <c:pt idx="2512">
                  <c:v>181.8657537</c:v>
                </c:pt>
                <c:pt idx="2513">
                  <c:v>181.75963770000001</c:v>
                </c:pt>
                <c:pt idx="2514">
                  <c:v>181.64681540000001</c:v>
                </c:pt>
                <c:pt idx="2515">
                  <c:v>182.2389876</c:v>
                </c:pt>
                <c:pt idx="2516">
                  <c:v>182.43155709999999</c:v>
                </c:pt>
                <c:pt idx="2517">
                  <c:v>182.3187801</c:v>
                </c:pt>
                <c:pt idx="2518">
                  <c:v>182.2569603</c:v>
                </c:pt>
                <c:pt idx="2519">
                  <c:v>182.53208620000001</c:v>
                </c:pt>
                <c:pt idx="2520">
                  <c:v>182.6042922</c:v>
                </c:pt>
                <c:pt idx="2521">
                  <c:v>182.59817799999999</c:v>
                </c:pt>
                <c:pt idx="2522">
                  <c:v>182.71683849999999</c:v>
                </c:pt>
                <c:pt idx="2523">
                  <c:v>182.76400319999999</c:v>
                </c:pt>
                <c:pt idx="2524">
                  <c:v>182.9463648</c:v>
                </c:pt>
                <c:pt idx="2525">
                  <c:v>182.99161290000001</c:v>
                </c:pt>
                <c:pt idx="2526">
                  <c:v>182.66761539999999</c:v>
                </c:pt>
                <c:pt idx="2527">
                  <c:v>182.55195380000001</c:v>
                </c:pt>
                <c:pt idx="2528">
                  <c:v>182.59830579999999</c:v>
                </c:pt>
                <c:pt idx="2529">
                  <c:v>183.44085419999999</c:v>
                </c:pt>
                <c:pt idx="2530">
                  <c:v>183.70161289999999</c:v>
                </c:pt>
                <c:pt idx="2531">
                  <c:v>184.38799109999999</c:v>
                </c:pt>
                <c:pt idx="2532">
                  <c:v>184.61341899999999</c:v>
                </c:pt>
                <c:pt idx="2533">
                  <c:v>185.17901670000001</c:v>
                </c:pt>
                <c:pt idx="2534">
                  <c:v>185.36366559999999</c:v>
                </c:pt>
                <c:pt idx="2535">
                  <c:v>185.9374378</c:v>
                </c:pt>
                <c:pt idx="2536">
                  <c:v>185.75450000000001</c:v>
                </c:pt>
                <c:pt idx="2537">
                  <c:v>185.64869229999999</c:v>
                </c:pt>
                <c:pt idx="2538">
                  <c:v>185.91198850000001</c:v>
                </c:pt>
                <c:pt idx="2539">
                  <c:v>186.032016</c:v>
                </c:pt>
                <c:pt idx="2540">
                  <c:v>186.37340380000001</c:v>
                </c:pt>
                <c:pt idx="2541">
                  <c:v>186.4512115</c:v>
                </c:pt>
                <c:pt idx="2542">
                  <c:v>186.61892739999999</c:v>
                </c:pt>
                <c:pt idx="2543">
                  <c:v>186.67373760000001</c:v>
                </c:pt>
                <c:pt idx="2544">
                  <c:v>187.4837962</c:v>
                </c:pt>
                <c:pt idx="2545">
                  <c:v>187.9703629</c:v>
                </c:pt>
                <c:pt idx="2546">
                  <c:v>188.06323449999999</c:v>
                </c:pt>
                <c:pt idx="2547">
                  <c:v>188.50243459999999</c:v>
                </c:pt>
                <c:pt idx="2548">
                  <c:v>188.65446919999999</c:v>
                </c:pt>
                <c:pt idx="2549">
                  <c:v>189.1940558</c:v>
                </c:pt>
                <c:pt idx="2550">
                  <c:v>189.61222770000001</c:v>
                </c:pt>
                <c:pt idx="2551">
                  <c:v>189.70760480000001</c:v>
                </c:pt>
                <c:pt idx="2552">
                  <c:v>190.17149269999999</c:v>
                </c:pt>
                <c:pt idx="2553">
                  <c:v>190.3359973</c:v>
                </c:pt>
                <c:pt idx="2554">
                  <c:v>190.68517120000001</c:v>
                </c:pt>
                <c:pt idx="2555">
                  <c:v>190.9222115</c:v>
                </c:pt>
                <c:pt idx="2556">
                  <c:v>190.97641669999999</c:v>
                </c:pt>
                <c:pt idx="2557">
                  <c:v>191.0091712</c:v>
                </c:pt>
                <c:pt idx="2558">
                  <c:v>191.01553290000001</c:v>
                </c:pt>
                <c:pt idx="2559">
                  <c:v>191.13388269999999</c:v>
                </c:pt>
                <c:pt idx="2560">
                  <c:v>191.16408999999999</c:v>
                </c:pt>
                <c:pt idx="2561">
                  <c:v>191.16261349999999</c:v>
                </c:pt>
                <c:pt idx="2562">
                  <c:v>191.57767559999999</c:v>
                </c:pt>
                <c:pt idx="2563">
                  <c:v>192.1704115</c:v>
                </c:pt>
                <c:pt idx="2564">
                  <c:v>192.32726539999999</c:v>
                </c:pt>
              </c:numCache>
            </c:numRef>
          </c:xVal>
          <c:y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E-4CBD-A1EA-C53EC1A52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279024"/>
        <c:axId val="505279504"/>
      </c:scatterChart>
      <c:valAx>
        <c:axId val="505279024"/>
        <c:scaling>
          <c:orientation val="minMax"/>
          <c:min val="12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279504"/>
        <c:crosses val="autoZero"/>
        <c:crossBetween val="midCat"/>
      </c:valAx>
      <c:valAx>
        <c:axId val="5052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27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263524567627479"/>
          <c:y val="0.92500400314682141"/>
          <c:w val="0.42597751617358154"/>
          <c:h val="7.3387219170547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Desemprego vs Vendas Semanais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47625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770424895486394E-2"/>
                  <c:y val="-0.48371266749551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Walmart_Sales!$J$2:$J$2566</c:f>
              <c:numCache>
                <c:formatCode>0.00</c:formatCode>
                <c:ptCount val="2565"/>
                <c:pt idx="0">
                  <c:v>8.1059999999999999</c:v>
                </c:pt>
                <c:pt idx="1">
                  <c:v>8.1059999999999999</c:v>
                </c:pt>
                <c:pt idx="2">
                  <c:v>8.1059999999999999</c:v>
                </c:pt>
                <c:pt idx="3">
                  <c:v>8.1059999999999999</c:v>
                </c:pt>
                <c:pt idx="4">
                  <c:v>7.8079999999999998</c:v>
                </c:pt>
                <c:pt idx="5">
                  <c:v>7.8079999999999998</c:v>
                </c:pt>
                <c:pt idx="6">
                  <c:v>7.8079999999999998</c:v>
                </c:pt>
                <c:pt idx="7">
                  <c:v>7.8079999999999998</c:v>
                </c:pt>
                <c:pt idx="8">
                  <c:v>7.8079999999999998</c:v>
                </c:pt>
                <c:pt idx="9">
                  <c:v>7.7869999999999999</c:v>
                </c:pt>
                <c:pt idx="10">
                  <c:v>7.7869999999999999</c:v>
                </c:pt>
                <c:pt idx="11">
                  <c:v>7.7869999999999999</c:v>
                </c:pt>
                <c:pt idx="12">
                  <c:v>7.7869999999999999</c:v>
                </c:pt>
                <c:pt idx="13">
                  <c:v>7.7869999999999999</c:v>
                </c:pt>
                <c:pt idx="14">
                  <c:v>7.8380000000000001</c:v>
                </c:pt>
                <c:pt idx="15">
                  <c:v>7.8380000000000001</c:v>
                </c:pt>
                <c:pt idx="16">
                  <c:v>7.8380000000000001</c:v>
                </c:pt>
                <c:pt idx="17">
                  <c:v>7.8380000000000001</c:v>
                </c:pt>
                <c:pt idx="18">
                  <c:v>7.8380000000000001</c:v>
                </c:pt>
                <c:pt idx="19">
                  <c:v>7.8380000000000001</c:v>
                </c:pt>
                <c:pt idx="20">
                  <c:v>7.742</c:v>
                </c:pt>
                <c:pt idx="21">
                  <c:v>7.742</c:v>
                </c:pt>
                <c:pt idx="22">
                  <c:v>7.742</c:v>
                </c:pt>
                <c:pt idx="23">
                  <c:v>7.742</c:v>
                </c:pt>
                <c:pt idx="24">
                  <c:v>7.742</c:v>
                </c:pt>
                <c:pt idx="25">
                  <c:v>7.6820000000000004</c:v>
                </c:pt>
                <c:pt idx="26">
                  <c:v>7.6820000000000004</c:v>
                </c:pt>
                <c:pt idx="27">
                  <c:v>7.6820000000000004</c:v>
                </c:pt>
                <c:pt idx="28">
                  <c:v>7.6820000000000004</c:v>
                </c:pt>
                <c:pt idx="29">
                  <c:v>7.6820000000000004</c:v>
                </c:pt>
                <c:pt idx="30">
                  <c:v>7.9619999999999997</c:v>
                </c:pt>
                <c:pt idx="31">
                  <c:v>7.9619999999999997</c:v>
                </c:pt>
                <c:pt idx="32">
                  <c:v>7.9619999999999997</c:v>
                </c:pt>
                <c:pt idx="33">
                  <c:v>7.9619999999999997</c:v>
                </c:pt>
                <c:pt idx="34">
                  <c:v>7.9619999999999997</c:v>
                </c:pt>
                <c:pt idx="35">
                  <c:v>7.9619999999999997</c:v>
                </c:pt>
                <c:pt idx="36">
                  <c:v>7.8659999999999997</c:v>
                </c:pt>
                <c:pt idx="37">
                  <c:v>7.8659999999999997</c:v>
                </c:pt>
                <c:pt idx="38">
                  <c:v>7.8659999999999997</c:v>
                </c:pt>
                <c:pt idx="39">
                  <c:v>7.8659999999999997</c:v>
                </c:pt>
                <c:pt idx="40">
                  <c:v>7.8659999999999997</c:v>
                </c:pt>
                <c:pt idx="41">
                  <c:v>7.3479999999999999</c:v>
                </c:pt>
                <c:pt idx="42">
                  <c:v>7.3479999999999999</c:v>
                </c:pt>
                <c:pt idx="43">
                  <c:v>7.3479999999999999</c:v>
                </c:pt>
                <c:pt idx="44">
                  <c:v>7.3479999999999999</c:v>
                </c:pt>
                <c:pt idx="45">
                  <c:v>7.3479999999999999</c:v>
                </c:pt>
                <c:pt idx="46">
                  <c:v>7.1429999999999998</c:v>
                </c:pt>
                <c:pt idx="47">
                  <c:v>7.1429999999999998</c:v>
                </c:pt>
                <c:pt idx="48">
                  <c:v>7.1429999999999998</c:v>
                </c:pt>
                <c:pt idx="49">
                  <c:v>7.1429999999999998</c:v>
                </c:pt>
                <c:pt idx="50">
                  <c:v>7.1429999999999998</c:v>
                </c:pt>
                <c:pt idx="51">
                  <c:v>6.9080000000000004</c:v>
                </c:pt>
                <c:pt idx="52">
                  <c:v>6.9080000000000004</c:v>
                </c:pt>
                <c:pt idx="53">
                  <c:v>6.9080000000000004</c:v>
                </c:pt>
                <c:pt idx="54">
                  <c:v>6.9080000000000004</c:v>
                </c:pt>
                <c:pt idx="55">
                  <c:v>6.5730000000000004</c:v>
                </c:pt>
                <c:pt idx="56">
                  <c:v>6.5730000000000004</c:v>
                </c:pt>
                <c:pt idx="57">
                  <c:v>8.3239999999999998</c:v>
                </c:pt>
                <c:pt idx="58">
                  <c:v>8.3239999999999998</c:v>
                </c:pt>
                <c:pt idx="59">
                  <c:v>8.3239999999999998</c:v>
                </c:pt>
                <c:pt idx="60">
                  <c:v>8.3239999999999998</c:v>
                </c:pt>
                <c:pt idx="61">
                  <c:v>8.1999999999999993</c:v>
                </c:pt>
                <c:pt idx="62">
                  <c:v>8.1999999999999993</c:v>
                </c:pt>
                <c:pt idx="63">
                  <c:v>8.1999999999999993</c:v>
                </c:pt>
                <c:pt idx="64">
                  <c:v>8.1999999999999993</c:v>
                </c:pt>
                <c:pt idx="65">
                  <c:v>8.1999999999999993</c:v>
                </c:pt>
                <c:pt idx="66">
                  <c:v>8.0990000000000002</c:v>
                </c:pt>
                <c:pt idx="67">
                  <c:v>8.0990000000000002</c:v>
                </c:pt>
                <c:pt idx="68">
                  <c:v>8.0990000000000002</c:v>
                </c:pt>
                <c:pt idx="69">
                  <c:v>8.0990000000000002</c:v>
                </c:pt>
                <c:pt idx="70">
                  <c:v>8.0990000000000002</c:v>
                </c:pt>
                <c:pt idx="71">
                  <c:v>8.1630000000000003</c:v>
                </c:pt>
                <c:pt idx="72">
                  <c:v>8.1630000000000003</c:v>
                </c:pt>
                <c:pt idx="73">
                  <c:v>8.1630000000000003</c:v>
                </c:pt>
                <c:pt idx="74">
                  <c:v>8.1630000000000003</c:v>
                </c:pt>
                <c:pt idx="75">
                  <c:v>8.1630000000000003</c:v>
                </c:pt>
                <c:pt idx="76">
                  <c:v>8.1630000000000003</c:v>
                </c:pt>
                <c:pt idx="77">
                  <c:v>8.0280000000000005</c:v>
                </c:pt>
                <c:pt idx="78">
                  <c:v>8.0280000000000005</c:v>
                </c:pt>
                <c:pt idx="79">
                  <c:v>8.0280000000000005</c:v>
                </c:pt>
                <c:pt idx="80">
                  <c:v>8.0280000000000005</c:v>
                </c:pt>
                <c:pt idx="81">
                  <c:v>8.0280000000000005</c:v>
                </c:pt>
                <c:pt idx="82">
                  <c:v>7.931</c:v>
                </c:pt>
                <c:pt idx="83">
                  <c:v>7.931</c:v>
                </c:pt>
                <c:pt idx="84">
                  <c:v>7.931</c:v>
                </c:pt>
                <c:pt idx="85">
                  <c:v>7.931</c:v>
                </c:pt>
                <c:pt idx="86">
                  <c:v>7.931</c:v>
                </c:pt>
                <c:pt idx="87">
                  <c:v>7.8520000000000003</c:v>
                </c:pt>
                <c:pt idx="88">
                  <c:v>7.8520000000000003</c:v>
                </c:pt>
                <c:pt idx="89">
                  <c:v>7.8520000000000003</c:v>
                </c:pt>
                <c:pt idx="90">
                  <c:v>7.8520000000000003</c:v>
                </c:pt>
                <c:pt idx="91">
                  <c:v>7.8520000000000003</c:v>
                </c:pt>
                <c:pt idx="92">
                  <c:v>7.8520000000000003</c:v>
                </c:pt>
                <c:pt idx="93">
                  <c:v>7.4409999999999998</c:v>
                </c:pt>
                <c:pt idx="94">
                  <c:v>7.4409999999999998</c:v>
                </c:pt>
                <c:pt idx="95">
                  <c:v>7.4409999999999998</c:v>
                </c:pt>
                <c:pt idx="96">
                  <c:v>7.4409999999999998</c:v>
                </c:pt>
                <c:pt idx="97">
                  <c:v>7.4409999999999998</c:v>
                </c:pt>
                <c:pt idx="98">
                  <c:v>7.0570000000000004</c:v>
                </c:pt>
                <c:pt idx="99">
                  <c:v>7.0570000000000004</c:v>
                </c:pt>
                <c:pt idx="100">
                  <c:v>7.0570000000000004</c:v>
                </c:pt>
                <c:pt idx="101">
                  <c:v>7.0570000000000004</c:v>
                </c:pt>
                <c:pt idx="102">
                  <c:v>7.0570000000000004</c:v>
                </c:pt>
                <c:pt idx="103">
                  <c:v>6.891</c:v>
                </c:pt>
                <c:pt idx="104">
                  <c:v>6.891</c:v>
                </c:pt>
                <c:pt idx="105">
                  <c:v>6.891</c:v>
                </c:pt>
                <c:pt idx="106">
                  <c:v>6.891</c:v>
                </c:pt>
                <c:pt idx="107">
                  <c:v>6.891</c:v>
                </c:pt>
                <c:pt idx="108">
                  <c:v>6.5650000000000004</c:v>
                </c:pt>
                <c:pt idx="109">
                  <c:v>6.5650000000000004</c:v>
                </c:pt>
                <c:pt idx="110">
                  <c:v>6.5650000000000004</c:v>
                </c:pt>
                <c:pt idx="111">
                  <c:v>6.5650000000000004</c:v>
                </c:pt>
                <c:pt idx="112">
                  <c:v>6.17</c:v>
                </c:pt>
                <c:pt idx="113">
                  <c:v>6.17</c:v>
                </c:pt>
                <c:pt idx="114">
                  <c:v>7.3680000000000003</c:v>
                </c:pt>
                <c:pt idx="115">
                  <c:v>7.3680000000000003</c:v>
                </c:pt>
                <c:pt idx="116">
                  <c:v>7.3680000000000003</c:v>
                </c:pt>
                <c:pt idx="117">
                  <c:v>7.3680000000000003</c:v>
                </c:pt>
                <c:pt idx="118">
                  <c:v>7.343</c:v>
                </c:pt>
                <c:pt idx="119">
                  <c:v>7.343</c:v>
                </c:pt>
                <c:pt idx="120">
                  <c:v>7.343</c:v>
                </c:pt>
                <c:pt idx="121">
                  <c:v>7.343</c:v>
                </c:pt>
                <c:pt idx="122">
                  <c:v>7.343</c:v>
                </c:pt>
                <c:pt idx="123">
                  <c:v>7.3460000000000001</c:v>
                </c:pt>
                <c:pt idx="124">
                  <c:v>7.3460000000000001</c:v>
                </c:pt>
                <c:pt idx="125">
                  <c:v>7.3460000000000001</c:v>
                </c:pt>
                <c:pt idx="126">
                  <c:v>7.3460000000000001</c:v>
                </c:pt>
                <c:pt idx="127">
                  <c:v>7.3460000000000001</c:v>
                </c:pt>
                <c:pt idx="128">
                  <c:v>7.5640000000000001</c:v>
                </c:pt>
                <c:pt idx="129">
                  <c:v>7.5640000000000001</c:v>
                </c:pt>
                <c:pt idx="130">
                  <c:v>7.5640000000000001</c:v>
                </c:pt>
                <c:pt idx="131">
                  <c:v>7.5640000000000001</c:v>
                </c:pt>
                <c:pt idx="132">
                  <c:v>7.5640000000000001</c:v>
                </c:pt>
                <c:pt idx="133">
                  <c:v>7.5640000000000001</c:v>
                </c:pt>
                <c:pt idx="134">
                  <c:v>7.5510000000000002</c:v>
                </c:pt>
                <c:pt idx="135">
                  <c:v>7.5510000000000002</c:v>
                </c:pt>
                <c:pt idx="136">
                  <c:v>7.5510000000000002</c:v>
                </c:pt>
                <c:pt idx="137">
                  <c:v>7.5510000000000002</c:v>
                </c:pt>
                <c:pt idx="138">
                  <c:v>7.5510000000000002</c:v>
                </c:pt>
                <c:pt idx="139">
                  <c:v>7.5739999999999998</c:v>
                </c:pt>
                <c:pt idx="140">
                  <c:v>7.5739999999999998</c:v>
                </c:pt>
                <c:pt idx="141">
                  <c:v>7.5739999999999998</c:v>
                </c:pt>
                <c:pt idx="142">
                  <c:v>7.5739999999999998</c:v>
                </c:pt>
                <c:pt idx="143">
                  <c:v>7.5739999999999998</c:v>
                </c:pt>
                <c:pt idx="144">
                  <c:v>7.5670000000000002</c:v>
                </c:pt>
                <c:pt idx="145">
                  <c:v>7.5670000000000002</c:v>
                </c:pt>
                <c:pt idx="146">
                  <c:v>7.5670000000000002</c:v>
                </c:pt>
                <c:pt idx="147">
                  <c:v>7.5670000000000002</c:v>
                </c:pt>
                <c:pt idx="148">
                  <c:v>7.5670000000000002</c:v>
                </c:pt>
                <c:pt idx="149">
                  <c:v>7.5670000000000002</c:v>
                </c:pt>
                <c:pt idx="150">
                  <c:v>7.1970000000000001</c:v>
                </c:pt>
                <c:pt idx="151">
                  <c:v>7.1970000000000001</c:v>
                </c:pt>
                <c:pt idx="152">
                  <c:v>7.1970000000000001</c:v>
                </c:pt>
                <c:pt idx="153">
                  <c:v>7.1970000000000001</c:v>
                </c:pt>
                <c:pt idx="154">
                  <c:v>7.1970000000000001</c:v>
                </c:pt>
                <c:pt idx="155">
                  <c:v>6.8330000000000002</c:v>
                </c:pt>
                <c:pt idx="156">
                  <c:v>6.8330000000000002</c:v>
                </c:pt>
                <c:pt idx="157">
                  <c:v>6.8330000000000002</c:v>
                </c:pt>
                <c:pt idx="158">
                  <c:v>6.8330000000000002</c:v>
                </c:pt>
                <c:pt idx="159">
                  <c:v>6.8330000000000002</c:v>
                </c:pt>
                <c:pt idx="160">
                  <c:v>6.6639999999999997</c:v>
                </c:pt>
                <c:pt idx="161">
                  <c:v>6.6639999999999997</c:v>
                </c:pt>
                <c:pt idx="162">
                  <c:v>6.6639999999999997</c:v>
                </c:pt>
                <c:pt idx="163">
                  <c:v>6.6639999999999997</c:v>
                </c:pt>
                <c:pt idx="164">
                  <c:v>6.6639999999999997</c:v>
                </c:pt>
                <c:pt idx="165">
                  <c:v>6.3339999999999996</c:v>
                </c:pt>
                <c:pt idx="166">
                  <c:v>6.3339999999999996</c:v>
                </c:pt>
                <c:pt idx="167">
                  <c:v>6.3339999999999996</c:v>
                </c:pt>
                <c:pt idx="168">
                  <c:v>6.3339999999999996</c:v>
                </c:pt>
                <c:pt idx="169">
                  <c:v>6.0339999999999998</c:v>
                </c:pt>
                <c:pt idx="170">
                  <c:v>6.0339999999999998</c:v>
                </c:pt>
                <c:pt idx="171">
                  <c:v>8.6229999999999993</c:v>
                </c:pt>
                <c:pt idx="172">
                  <c:v>8.6229999999999993</c:v>
                </c:pt>
                <c:pt idx="173">
                  <c:v>8.6229999999999993</c:v>
                </c:pt>
                <c:pt idx="174">
                  <c:v>8.6229999999999993</c:v>
                </c:pt>
                <c:pt idx="175">
                  <c:v>7.8959999999999999</c:v>
                </c:pt>
                <c:pt idx="176">
                  <c:v>7.8959999999999999</c:v>
                </c:pt>
                <c:pt idx="177">
                  <c:v>7.8959999999999999</c:v>
                </c:pt>
                <c:pt idx="178">
                  <c:v>7.8959999999999999</c:v>
                </c:pt>
                <c:pt idx="179">
                  <c:v>7.8959999999999999</c:v>
                </c:pt>
                <c:pt idx="180">
                  <c:v>7.3719999999999999</c:v>
                </c:pt>
                <c:pt idx="181">
                  <c:v>7.3719999999999999</c:v>
                </c:pt>
                <c:pt idx="182">
                  <c:v>7.3719999999999999</c:v>
                </c:pt>
                <c:pt idx="183">
                  <c:v>7.3719999999999999</c:v>
                </c:pt>
                <c:pt idx="184">
                  <c:v>7.3719999999999999</c:v>
                </c:pt>
                <c:pt idx="185">
                  <c:v>7.1269999999999998</c:v>
                </c:pt>
                <c:pt idx="186">
                  <c:v>7.1269999999999998</c:v>
                </c:pt>
                <c:pt idx="187">
                  <c:v>7.1269999999999998</c:v>
                </c:pt>
                <c:pt idx="188">
                  <c:v>7.1269999999999998</c:v>
                </c:pt>
                <c:pt idx="189">
                  <c:v>7.1269999999999998</c:v>
                </c:pt>
                <c:pt idx="190">
                  <c:v>7.1269999999999998</c:v>
                </c:pt>
                <c:pt idx="191">
                  <c:v>6.51</c:v>
                </c:pt>
                <c:pt idx="192">
                  <c:v>6.51</c:v>
                </c:pt>
                <c:pt idx="193">
                  <c:v>6.51</c:v>
                </c:pt>
                <c:pt idx="194">
                  <c:v>6.51</c:v>
                </c:pt>
                <c:pt idx="195">
                  <c:v>6.51</c:v>
                </c:pt>
                <c:pt idx="196">
                  <c:v>5.9459999999999997</c:v>
                </c:pt>
                <c:pt idx="197">
                  <c:v>5.9459999999999997</c:v>
                </c:pt>
                <c:pt idx="198">
                  <c:v>5.9459999999999997</c:v>
                </c:pt>
                <c:pt idx="199">
                  <c:v>5.9459999999999997</c:v>
                </c:pt>
                <c:pt idx="200">
                  <c:v>5.9459999999999997</c:v>
                </c:pt>
                <c:pt idx="201">
                  <c:v>5.6440000000000001</c:v>
                </c:pt>
                <c:pt idx="202">
                  <c:v>5.6440000000000001</c:v>
                </c:pt>
                <c:pt idx="203">
                  <c:v>5.6440000000000001</c:v>
                </c:pt>
                <c:pt idx="204">
                  <c:v>5.6440000000000001</c:v>
                </c:pt>
                <c:pt idx="205">
                  <c:v>5.6440000000000001</c:v>
                </c:pt>
                <c:pt idx="206">
                  <c:v>5.6440000000000001</c:v>
                </c:pt>
                <c:pt idx="207">
                  <c:v>5.1429999999999998</c:v>
                </c:pt>
                <c:pt idx="208">
                  <c:v>5.1429999999999998</c:v>
                </c:pt>
                <c:pt idx="209">
                  <c:v>5.1429999999999998</c:v>
                </c:pt>
                <c:pt idx="210">
                  <c:v>5.1429999999999998</c:v>
                </c:pt>
                <c:pt idx="211">
                  <c:v>5.1429999999999998</c:v>
                </c:pt>
                <c:pt idx="212">
                  <c:v>4.6070000000000002</c:v>
                </c:pt>
                <c:pt idx="213">
                  <c:v>4.6070000000000002</c:v>
                </c:pt>
                <c:pt idx="214">
                  <c:v>4.6070000000000002</c:v>
                </c:pt>
                <c:pt idx="215">
                  <c:v>4.6070000000000002</c:v>
                </c:pt>
                <c:pt idx="216">
                  <c:v>4.6070000000000002</c:v>
                </c:pt>
                <c:pt idx="217">
                  <c:v>4.3079999999999998</c:v>
                </c:pt>
                <c:pt idx="218">
                  <c:v>4.3079999999999998</c:v>
                </c:pt>
                <c:pt idx="219">
                  <c:v>4.3079999999999998</c:v>
                </c:pt>
                <c:pt idx="220">
                  <c:v>4.3079999999999998</c:v>
                </c:pt>
                <c:pt idx="221">
                  <c:v>4.3079999999999998</c:v>
                </c:pt>
                <c:pt idx="222">
                  <c:v>4.077</c:v>
                </c:pt>
                <c:pt idx="223">
                  <c:v>4.077</c:v>
                </c:pt>
                <c:pt idx="224">
                  <c:v>4.077</c:v>
                </c:pt>
                <c:pt idx="225">
                  <c:v>4.077</c:v>
                </c:pt>
                <c:pt idx="226">
                  <c:v>3.879</c:v>
                </c:pt>
                <c:pt idx="227">
                  <c:v>3.879</c:v>
                </c:pt>
                <c:pt idx="228">
                  <c:v>6.5659999999999998</c:v>
                </c:pt>
                <c:pt idx="229">
                  <c:v>6.5659999999999998</c:v>
                </c:pt>
                <c:pt idx="230">
                  <c:v>6.5659999999999998</c:v>
                </c:pt>
                <c:pt idx="231">
                  <c:v>6.5659999999999998</c:v>
                </c:pt>
                <c:pt idx="232">
                  <c:v>6.4649999999999999</c:v>
                </c:pt>
                <c:pt idx="233">
                  <c:v>6.4649999999999999</c:v>
                </c:pt>
                <c:pt idx="234">
                  <c:v>6.4649999999999999</c:v>
                </c:pt>
                <c:pt idx="235">
                  <c:v>6.4649999999999999</c:v>
                </c:pt>
                <c:pt idx="236">
                  <c:v>6.4649999999999999</c:v>
                </c:pt>
                <c:pt idx="237">
                  <c:v>6.4960000000000004</c:v>
                </c:pt>
                <c:pt idx="238">
                  <c:v>6.4960000000000004</c:v>
                </c:pt>
                <c:pt idx="239">
                  <c:v>6.4960000000000004</c:v>
                </c:pt>
                <c:pt idx="240">
                  <c:v>6.4960000000000004</c:v>
                </c:pt>
                <c:pt idx="241">
                  <c:v>6.4960000000000004</c:v>
                </c:pt>
                <c:pt idx="242">
                  <c:v>6.7679999999999998</c:v>
                </c:pt>
                <c:pt idx="243">
                  <c:v>6.7679999999999998</c:v>
                </c:pt>
                <c:pt idx="244">
                  <c:v>6.7679999999999998</c:v>
                </c:pt>
                <c:pt idx="245">
                  <c:v>6.7679999999999998</c:v>
                </c:pt>
                <c:pt idx="246">
                  <c:v>6.7679999999999998</c:v>
                </c:pt>
                <c:pt idx="247">
                  <c:v>6.7679999999999998</c:v>
                </c:pt>
                <c:pt idx="248">
                  <c:v>6.6340000000000003</c:v>
                </c:pt>
                <c:pt idx="249">
                  <c:v>6.6340000000000003</c:v>
                </c:pt>
                <c:pt idx="250">
                  <c:v>6.6340000000000003</c:v>
                </c:pt>
                <c:pt idx="251">
                  <c:v>6.6340000000000003</c:v>
                </c:pt>
                <c:pt idx="252">
                  <c:v>6.6340000000000003</c:v>
                </c:pt>
                <c:pt idx="253">
                  <c:v>6.4889999999999999</c:v>
                </c:pt>
                <c:pt idx="254">
                  <c:v>6.4889999999999999</c:v>
                </c:pt>
                <c:pt idx="255">
                  <c:v>6.4889999999999999</c:v>
                </c:pt>
                <c:pt idx="256">
                  <c:v>6.4889999999999999</c:v>
                </c:pt>
                <c:pt idx="257">
                  <c:v>6.4889999999999999</c:v>
                </c:pt>
                <c:pt idx="258">
                  <c:v>6.5289999999999999</c:v>
                </c:pt>
                <c:pt idx="259">
                  <c:v>6.5289999999999999</c:v>
                </c:pt>
                <c:pt idx="260">
                  <c:v>6.5289999999999999</c:v>
                </c:pt>
                <c:pt idx="261">
                  <c:v>6.5289999999999999</c:v>
                </c:pt>
                <c:pt idx="262">
                  <c:v>6.5289999999999999</c:v>
                </c:pt>
                <c:pt idx="263">
                  <c:v>6.5289999999999999</c:v>
                </c:pt>
                <c:pt idx="264">
                  <c:v>6.3</c:v>
                </c:pt>
                <c:pt idx="265">
                  <c:v>6.3</c:v>
                </c:pt>
                <c:pt idx="266">
                  <c:v>6.3</c:v>
                </c:pt>
                <c:pt idx="267">
                  <c:v>6.3</c:v>
                </c:pt>
                <c:pt idx="268">
                  <c:v>6.3</c:v>
                </c:pt>
                <c:pt idx="269">
                  <c:v>5.9429999999999996</c:v>
                </c:pt>
                <c:pt idx="270">
                  <c:v>5.9429999999999996</c:v>
                </c:pt>
                <c:pt idx="271">
                  <c:v>5.9429999999999996</c:v>
                </c:pt>
                <c:pt idx="272">
                  <c:v>5.9429999999999996</c:v>
                </c:pt>
                <c:pt idx="273">
                  <c:v>5.9429999999999996</c:v>
                </c:pt>
                <c:pt idx="274">
                  <c:v>5.8010000000000002</c:v>
                </c:pt>
                <c:pt idx="275">
                  <c:v>5.8010000000000002</c:v>
                </c:pt>
                <c:pt idx="276">
                  <c:v>5.8010000000000002</c:v>
                </c:pt>
                <c:pt idx="277">
                  <c:v>5.8010000000000002</c:v>
                </c:pt>
                <c:pt idx="278">
                  <c:v>5.8010000000000002</c:v>
                </c:pt>
                <c:pt idx="279">
                  <c:v>5.6029999999999998</c:v>
                </c:pt>
                <c:pt idx="280">
                  <c:v>5.6029999999999998</c:v>
                </c:pt>
                <c:pt idx="281">
                  <c:v>5.6029999999999998</c:v>
                </c:pt>
                <c:pt idx="282">
                  <c:v>5.6029999999999998</c:v>
                </c:pt>
                <c:pt idx="283">
                  <c:v>5.4219999999999997</c:v>
                </c:pt>
                <c:pt idx="284">
                  <c:v>5.4219999999999997</c:v>
                </c:pt>
                <c:pt idx="285">
                  <c:v>7.2590000000000003</c:v>
                </c:pt>
                <c:pt idx="286">
                  <c:v>7.2590000000000003</c:v>
                </c:pt>
                <c:pt idx="287">
                  <c:v>7.2590000000000003</c:v>
                </c:pt>
                <c:pt idx="288">
                  <c:v>7.2590000000000003</c:v>
                </c:pt>
                <c:pt idx="289">
                  <c:v>7.0919999999999996</c:v>
                </c:pt>
                <c:pt idx="290">
                  <c:v>7.0919999999999996</c:v>
                </c:pt>
                <c:pt idx="291">
                  <c:v>7.0919999999999996</c:v>
                </c:pt>
                <c:pt idx="292">
                  <c:v>7.0919999999999996</c:v>
                </c:pt>
                <c:pt idx="293">
                  <c:v>7.0919999999999996</c:v>
                </c:pt>
                <c:pt idx="294">
                  <c:v>6.9729999999999999</c:v>
                </c:pt>
                <c:pt idx="295">
                  <c:v>6.9729999999999999</c:v>
                </c:pt>
                <c:pt idx="296">
                  <c:v>6.9729999999999999</c:v>
                </c:pt>
                <c:pt idx="297">
                  <c:v>6.9729999999999999</c:v>
                </c:pt>
                <c:pt idx="298">
                  <c:v>6.9729999999999999</c:v>
                </c:pt>
                <c:pt idx="299">
                  <c:v>7.0069999999999997</c:v>
                </c:pt>
                <c:pt idx="300">
                  <c:v>7.0069999999999997</c:v>
                </c:pt>
                <c:pt idx="301">
                  <c:v>7.0069999999999997</c:v>
                </c:pt>
                <c:pt idx="302">
                  <c:v>7.0069999999999997</c:v>
                </c:pt>
                <c:pt idx="303">
                  <c:v>7.0069999999999997</c:v>
                </c:pt>
                <c:pt idx="304">
                  <c:v>7.0069999999999997</c:v>
                </c:pt>
                <c:pt idx="305">
                  <c:v>6.8579999999999997</c:v>
                </c:pt>
                <c:pt idx="306">
                  <c:v>6.8579999999999997</c:v>
                </c:pt>
                <c:pt idx="307">
                  <c:v>6.8579999999999997</c:v>
                </c:pt>
                <c:pt idx="308">
                  <c:v>6.8579999999999997</c:v>
                </c:pt>
                <c:pt idx="309">
                  <c:v>6.8579999999999997</c:v>
                </c:pt>
                <c:pt idx="310">
                  <c:v>6.8550000000000004</c:v>
                </c:pt>
                <c:pt idx="311">
                  <c:v>6.8550000000000004</c:v>
                </c:pt>
                <c:pt idx="312">
                  <c:v>6.8550000000000004</c:v>
                </c:pt>
                <c:pt idx="313">
                  <c:v>6.8550000000000004</c:v>
                </c:pt>
                <c:pt idx="314">
                  <c:v>6.8550000000000004</c:v>
                </c:pt>
                <c:pt idx="315">
                  <c:v>6.9249999999999998</c:v>
                </c:pt>
                <c:pt idx="316">
                  <c:v>6.9249999999999998</c:v>
                </c:pt>
                <c:pt idx="317">
                  <c:v>6.9249999999999998</c:v>
                </c:pt>
                <c:pt idx="318">
                  <c:v>6.9249999999999998</c:v>
                </c:pt>
                <c:pt idx="319">
                  <c:v>6.9249999999999998</c:v>
                </c:pt>
                <c:pt idx="320">
                  <c:v>6.9249999999999998</c:v>
                </c:pt>
                <c:pt idx="321">
                  <c:v>6.5510000000000002</c:v>
                </c:pt>
                <c:pt idx="322">
                  <c:v>6.5510000000000002</c:v>
                </c:pt>
                <c:pt idx="323">
                  <c:v>6.5510000000000002</c:v>
                </c:pt>
                <c:pt idx="324">
                  <c:v>6.5510000000000002</c:v>
                </c:pt>
                <c:pt idx="325">
                  <c:v>6.5510000000000002</c:v>
                </c:pt>
                <c:pt idx="326">
                  <c:v>6.1319999999999997</c:v>
                </c:pt>
                <c:pt idx="327">
                  <c:v>6.1319999999999997</c:v>
                </c:pt>
                <c:pt idx="328">
                  <c:v>6.1319999999999997</c:v>
                </c:pt>
                <c:pt idx="329">
                  <c:v>6.1319999999999997</c:v>
                </c:pt>
                <c:pt idx="330">
                  <c:v>6.1319999999999997</c:v>
                </c:pt>
                <c:pt idx="331">
                  <c:v>5.9640000000000004</c:v>
                </c:pt>
                <c:pt idx="332">
                  <c:v>5.9640000000000004</c:v>
                </c:pt>
                <c:pt idx="333">
                  <c:v>5.9640000000000004</c:v>
                </c:pt>
                <c:pt idx="334">
                  <c:v>5.9640000000000004</c:v>
                </c:pt>
                <c:pt idx="335">
                  <c:v>5.9640000000000004</c:v>
                </c:pt>
                <c:pt idx="336">
                  <c:v>5.6680000000000001</c:v>
                </c:pt>
                <c:pt idx="337">
                  <c:v>5.6680000000000001</c:v>
                </c:pt>
                <c:pt idx="338">
                  <c:v>5.6680000000000001</c:v>
                </c:pt>
                <c:pt idx="339">
                  <c:v>5.6680000000000001</c:v>
                </c:pt>
                <c:pt idx="340">
                  <c:v>5.3289999999999997</c:v>
                </c:pt>
                <c:pt idx="341">
                  <c:v>5.3289999999999997</c:v>
                </c:pt>
                <c:pt idx="342">
                  <c:v>9.0139999999999993</c:v>
                </c:pt>
                <c:pt idx="343">
                  <c:v>9.0139999999999993</c:v>
                </c:pt>
                <c:pt idx="344">
                  <c:v>9.0139999999999993</c:v>
                </c:pt>
                <c:pt idx="345">
                  <c:v>9.0139999999999993</c:v>
                </c:pt>
                <c:pt idx="346">
                  <c:v>8.9629999999999992</c:v>
                </c:pt>
                <c:pt idx="347">
                  <c:v>8.9629999999999992</c:v>
                </c:pt>
                <c:pt idx="348">
                  <c:v>8.9629999999999992</c:v>
                </c:pt>
                <c:pt idx="349">
                  <c:v>8.9629999999999992</c:v>
                </c:pt>
                <c:pt idx="350">
                  <c:v>8.9629999999999992</c:v>
                </c:pt>
                <c:pt idx="351">
                  <c:v>9.0169999999999995</c:v>
                </c:pt>
                <c:pt idx="352">
                  <c:v>9.0169999999999995</c:v>
                </c:pt>
                <c:pt idx="353">
                  <c:v>9.0169999999999995</c:v>
                </c:pt>
                <c:pt idx="354">
                  <c:v>9.0169999999999995</c:v>
                </c:pt>
                <c:pt idx="355">
                  <c:v>9.0169999999999995</c:v>
                </c:pt>
                <c:pt idx="356">
                  <c:v>9.1370000000000005</c:v>
                </c:pt>
                <c:pt idx="357">
                  <c:v>9.1370000000000005</c:v>
                </c:pt>
                <c:pt idx="358">
                  <c:v>9.1370000000000005</c:v>
                </c:pt>
                <c:pt idx="359">
                  <c:v>9.1370000000000005</c:v>
                </c:pt>
                <c:pt idx="360">
                  <c:v>9.1370000000000005</c:v>
                </c:pt>
                <c:pt idx="361">
                  <c:v>9.1370000000000005</c:v>
                </c:pt>
                <c:pt idx="362">
                  <c:v>8.8179999999999996</c:v>
                </c:pt>
                <c:pt idx="363">
                  <c:v>8.8179999999999996</c:v>
                </c:pt>
                <c:pt idx="364">
                  <c:v>8.8179999999999996</c:v>
                </c:pt>
                <c:pt idx="365">
                  <c:v>8.8179999999999996</c:v>
                </c:pt>
                <c:pt idx="366">
                  <c:v>8.8179999999999996</c:v>
                </c:pt>
                <c:pt idx="367">
                  <c:v>8.5950000000000006</c:v>
                </c:pt>
                <c:pt idx="368">
                  <c:v>8.5950000000000006</c:v>
                </c:pt>
                <c:pt idx="369">
                  <c:v>8.5950000000000006</c:v>
                </c:pt>
                <c:pt idx="370">
                  <c:v>8.5950000000000006</c:v>
                </c:pt>
                <c:pt idx="371">
                  <c:v>8.5950000000000006</c:v>
                </c:pt>
                <c:pt idx="372">
                  <c:v>8.6219999999999999</c:v>
                </c:pt>
                <c:pt idx="373">
                  <c:v>8.6219999999999999</c:v>
                </c:pt>
                <c:pt idx="374">
                  <c:v>8.6219999999999999</c:v>
                </c:pt>
                <c:pt idx="375">
                  <c:v>8.6219999999999999</c:v>
                </c:pt>
                <c:pt idx="376">
                  <c:v>8.6219999999999999</c:v>
                </c:pt>
                <c:pt idx="377">
                  <c:v>8.6219999999999999</c:v>
                </c:pt>
                <c:pt idx="378">
                  <c:v>8.5129999999999999</c:v>
                </c:pt>
                <c:pt idx="379">
                  <c:v>8.5129999999999999</c:v>
                </c:pt>
                <c:pt idx="380">
                  <c:v>8.5129999999999999</c:v>
                </c:pt>
                <c:pt idx="381">
                  <c:v>8.5129999999999999</c:v>
                </c:pt>
                <c:pt idx="382">
                  <c:v>8.5129999999999999</c:v>
                </c:pt>
                <c:pt idx="383">
                  <c:v>8.2560000000000002</c:v>
                </c:pt>
                <c:pt idx="384">
                  <c:v>8.2560000000000002</c:v>
                </c:pt>
                <c:pt idx="385">
                  <c:v>8.2560000000000002</c:v>
                </c:pt>
                <c:pt idx="386">
                  <c:v>8.2560000000000002</c:v>
                </c:pt>
                <c:pt idx="387">
                  <c:v>8.2560000000000002</c:v>
                </c:pt>
                <c:pt idx="388">
                  <c:v>8.09</c:v>
                </c:pt>
                <c:pt idx="389">
                  <c:v>8.09</c:v>
                </c:pt>
                <c:pt idx="390">
                  <c:v>8.09</c:v>
                </c:pt>
                <c:pt idx="391">
                  <c:v>8.09</c:v>
                </c:pt>
                <c:pt idx="392">
                  <c:v>8.09</c:v>
                </c:pt>
                <c:pt idx="393">
                  <c:v>7.8719999999999999</c:v>
                </c:pt>
                <c:pt idx="394">
                  <c:v>7.8719999999999999</c:v>
                </c:pt>
                <c:pt idx="395">
                  <c:v>7.8719999999999999</c:v>
                </c:pt>
                <c:pt idx="396">
                  <c:v>7.8719999999999999</c:v>
                </c:pt>
                <c:pt idx="397">
                  <c:v>7.5570000000000004</c:v>
                </c:pt>
                <c:pt idx="398">
                  <c:v>7.5570000000000004</c:v>
                </c:pt>
                <c:pt idx="399">
                  <c:v>6.2990000000000004</c:v>
                </c:pt>
                <c:pt idx="400">
                  <c:v>6.2990000000000004</c:v>
                </c:pt>
                <c:pt idx="401">
                  <c:v>6.2990000000000004</c:v>
                </c:pt>
                <c:pt idx="402">
                  <c:v>6.2990000000000004</c:v>
                </c:pt>
                <c:pt idx="403">
                  <c:v>6.29</c:v>
                </c:pt>
                <c:pt idx="404">
                  <c:v>6.29</c:v>
                </c:pt>
                <c:pt idx="405">
                  <c:v>6.29</c:v>
                </c:pt>
                <c:pt idx="406">
                  <c:v>6.29</c:v>
                </c:pt>
                <c:pt idx="407">
                  <c:v>6.29</c:v>
                </c:pt>
                <c:pt idx="408">
                  <c:v>6.3150000000000004</c:v>
                </c:pt>
                <c:pt idx="409">
                  <c:v>6.3150000000000004</c:v>
                </c:pt>
                <c:pt idx="410">
                  <c:v>6.3150000000000004</c:v>
                </c:pt>
                <c:pt idx="411">
                  <c:v>6.3150000000000004</c:v>
                </c:pt>
                <c:pt idx="412">
                  <c:v>6.3150000000000004</c:v>
                </c:pt>
                <c:pt idx="413">
                  <c:v>6.4329999999999998</c:v>
                </c:pt>
                <c:pt idx="414">
                  <c:v>6.4329999999999998</c:v>
                </c:pt>
                <c:pt idx="415">
                  <c:v>6.4329999999999998</c:v>
                </c:pt>
                <c:pt idx="416">
                  <c:v>6.4329999999999998</c:v>
                </c:pt>
                <c:pt idx="417">
                  <c:v>6.4329999999999998</c:v>
                </c:pt>
                <c:pt idx="418">
                  <c:v>6.4329999999999998</c:v>
                </c:pt>
                <c:pt idx="419">
                  <c:v>6.2619999999999996</c:v>
                </c:pt>
                <c:pt idx="420">
                  <c:v>6.2619999999999996</c:v>
                </c:pt>
                <c:pt idx="421">
                  <c:v>6.2619999999999996</c:v>
                </c:pt>
                <c:pt idx="422">
                  <c:v>6.2619999999999996</c:v>
                </c:pt>
                <c:pt idx="423">
                  <c:v>6.2619999999999996</c:v>
                </c:pt>
                <c:pt idx="424">
                  <c:v>6.2969999999999997</c:v>
                </c:pt>
                <c:pt idx="425">
                  <c:v>6.2969999999999997</c:v>
                </c:pt>
                <c:pt idx="426">
                  <c:v>6.2969999999999997</c:v>
                </c:pt>
                <c:pt idx="427">
                  <c:v>6.2969999999999997</c:v>
                </c:pt>
                <c:pt idx="428">
                  <c:v>6.2969999999999997</c:v>
                </c:pt>
                <c:pt idx="429">
                  <c:v>6.4249999999999998</c:v>
                </c:pt>
                <c:pt idx="430">
                  <c:v>6.4249999999999998</c:v>
                </c:pt>
                <c:pt idx="431">
                  <c:v>6.4249999999999998</c:v>
                </c:pt>
                <c:pt idx="432">
                  <c:v>6.4249999999999998</c:v>
                </c:pt>
                <c:pt idx="433">
                  <c:v>6.4249999999999998</c:v>
                </c:pt>
                <c:pt idx="434">
                  <c:v>6.4249999999999998</c:v>
                </c:pt>
                <c:pt idx="435">
                  <c:v>6.1230000000000002</c:v>
                </c:pt>
                <c:pt idx="436">
                  <c:v>6.1230000000000002</c:v>
                </c:pt>
                <c:pt idx="437">
                  <c:v>6.1230000000000002</c:v>
                </c:pt>
                <c:pt idx="438">
                  <c:v>6.1230000000000002</c:v>
                </c:pt>
                <c:pt idx="439">
                  <c:v>6.1230000000000002</c:v>
                </c:pt>
                <c:pt idx="440">
                  <c:v>5.8250000000000002</c:v>
                </c:pt>
                <c:pt idx="441">
                  <c:v>5.8250000000000002</c:v>
                </c:pt>
                <c:pt idx="442">
                  <c:v>5.8250000000000002</c:v>
                </c:pt>
                <c:pt idx="443">
                  <c:v>5.8250000000000002</c:v>
                </c:pt>
                <c:pt idx="444">
                  <c:v>5.8250000000000002</c:v>
                </c:pt>
                <c:pt idx="445">
                  <c:v>5.6790000000000003</c:v>
                </c:pt>
                <c:pt idx="446">
                  <c:v>5.6790000000000003</c:v>
                </c:pt>
                <c:pt idx="447">
                  <c:v>5.6790000000000003</c:v>
                </c:pt>
                <c:pt idx="448">
                  <c:v>5.6790000000000003</c:v>
                </c:pt>
                <c:pt idx="449">
                  <c:v>5.6790000000000003</c:v>
                </c:pt>
                <c:pt idx="450">
                  <c:v>5.4009999999999998</c:v>
                </c:pt>
                <c:pt idx="451">
                  <c:v>5.4009999999999998</c:v>
                </c:pt>
                <c:pt idx="452">
                  <c:v>5.4009999999999998</c:v>
                </c:pt>
                <c:pt idx="453">
                  <c:v>5.4009999999999998</c:v>
                </c:pt>
                <c:pt idx="454">
                  <c:v>5.1239999999999997</c:v>
                </c:pt>
                <c:pt idx="455">
                  <c:v>5.1239999999999997</c:v>
                </c:pt>
                <c:pt idx="456">
                  <c:v>6.415</c:v>
                </c:pt>
                <c:pt idx="457">
                  <c:v>6.415</c:v>
                </c:pt>
                <c:pt idx="458">
                  <c:v>6.415</c:v>
                </c:pt>
                <c:pt idx="459">
                  <c:v>6.415</c:v>
                </c:pt>
                <c:pt idx="460">
                  <c:v>6.3840000000000003</c:v>
                </c:pt>
                <c:pt idx="461">
                  <c:v>6.3840000000000003</c:v>
                </c:pt>
                <c:pt idx="462">
                  <c:v>6.3840000000000003</c:v>
                </c:pt>
                <c:pt idx="463">
                  <c:v>6.3840000000000003</c:v>
                </c:pt>
                <c:pt idx="464">
                  <c:v>6.3840000000000003</c:v>
                </c:pt>
                <c:pt idx="465">
                  <c:v>6.4420000000000002</c:v>
                </c:pt>
                <c:pt idx="466">
                  <c:v>6.4420000000000002</c:v>
                </c:pt>
                <c:pt idx="467">
                  <c:v>6.4420000000000002</c:v>
                </c:pt>
                <c:pt idx="468">
                  <c:v>6.4420000000000002</c:v>
                </c:pt>
                <c:pt idx="469">
                  <c:v>6.4420000000000002</c:v>
                </c:pt>
                <c:pt idx="470">
                  <c:v>6.56</c:v>
                </c:pt>
                <c:pt idx="471">
                  <c:v>6.56</c:v>
                </c:pt>
                <c:pt idx="472">
                  <c:v>6.56</c:v>
                </c:pt>
                <c:pt idx="473">
                  <c:v>6.56</c:v>
                </c:pt>
                <c:pt idx="474">
                  <c:v>6.56</c:v>
                </c:pt>
                <c:pt idx="475">
                  <c:v>6.56</c:v>
                </c:pt>
                <c:pt idx="476">
                  <c:v>6.4160000000000004</c:v>
                </c:pt>
                <c:pt idx="477">
                  <c:v>6.4160000000000004</c:v>
                </c:pt>
                <c:pt idx="478">
                  <c:v>6.4160000000000004</c:v>
                </c:pt>
                <c:pt idx="479">
                  <c:v>6.4160000000000004</c:v>
                </c:pt>
                <c:pt idx="480">
                  <c:v>6.4160000000000004</c:v>
                </c:pt>
                <c:pt idx="481">
                  <c:v>6.38</c:v>
                </c:pt>
                <c:pt idx="482">
                  <c:v>6.38</c:v>
                </c:pt>
                <c:pt idx="483">
                  <c:v>6.38</c:v>
                </c:pt>
                <c:pt idx="484">
                  <c:v>6.38</c:v>
                </c:pt>
                <c:pt idx="485">
                  <c:v>6.38</c:v>
                </c:pt>
                <c:pt idx="486">
                  <c:v>6.4039999999999999</c:v>
                </c:pt>
                <c:pt idx="487">
                  <c:v>6.4039999999999999</c:v>
                </c:pt>
                <c:pt idx="488">
                  <c:v>6.4039999999999999</c:v>
                </c:pt>
                <c:pt idx="489">
                  <c:v>6.4039999999999999</c:v>
                </c:pt>
                <c:pt idx="490">
                  <c:v>6.4039999999999999</c:v>
                </c:pt>
                <c:pt idx="491">
                  <c:v>6.4039999999999999</c:v>
                </c:pt>
                <c:pt idx="492">
                  <c:v>6.0540000000000003</c:v>
                </c:pt>
                <c:pt idx="493">
                  <c:v>6.0540000000000003</c:v>
                </c:pt>
                <c:pt idx="494">
                  <c:v>6.0540000000000003</c:v>
                </c:pt>
                <c:pt idx="495">
                  <c:v>6.0540000000000003</c:v>
                </c:pt>
                <c:pt idx="496">
                  <c:v>6.0540000000000003</c:v>
                </c:pt>
                <c:pt idx="497">
                  <c:v>5.6669999999999998</c:v>
                </c:pt>
                <c:pt idx="498">
                  <c:v>5.6669999999999998</c:v>
                </c:pt>
                <c:pt idx="499">
                  <c:v>5.6669999999999998</c:v>
                </c:pt>
                <c:pt idx="500">
                  <c:v>5.6669999999999998</c:v>
                </c:pt>
                <c:pt idx="501">
                  <c:v>5.6669999999999998</c:v>
                </c:pt>
                <c:pt idx="502">
                  <c:v>5.5389999999999997</c:v>
                </c:pt>
                <c:pt idx="503">
                  <c:v>5.5389999999999997</c:v>
                </c:pt>
                <c:pt idx="504">
                  <c:v>5.5389999999999997</c:v>
                </c:pt>
                <c:pt idx="505">
                  <c:v>5.5389999999999997</c:v>
                </c:pt>
                <c:pt idx="506">
                  <c:v>5.5389999999999997</c:v>
                </c:pt>
                <c:pt idx="507">
                  <c:v>5.2770000000000001</c:v>
                </c:pt>
                <c:pt idx="508">
                  <c:v>5.2770000000000001</c:v>
                </c:pt>
                <c:pt idx="509">
                  <c:v>5.2770000000000001</c:v>
                </c:pt>
                <c:pt idx="510">
                  <c:v>5.2770000000000001</c:v>
                </c:pt>
                <c:pt idx="511">
                  <c:v>4.9539999999999997</c:v>
                </c:pt>
                <c:pt idx="512">
                  <c:v>4.9539999999999997</c:v>
                </c:pt>
                <c:pt idx="513">
                  <c:v>9.7650000000000006</c:v>
                </c:pt>
                <c:pt idx="514">
                  <c:v>9.7650000000000006</c:v>
                </c:pt>
                <c:pt idx="515">
                  <c:v>9.7650000000000006</c:v>
                </c:pt>
                <c:pt idx="516">
                  <c:v>9.7650000000000006</c:v>
                </c:pt>
                <c:pt idx="517">
                  <c:v>9.5239999999999991</c:v>
                </c:pt>
                <c:pt idx="518">
                  <c:v>9.5239999999999991</c:v>
                </c:pt>
                <c:pt idx="519">
                  <c:v>9.5239999999999991</c:v>
                </c:pt>
                <c:pt idx="520">
                  <c:v>9.5239999999999991</c:v>
                </c:pt>
                <c:pt idx="521">
                  <c:v>9.5239999999999991</c:v>
                </c:pt>
                <c:pt idx="522">
                  <c:v>9.1989999999999998</c:v>
                </c:pt>
                <c:pt idx="523">
                  <c:v>9.1989999999999998</c:v>
                </c:pt>
                <c:pt idx="524">
                  <c:v>9.1989999999999998</c:v>
                </c:pt>
                <c:pt idx="525">
                  <c:v>9.1989999999999998</c:v>
                </c:pt>
                <c:pt idx="526">
                  <c:v>9.1989999999999998</c:v>
                </c:pt>
                <c:pt idx="527">
                  <c:v>9.0030000000000001</c:v>
                </c:pt>
                <c:pt idx="528">
                  <c:v>9.0030000000000001</c:v>
                </c:pt>
                <c:pt idx="529">
                  <c:v>9.0030000000000001</c:v>
                </c:pt>
                <c:pt idx="530">
                  <c:v>9.0030000000000001</c:v>
                </c:pt>
                <c:pt idx="531">
                  <c:v>9.0030000000000001</c:v>
                </c:pt>
                <c:pt idx="532">
                  <c:v>9.0030000000000001</c:v>
                </c:pt>
                <c:pt idx="533">
                  <c:v>8.7439999999999998</c:v>
                </c:pt>
                <c:pt idx="534">
                  <c:v>8.7439999999999998</c:v>
                </c:pt>
                <c:pt idx="535">
                  <c:v>8.7439999999999998</c:v>
                </c:pt>
                <c:pt idx="536">
                  <c:v>8.7439999999999998</c:v>
                </c:pt>
                <c:pt idx="537">
                  <c:v>8.7439999999999998</c:v>
                </c:pt>
                <c:pt idx="538">
                  <c:v>8.4939999999999998</c:v>
                </c:pt>
                <c:pt idx="539">
                  <c:v>8.4939999999999998</c:v>
                </c:pt>
                <c:pt idx="540">
                  <c:v>8.4939999999999998</c:v>
                </c:pt>
                <c:pt idx="541">
                  <c:v>8.4939999999999998</c:v>
                </c:pt>
                <c:pt idx="542">
                  <c:v>8.4939999999999998</c:v>
                </c:pt>
                <c:pt idx="543">
                  <c:v>8.2569999999999997</c:v>
                </c:pt>
                <c:pt idx="544">
                  <c:v>8.2569999999999997</c:v>
                </c:pt>
                <c:pt idx="545">
                  <c:v>8.2569999999999997</c:v>
                </c:pt>
                <c:pt idx="546">
                  <c:v>8.2569999999999997</c:v>
                </c:pt>
                <c:pt idx="547">
                  <c:v>8.2569999999999997</c:v>
                </c:pt>
                <c:pt idx="548">
                  <c:v>8.2569999999999997</c:v>
                </c:pt>
                <c:pt idx="549">
                  <c:v>7.8739999999999997</c:v>
                </c:pt>
                <c:pt idx="550">
                  <c:v>7.8739999999999997</c:v>
                </c:pt>
                <c:pt idx="551">
                  <c:v>7.8739999999999997</c:v>
                </c:pt>
                <c:pt idx="552">
                  <c:v>7.8739999999999997</c:v>
                </c:pt>
                <c:pt idx="553">
                  <c:v>7.8739999999999997</c:v>
                </c:pt>
                <c:pt idx="554">
                  <c:v>7.5449999999999999</c:v>
                </c:pt>
                <c:pt idx="555">
                  <c:v>7.5449999999999999</c:v>
                </c:pt>
                <c:pt idx="556">
                  <c:v>7.5449999999999999</c:v>
                </c:pt>
                <c:pt idx="557">
                  <c:v>7.5449999999999999</c:v>
                </c:pt>
                <c:pt idx="558">
                  <c:v>7.5449999999999999</c:v>
                </c:pt>
                <c:pt idx="559">
                  <c:v>7.3819999999999997</c:v>
                </c:pt>
                <c:pt idx="560">
                  <c:v>7.3819999999999997</c:v>
                </c:pt>
                <c:pt idx="561">
                  <c:v>7.3819999999999997</c:v>
                </c:pt>
                <c:pt idx="562">
                  <c:v>7.3819999999999997</c:v>
                </c:pt>
                <c:pt idx="563">
                  <c:v>7.3819999999999997</c:v>
                </c:pt>
                <c:pt idx="564">
                  <c:v>7.17</c:v>
                </c:pt>
                <c:pt idx="565">
                  <c:v>7.17</c:v>
                </c:pt>
                <c:pt idx="566">
                  <c:v>7.17</c:v>
                </c:pt>
                <c:pt idx="567">
                  <c:v>7.17</c:v>
                </c:pt>
                <c:pt idx="568">
                  <c:v>6.9429999999999996</c:v>
                </c:pt>
                <c:pt idx="569">
                  <c:v>6.9429999999999996</c:v>
                </c:pt>
                <c:pt idx="570">
                  <c:v>7.3680000000000003</c:v>
                </c:pt>
                <c:pt idx="571">
                  <c:v>7.3680000000000003</c:v>
                </c:pt>
                <c:pt idx="572">
                  <c:v>7.3680000000000003</c:v>
                </c:pt>
                <c:pt idx="573">
                  <c:v>7.3680000000000003</c:v>
                </c:pt>
                <c:pt idx="574">
                  <c:v>7.343</c:v>
                </c:pt>
                <c:pt idx="575">
                  <c:v>7.343</c:v>
                </c:pt>
                <c:pt idx="576">
                  <c:v>7.343</c:v>
                </c:pt>
                <c:pt idx="577">
                  <c:v>7.343</c:v>
                </c:pt>
                <c:pt idx="578">
                  <c:v>7.343</c:v>
                </c:pt>
                <c:pt idx="579">
                  <c:v>7.3460000000000001</c:v>
                </c:pt>
                <c:pt idx="580">
                  <c:v>7.3460000000000001</c:v>
                </c:pt>
                <c:pt idx="581">
                  <c:v>7.3460000000000001</c:v>
                </c:pt>
                <c:pt idx="582">
                  <c:v>7.3460000000000001</c:v>
                </c:pt>
                <c:pt idx="583">
                  <c:v>7.3460000000000001</c:v>
                </c:pt>
                <c:pt idx="584">
                  <c:v>7.5640000000000001</c:v>
                </c:pt>
                <c:pt idx="585">
                  <c:v>7.5640000000000001</c:v>
                </c:pt>
                <c:pt idx="586">
                  <c:v>7.5640000000000001</c:v>
                </c:pt>
                <c:pt idx="587">
                  <c:v>7.5640000000000001</c:v>
                </c:pt>
                <c:pt idx="588">
                  <c:v>7.5640000000000001</c:v>
                </c:pt>
                <c:pt idx="589">
                  <c:v>7.5640000000000001</c:v>
                </c:pt>
                <c:pt idx="590">
                  <c:v>7.5510000000000002</c:v>
                </c:pt>
                <c:pt idx="591">
                  <c:v>7.5510000000000002</c:v>
                </c:pt>
                <c:pt idx="592">
                  <c:v>7.5510000000000002</c:v>
                </c:pt>
                <c:pt idx="593">
                  <c:v>7.5510000000000002</c:v>
                </c:pt>
                <c:pt idx="594">
                  <c:v>7.5510000000000002</c:v>
                </c:pt>
                <c:pt idx="595">
                  <c:v>7.5739999999999998</c:v>
                </c:pt>
                <c:pt idx="596">
                  <c:v>7.5739999999999998</c:v>
                </c:pt>
                <c:pt idx="597">
                  <c:v>7.5739999999999998</c:v>
                </c:pt>
                <c:pt idx="598">
                  <c:v>7.5739999999999998</c:v>
                </c:pt>
                <c:pt idx="599">
                  <c:v>7.5739999999999998</c:v>
                </c:pt>
                <c:pt idx="600">
                  <c:v>7.5670000000000002</c:v>
                </c:pt>
                <c:pt idx="601">
                  <c:v>7.5670000000000002</c:v>
                </c:pt>
                <c:pt idx="602">
                  <c:v>7.5670000000000002</c:v>
                </c:pt>
                <c:pt idx="603">
                  <c:v>7.5670000000000002</c:v>
                </c:pt>
                <c:pt idx="604">
                  <c:v>7.5670000000000002</c:v>
                </c:pt>
                <c:pt idx="605">
                  <c:v>7.5670000000000002</c:v>
                </c:pt>
                <c:pt idx="606">
                  <c:v>7.1970000000000001</c:v>
                </c:pt>
                <c:pt idx="607">
                  <c:v>7.1970000000000001</c:v>
                </c:pt>
                <c:pt idx="608">
                  <c:v>7.1970000000000001</c:v>
                </c:pt>
                <c:pt idx="609">
                  <c:v>7.1970000000000001</c:v>
                </c:pt>
                <c:pt idx="610">
                  <c:v>7.1970000000000001</c:v>
                </c:pt>
                <c:pt idx="611">
                  <c:v>6.8330000000000002</c:v>
                </c:pt>
                <c:pt idx="612">
                  <c:v>6.8330000000000002</c:v>
                </c:pt>
                <c:pt idx="613">
                  <c:v>6.8330000000000002</c:v>
                </c:pt>
                <c:pt idx="614">
                  <c:v>6.8330000000000002</c:v>
                </c:pt>
                <c:pt idx="615">
                  <c:v>6.8330000000000002</c:v>
                </c:pt>
                <c:pt idx="616">
                  <c:v>6.6639999999999997</c:v>
                </c:pt>
                <c:pt idx="617">
                  <c:v>6.6639999999999997</c:v>
                </c:pt>
                <c:pt idx="618">
                  <c:v>6.6639999999999997</c:v>
                </c:pt>
                <c:pt idx="619">
                  <c:v>6.6639999999999997</c:v>
                </c:pt>
                <c:pt idx="620">
                  <c:v>6.6639999999999997</c:v>
                </c:pt>
                <c:pt idx="621">
                  <c:v>6.3339999999999996</c:v>
                </c:pt>
                <c:pt idx="622">
                  <c:v>6.3339999999999996</c:v>
                </c:pt>
                <c:pt idx="623">
                  <c:v>6.3339999999999996</c:v>
                </c:pt>
                <c:pt idx="624">
                  <c:v>6.3339999999999996</c:v>
                </c:pt>
                <c:pt idx="625">
                  <c:v>6.0339999999999998</c:v>
                </c:pt>
                <c:pt idx="626">
                  <c:v>6.0339999999999998</c:v>
                </c:pt>
                <c:pt idx="627">
                  <c:v>13.975</c:v>
                </c:pt>
                <c:pt idx="628">
                  <c:v>13.975</c:v>
                </c:pt>
                <c:pt idx="629">
                  <c:v>13.975</c:v>
                </c:pt>
                <c:pt idx="630">
                  <c:v>13.975</c:v>
                </c:pt>
                <c:pt idx="631">
                  <c:v>14.099</c:v>
                </c:pt>
                <c:pt idx="632">
                  <c:v>14.099</c:v>
                </c:pt>
                <c:pt idx="633">
                  <c:v>14.099</c:v>
                </c:pt>
                <c:pt idx="634">
                  <c:v>14.099</c:v>
                </c:pt>
                <c:pt idx="635">
                  <c:v>14.099</c:v>
                </c:pt>
                <c:pt idx="636">
                  <c:v>14.18</c:v>
                </c:pt>
                <c:pt idx="637">
                  <c:v>14.18</c:v>
                </c:pt>
                <c:pt idx="638">
                  <c:v>14.18</c:v>
                </c:pt>
                <c:pt idx="639">
                  <c:v>14.18</c:v>
                </c:pt>
                <c:pt idx="640">
                  <c:v>14.18</c:v>
                </c:pt>
                <c:pt idx="641">
                  <c:v>14.313000000000001</c:v>
                </c:pt>
                <c:pt idx="642">
                  <c:v>14.313000000000001</c:v>
                </c:pt>
                <c:pt idx="643">
                  <c:v>14.313000000000001</c:v>
                </c:pt>
                <c:pt idx="644">
                  <c:v>14.313000000000001</c:v>
                </c:pt>
                <c:pt idx="645">
                  <c:v>14.313000000000001</c:v>
                </c:pt>
                <c:pt idx="646">
                  <c:v>14.313000000000001</c:v>
                </c:pt>
                <c:pt idx="647">
                  <c:v>14.021000000000001</c:v>
                </c:pt>
                <c:pt idx="648">
                  <c:v>14.021000000000001</c:v>
                </c:pt>
                <c:pt idx="649">
                  <c:v>14.021000000000001</c:v>
                </c:pt>
                <c:pt idx="650">
                  <c:v>14.021000000000001</c:v>
                </c:pt>
                <c:pt idx="651">
                  <c:v>14.021000000000001</c:v>
                </c:pt>
                <c:pt idx="652">
                  <c:v>13.736000000000001</c:v>
                </c:pt>
                <c:pt idx="653">
                  <c:v>13.736000000000001</c:v>
                </c:pt>
                <c:pt idx="654">
                  <c:v>13.736000000000001</c:v>
                </c:pt>
                <c:pt idx="655">
                  <c:v>13.736000000000001</c:v>
                </c:pt>
                <c:pt idx="656">
                  <c:v>13.736000000000001</c:v>
                </c:pt>
                <c:pt idx="657">
                  <c:v>13.503</c:v>
                </c:pt>
                <c:pt idx="658">
                  <c:v>13.503</c:v>
                </c:pt>
                <c:pt idx="659">
                  <c:v>13.503</c:v>
                </c:pt>
                <c:pt idx="660">
                  <c:v>13.503</c:v>
                </c:pt>
                <c:pt idx="661">
                  <c:v>13.503</c:v>
                </c:pt>
                <c:pt idx="662">
                  <c:v>13.503</c:v>
                </c:pt>
                <c:pt idx="663">
                  <c:v>12.89</c:v>
                </c:pt>
                <c:pt idx="664">
                  <c:v>12.89</c:v>
                </c:pt>
                <c:pt idx="665">
                  <c:v>12.89</c:v>
                </c:pt>
                <c:pt idx="666">
                  <c:v>12.89</c:v>
                </c:pt>
                <c:pt idx="667">
                  <c:v>12.89</c:v>
                </c:pt>
                <c:pt idx="668">
                  <c:v>12.186999999999999</c:v>
                </c:pt>
                <c:pt idx="669">
                  <c:v>12.186999999999999</c:v>
                </c:pt>
                <c:pt idx="670">
                  <c:v>12.186999999999999</c:v>
                </c:pt>
                <c:pt idx="671">
                  <c:v>12.186999999999999</c:v>
                </c:pt>
                <c:pt idx="672">
                  <c:v>12.186999999999999</c:v>
                </c:pt>
                <c:pt idx="673">
                  <c:v>11.627000000000001</c:v>
                </c:pt>
                <c:pt idx="674">
                  <c:v>11.627000000000001</c:v>
                </c:pt>
                <c:pt idx="675">
                  <c:v>11.627000000000001</c:v>
                </c:pt>
                <c:pt idx="676">
                  <c:v>11.627000000000001</c:v>
                </c:pt>
                <c:pt idx="677">
                  <c:v>11.627000000000001</c:v>
                </c:pt>
                <c:pt idx="678">
                  <c:v>10.926</c:v>
                </c:pt>
                <c:pt idx="679">
                  <c:v>10.926</c:v>
                </c:pt>
                <c:pt idx="680">
                  <c:v>10.926</c:v>
                </c:pt>
                <c:pt idx="681">
                  <c:v>10.926</c:v>
                </c:pt>
                <c:pt idx="682">
                  <c:v>10.199</c:v>
                </c:pt>
                <c:pt idx="683">
                  <c:v>10.199</c:v>
                </c:pt>
                <c:pt idx="684">
                  <c:v>8.3160000000000007</c:v>
                </c:pt>
                <c:pt idx="685">
                  <c:v>8.3160000000000007</c:v>
                </c:pt>
                <c:pt idx="686">
                  <c:v>8.3160000000000007</c:v>
                </c:pt>
                <c:pt idx="687">
                  <c:v>8.3160000000000007</c:v>
                </c:pt>
                <c:pt idx="688">
                  <c:v>8.1069999999999993</c:v>
                </c:pt>
                <c:pt idx="689">
                  <c:v>8.1069999999999993</c:v>
                </c:pt>
                <c:pt idx="690">
                  <c:v>8.1069999999999993</c:v>
                </c:pt>
                <c:pt idx="691">
                  <c:v>8.1069999999999993</c:v>
                </c:pt>
                <c:pt idx="692">
                  <c:v>8.1069999999999993</c:v>
                </c:pt>
                <c:pt idx="693">
                  <c:v>7.9509999999999996</c:v>
                </c:pt>
                <c:pt idx="694">
                  <c:v>7.9509999999999996</c:v>
                </c:pt>
                <c:pt idx="695">
                  <c:v>7.9509999999999996</c:v>
                </c:pt>
                <c:pt idx="696">
                  <c:v>7.9509999999999996</c:v>
                </c:pt>
                <c:pt idx="697">
                  <c:v>7.9509999999999996</c:v>
                </c:pt>
                <c:pt idx="698">
                  <c:v>7.7949999999999999</c:v>
                </c:pt>
                <c:pt idx="699">
                  <c:v>7.7949999999999999</c:v>
                </c:pt>
                <c:pt idx="700">
                  <c:v>7.7949999999999999</c:v>
                </c:pt>
                <c:pt idx="701">
                  <c:v>7.7949999999999999</c:v>
                </c:pt>
                <c:pt idx="702">
                  <c:v>7.7949999999999999</c:v>
                </c:pt>
                <c:pt idx="703">
                  <c:v>7.7949999999999999</c:v>
                </c:pt>
                <c:pt idx="704">
                  <c:v>7.47</c:v>
                </c:pt>
                <c:pt idx="705">
                  <c:v>7.47</c:v>
                </c:pt>
                <c:pt idx="706">
                  <c:v>7.47</c:v>
                </c:pt>
                <c:pt idx="707">
                  <c:v>7.47</c:v>
                </c:pt>
                <c:pt idx="708">
                  <c:v>7.47</c:v>
                </c:pt>
                <c:pt idx="709">
                  <c:v>7.1929999999999996</c:v>
                </c:pt>
                <c:pt idx="710">
                  <c:v>7.1929999999999996</c:v>
                </c:pt>
                <c:pt idx="711">
                  <c:v>7.1929999999999996</c:v>
                </c:pt>
                <c:pt idx="712">
                  <c:v>7.1929999999999996</c:v>
                </c:pt>
                <c:pt idx="713">
                  <c:v>7.1929999999999996</c:v>
                </c:pt>
                <c:pt idx="714">
                  <c:v>6.8769999999999998</c:v>
                </c:pt>
                <c:pt idx="715">
                  <c:v>6.8769999999999998</c:v>
                </c:pt>
                <c:pt idx="716">
                  <c:v>6.8769999999999998</c:v>
                </c:pt>
                <c:pt idx="717">
                  <c:v>6.8769999999999998</c:v>
                </c:pt>
                <c:pt idx="718">
                  <c:v>6.8769999999999998</c:v>
                </c:pt>
                <c:pt idx="719">
                  <c:v>6.8769999999999998</c:v>
                </c:pt>
                <c:pt idx="720">
                  <c:v>6.3920000000000003</c:v>
                </c:pt>
                <c:pt idx="721">
                  <c:v>6.3920000000000003</c:v>
                </c:pt>
                <c:pt idx="722">
                  <c:v>6.3920000000000003</c:v>
                </c:pt>
                <c:pt idx="723">
                  <c:v>6.3920000000000003</c:v>
                </c:pt>
                <c:pt idx="724">
                  <c:v>6.3920000000000003</c:v>
                </c:pt>
                <c:pt idx="725">
                  <c:v>6.1040000000000001</c:v>
                </c:pt>
                <c:pt idx="726">
                  <c:v>6.1040000000000001</c:v>
                </c:pt>
                <c:pt idx="727">
                  <c:v>6.1040000000000001</c:v>
                </c:pt>
                <c:pt idx="728">
                  <c:v>6.1040000000000001</c:v>
                </c:pt>
                <c:pt idx="729">
                  <c:v>6.1040000000000001</c:v>
                </c:pt>
                <c:pt idx="730">
                  <c:v>5.9649999999999999</c:v>
                </c:pt>
                <c:pt idx="731">
                  <c:v>5.9649999999999999</c:v>
                </c:pt>
                <c:pt idx="732">
                  <c:v>5.9649999999999999</c:v>
                </c:pt>
                <c:pt idx="733">
                  <c:v>5.9649999999999999</c:v>
                </c:pt>
                <c:pt idx="734">
                  <c:v>5.9649999999999999</c:v>
                </c:pt>
                <c:pt idx="735">
                  <c:v>5.7649999999999997</c:v>
                </c:pt>
                <c:pt idx="736">
                  <c:v>5.7649999999999997</c:v>
                </c:pt>
                <c:pt idx="737">
                  <c:v>5.7649999999999997</c:v>
                </c:pt>
                <c:pt idx="738">
                  <c:v>5.7649999999999997</c:v>
                </c:pt>
                <c:pt idx="739">
                  <c:v>5.6210000000000004</c:v>
                </c:pt>
                <c:pt idx="740">
                  <c:v>5.6210000000000004</c:v>
                </c:pt>
                <c:pt idx="741">
                  <c:v>8.9920000000000009</c:v>
                </c:pt>
                <c:pt idx="742">
                  <c:v>8.9920000000000009</c:v>
                </c:pt>
                <c:pt idx="743">
                  <c:v>8.9920000000000009</c:v>
                </c:pt>
                <c:pt idx="744">
                  <c:v>8.9920000000000009</c:v>
                </c:pt>
                <c:pt idx="745">
                  <c:v>8.8989999999999991</c:v>
                </c:pt>
                <c:pt idx="746">
                  <c:v>8.8989999999999991</c:v>
                </c:pt>
                <c:pt idx="747">
                  <c:v>8.8989999999999991</c:v>
                </c:pt>
                <c:pt idx="748">
                  <c:v>8.8989999999999991</c:v>
                </c:pt>
                <c:pt idx="749">
                  <c:v>8.8989999999999991</c:v>
                </c:pt>
                <c:pt idx="750">
                  <c:v>8.7430000000000003</c:v>
                </c:pt>
                <c:pt idx="751">
                  <c:v>8.7430000000000003</c:v>
                </c:pt>
                <c:pt idx="752">
                  <c:v>8.7430000000000003</c:v>
                </c:pt>
                <c:pt idx="753">
                  <c:v>8.7430000000000003</c:v>
                </c:pt>
                <c:pt idx="754">
                  <c:v>8.7430000000000003</c:v>
                </c:pt>
                <c:pt idx="755">
                  <c:v>8.7240000000000002</c:v>
                </c:pt>
                <c:pt idx="756">
                  <c:v>8.7240000000000002</c:v>
                </c:pt>
                <c:pt idx="757">
                  <c:v>8.7240000000000002</c:v>
                </c:pt>
                <c:pt idx="758">
                  <c:v>8.7240000000000002</c:v>
                </c:pt>
                <c:pt idx="759">
                  <c:v>8.7240000000000002</c:v>
                </c:pt>
                <c:pt idx="760">
                  <c:v>8.7240000000000002</c:v>
                </c:pt>
                <c:pt idx="761">
                  <c:v>8.5489999999999995</c:v>
                </c:pt>
                <c:pt idx="762">
                  <c:v>8.5489999999999995</c:v>
                </c:pt>
                <c:pt idx="763">
                  <c:v>8.5489999999999995</c:v>
                </c:pt>
                <c:pt idx="764">
                  <c:v>8.5489999999999995</c:v>
                </c:pt>
                <c:pt idx="765">
                  <c:v>8.5489999999999995</c:v>
                </c:pt>
                <c:pt idx="766">
                  <c:v>8.5210000000000008</c:v>
                </c:pt>
                <c:pt idx="767">
                  <c:v>8.5210000000000008</c:v>
                </c:pt>
                <c:pt idx="768">
                  <c:v>8.5210000000000008</c:v>
                </c:pt>
                <c:pt idx="769">
                  <c:v>8.5210000000000008</c:v>
                </c:pt>
                <c:pt idx="770">
                  <c:v>8.5210000000000008</c:v>
                </c:pt>
                <c:pt idx="771">
                  <c:v>8.625</c:v>
                </c:pt>
                <c:pt idx="772">
                  <c:v>8.625</c:v>
                </c:pt>
                <c:pt idx="773">
                  <c:v>8.625</c:v>
                </c:pt>
                <c:pt idx="774">
                  <c:v>8.625</c:v>
                </c:pt>
                <c:pt idx="775">
                  <c:v>8.625</c:v>
                </c:pt>
                <c:pt idx="776">
                  <c:v>8.625</c:v>
                </c:pt>
                <c:pt idx="777">
                  <c:v>8.5229999999999997</c:v>
                </c:pt>
                <c:pt idx="778">
                  <c:v>8.5229999999999997</c:v>
                </c:pt>
                <c:pt idx="779">
                  <c:v>8.5229999999999997</c:v>
                </c:pt>
                <c:pt idx="780">
                  <c:v>8.5229999999999997</c:v>
                </c:pt>
                <c:pt idx="781">
                  <c:v>8.5229999999999997</c:v>
                </c:pt>
                <c:pt idx="782">
                  <c:v>8.4239999999999995</c:v>
                </c:pt>
                <c:pt idx="783">
                  <c:v>8.4239999999999995</c:v>
                </c:pt>
                <c:pt idx="784">
                  <c:v>8.4239999999999995</c:v>
                </c:pt>
                <c:pt idx="785">
                  <c:v>8.4239999999999995</c:v>
                </c:pt>
                <c:pt idx="786">
                  <c:v>8.4239999999999995</c:v>
                </c:pt>
                <c:pt idx="787">
                  <c:v>8.5670000000000002</c:v>
                </c:pt>
                <c:pt idx="788">
                  <c:v>8.5670000000000002</c:v>
                </c:pt>
                <c:pt idx="789">
                  <c:v>8.5670000000000002</c:v>
                </c:pt>
                <c:pt idx="790">
                  <c:v>8.5670000000000002</c:v>
                </c:pt>
                <c:pt idx="791">
                  <c:v>8.5670000000000002</c:v>
                </c:pt>
                <c:pt idx="792">
                  <c:v>8.6839999999999993</c:v>
                </c:pt>
                <c:pt idx="793">
                  <c:v>8.6839999999999993</c:v>
                </c:pt>
                <c:pt idx="794">
                  <c:v>8.6839999999999993</c:v>
                </c:pt>
                <c:pt idx="795">
                  <c:v>8.6839999999999993</c:v>
                </c:pt>
                <c:pt idx="796">
                  <c:v>8.6669999999999998</c:v>
                </c:pt>
                <c:pt idx="797">
                  <c:v>8.6669999999999998</c:v>
                </c:pt>
                <c:pt idx="798">
                  <c:v>8.35</c:v>
                </c:pt>
                <c:pt idx="799">
                  <c:v>8.35</c:v>
                </c:pt>
                <c:pt idx="800">
                  <c:v>8.35</c:v>
                </c:pt>
                <c:pt idx="801">
                  <c:v>8.35</c:v>
                </c:pt>
                <c:pt idx="802">
                  <c:v>8.1850000000000005</c:v>
                </c:pt>
                <c:pt idx="803">
                  <c:v>8.1850000000000005</c:v>
                </c:pt>
                <c:pt idx="804">
                  <c:v>8.1850000000000005</c:v>
                </c:pt>
                <c:pt idx="805">
                  <c:v>8.1850000000000005</c:v>
                </c:pt>
                <c:pt idx="806">
                  <c:v>8.1850000000000005</c:v>
                </c:pt>
                <c:pt idx="807">
                  <c:v>8.0990000000000002</c:v>
                </c:pt>
                <c:pt idx="808">
                  <c:v>8.0990000000000002</c:v>
                </c:pt>
                <c:pt idx="809">
                  <c:v>8.0990000000000002</c:v>
                </c:pt>
                <c:pt idx="810">
                  <c:v>8.0990000000000002</c:v>
                </c:pt>
                <c:pt idx="811">
                  <c:v>8.0990000000000002</c:v>
                </c:pt>
                <c:pt idx="812">
                  <c:v>8.0670000000000002</c:v>
                </c:pt>
                <c:pt idx="813">
                  <c:v>8.0670000000000002</c:v>
                </c:pt>
                <c:pt idx="814">
                  <c:v>8.0670000000000002</c:v>
                </c:pt>
                <c:pt idx="815">
                  <c:v>8.0670000000000002</c:v>
                </c:pt>
                <c:pt idx="816">
                  <c:v>8.0670000000000002</c:v>
                </c:pt>
                <c:pt idx="817">
                  <c:v>8.0670000000000002</c:v>
                </c:pt>
                <c:pt idx="818">
                  <c:v>7.7709999999999999</c:v>
                </c:pt>
                <c:pt idx="819">
                  <c:v>7.7709999999999999</c:v>
                </c:pt>
                <c:pt idx="820">
                  <c:v>7.7709999999999999</c:v>
                </c:pt>
                <c:pt idx="821">
                  <c:v>7.7709999999999999</c:v>
                </c:pt>
                <c:pt idx="822">
                  <c:v>7.7709999999999999</c:v>
                </c:pt>
                <c:pt idx="823">
                  <c:v>7.6580000000000004</c:v>
                </c:pt>
                <c:pt idx="824">
                  <c:v>7.6580000000000004</c:v>
                </c:pt>
                <c:pt idx="825">
                  <c:v>7.6580000000000004</c:v>
                </c:pt>
                <c:pt idx="826">
                  <c:v>7.6580000000000004</c:v>
                </c:pt>
                <c:pt idx="827">
                  <c:v>7.6580000000000004</c:v>
                </c:pt>
                <c:pt idx="828">
                  <c:v>7.806</c:v>
                </c:pt>
                <c:pt idx="829">
                  <c:v>7.806</c:v>
                </c:pt>
                <c:pt idx="830">
                  <c:v>7.806</c:v>
                </c:pt>
                <c:pt idx="831">
                  <c:v>7.806</c:v>
                </c:pt>
                <c:pt idx="832">
                  <c:v>7.806</c:v>
                </c:pt>
                <c:pt idx="833">
                  <c:v>7.806</c:v>
                </c:pt>
                <c:pt idx="834">
                  <c:v>7.8659999999999997</c:v>
                </c:pt>
                <c:pt idx="835">
                  <c:v>7.8659999999999997</c:v>
                </c:pt>
                <c:pt idx="836">
                  <c:v>7.8659999999999997</c:v>
                </c:pt>
                <c:pt idx="837">
                  <c:v>7.8659999999999997</c:v>
                </c:pt>
                <c:pt idx="838">
                  <c:v>7.8659999999999997</c:v>
                </c:pt>
                <c:pt idx="839">
                  <c:v>7.9429999999999996</c:v>
                </c:pt>
                <c:pt idx="840">
                  <c:v>7.9429999999999996</c:v>
                </c:pt>
                <c:pt idx="841">
                  <c:v>7.9429999999999996</c:v>
                </c:pt>
                <c:pt idx="842">
                  <c:v>7.9429999999999996</c:v>
                </c:pt>
                <c:pt idx="843">
                  <c:v>7.9429999999999996</c:v>
                </c:pt>
                <c:pt idx="844">
                  <c:v>8.15</c:v>
                </c:pt>
                <c:pt idx="845">
                  <c:v>8.15</c:v>
                </c:pt>
                <c:pt idx="846">
                  <c:v>8.15</c:v>
                </c:pt>
                <c:pt idx="847">
                  <c:v>8.15</c:v>
                </c:pt>
                <c:pt idx="848">
                  <c:v>8.15</c:v>
                </c:pt>
                <c:pt idx="849">
                  <c:v>8.1929999999999996</c:v>
                </c:pt>
                <c:pt idx="850">
                  <c:v>8.1929999999999996</c:v>
                </c:pt>
                <c:pt idx="851">
                  <c:v>8.1929999999999996</c:v>
                </c:pt>
                <c:pt idx="852">
                  <c:v>8.1929999999999996</c:v>
                </c:pt>
                <c:pt idx="853">
                  <c:v>7.992</c:v>
                </c:pt>
                <c:pt idx="854">
                  <c:v>7.992</c:v>
                </c:pt>
                <c:pt idx="855">
                  <c:v>7.0389999999999997</c:v>
                </c:pt>
                <c:pt idx="856">
                  <c:v>7.0389999999999997</c:v>
                </c:pt>
                <c:pt idx="857">
                  <c:v>7.0389999999999997</c:v>
                </c:pt>
                <c:pt idx="858">
                  <c:v>7.0389999999999997</c:v>
                </c:pt>
                <c:pt idx="859">
                  <c:v>6.8419999999999996</c:v>
                </c:pt>
                <c:pt idx="860">
                  <c:v>6.8419999999999996</c:v>
                </c:pt>
                <c:pt idx="861">
                  <c:v>6.8419999999999996</c:v>
                </c:pt>
                <c:pt idx="862">
                  <c:v>6.8419999999999996</c:v>
                </c:pt>
                <c:pt idx="863">
                  <c:v>6.8419999999999996</c:v>
                </c:pt>
                <c:pt idx="864">
                  <c:v>6.8680000000000003</c:v>
                </c:pt>
                <c:pt idx="865">
                  <c:v>6.8680000000000003</c:v>
                </c:pt>
                <c:pt idx="866">
                  <c:v>6.8680000000000003</c:v>
                </c:pt>
                <c:pt idx="867">
                  <c:v>6.8680000000000003</c:v>
                </c:pt>
                <c:pt idx="868">
                  <c:v>6.8680000000000003</c:v>
                </c:pt>
                <c:pt idx="869">
                  <c:v>6.9859999999999998</c:v>
                </c:pt>
                <c:pt idx="870">
                  <c:v>6.9859999999999998</c:v>
                </c:pt>
                <c:pt idx="871">
                  <c:v>6.9859999999999998</c:v>
                </c:pt>
                <c:pt idx="872">
                  <c:v>6.9859999999999998</c:v>
                </c:pt>
                <c:pt idx="873">
                  <c:v>6.9859999999999998</c:v>
                </c:pt>
                <c:pt idx="874">
                  <c:v>6.9859999999999998</c:v>
                </c:pt>
                <c:pt idx="875">
                  <c:v>6.6139999999999999</c:v>
                </c:pt>
                <c:pt idx="876">
                  <c:v>6.6139999999999999</c:v>
                </c:pt>
                <c:pt idx="877">
                  <c:v>6.6139999999999999</c:v>
                </c:pt>
                <c:pt idx="878">
                  <c:v>6.6139999999999999</c:v>
                </c:pt>
                <c:pt idx="879">
                  <c:v>6.6139999999999999</c:v>
                </c:pt>
                <c:pt idx="880">
                  <c:v>6.3390000000000004</c:v>
                </c:pt>
                <c:pt idx="881">
                  <c:v>6.3390000000000004</c:v>
                </c:pt>
                <c:pt idx="882">
                  <c:v>6.3390000000000004</c:v>
                </c:pt>
                <c:pt idx="883">
                  <c:v>6.3390000000000004</c:v>
                </c:pt>
                <c:pt idx="884">
                  <c:v>6.3390000000000004</c:v>
                </c:pt>
                <c:pt idx="885">
                  <c:v>6.3380000000000001</c:v>
                </c:pt>
                <c:pt idx="886">
                  <c:v>6.3380000000000001</c:v>
                </c:pt>
                <c:pt idx="887">
                  <c:v>6.3380000000000001</c:v>
                </c:pt>
                <c:pt idx="888">
                  <c:v>6.3380000000000001</c:v>
                </c:pt>
                <c:pt idx="889">
                  <c:v>6.3380000000000001</c:v>
                </c:pt>
                <c:pt idx="890">
                  <c:v>6.3380000000000001</c:v>
                </c:pt>
                <c:pt idx="891">
                  <c:v>6.2320000000000002</c:v>
                </c:pt>
                <c:pt idx="892">
                  <c:v>6.2320000000000002</c:v>
                </c:pt>
                <c:pt idx="893">
                  <c:v>6.2320000000000002</c:v>
                </c:pt>
                <c:pt idx="894">
                  <c:v>6.2320000000000002</c:v>
                </c:pt>
                <c:pt idx="895">
                  <c:v>6.2320000000000002</c:v>
                </c:pt>
                <c:pt idx="896">
                  <c:v>6.1619999999999999</c:v>
                </c:pt>
                <c:pt idx="897">
                  <c:v>6.1619999999999999</c:v>
                </c:pt>
                <c:pt idx="898">
                  <c:v>6.1619999999999999</c:v>
                </c:pt>
                <c:pt idx="899">
                  <c:v>6.1619999999999999</c:v>
                </c:pt>
                <c:pt idx="900">
                  <c:v>6.1619999999999999</c:v>
                </c:pt>
                <c:pt idx="901">
                  <c:v>6.1689999999999996</c:v>
                </c:pt>
                <c:pt idx="902">
                  <c:v>6.1689999999999996</c:v>
                </c:pt>
                <c:pt idx="903">
                  <c:v>6.1689999999999996</c:v>
                </c:pt>
                <c:pt idx="904">
                  <c:v>6.1689999999999996</c:v>
                </c:pt>
                <c:pt idx="905">
                  <c:v>6.1689999999999996</c:v>
                </c:pt>
                <c:pt idx="906">
                  <c:v>6.0609999999999999</c:v>
                </c:pt>
                <c:pt idx="907">
                  <c:v>6.0609999999999999</c:v>
                </c:pt>
                <c:pt idx="908">
                  <c:v>6.0609999999999999</c:v>
                </c:pt>
                <c:pt idx="909">
                  <c:v>6.0609999999999999</c:v>
                </c:pt>
                <c:pt idx="910">
                  <c:v>5.8470000000000004</c:v>
                </c:pt>
                <c:pt idx="911">
                  <c:v>5.8470000000000004</c:v>
                </c:pt>
                <c:pt idx="912">
                  <c:v>6.548</c:v>
                </c:pt>
                <c:pt idx="913">
                  <c:v>6.548</c:v>
                </c:pt>
                <c:pt idx="914">
                  <c:v>6.548</c:v>
                </c:pt>
                <c:pt idx="915">
                  <c:v>6.548</c:v>
                </c:pt>
                <c:pt idx="916">
                  <c:v>6.6349999999999998</c:v>
                </c:pt>
                <c:pt idx="917">
                  <c:v>6.6349999999999998</c:v>
                </c:pt>
                <c:pt idx="918">
                  <c:v>6.6349999999999998</c:v>
                </c:pt>
                <c:pt idx="919">
                  <c:v>6.6349999999999998</c:v>
                </c:pt>
                <c:pt idx="920">
                  <c:v>6.6349999999999998</c:v>
                </c:pt>
                <c:pt idx="921">
                  <c:v>6.6970000000000001</c:v>
                </c:pt>
                <c:pt idx="922">
                  <c:v>6.6970000000000001</c:v>
                </c:pt>
                <c:pt idx="923">
                  <c:v>6.6970000000000001</c:v>
                </c:pt>
                <c:pt idx="924">
                  <c:v>6.6970000000000001</c:v>
                </c:pt>
                <c:pt idx="925">
                  <c:v>6.6970000000000001</c:v>
                </c:pt>
                <c:pt idx="926">
                  <c:v>6.8849999999999998</c:v>
                </c:pt>
                <c:pt idx="927">
                  <c:v>6.8849999999999998</c:v>
                </c:pt>
                <c:pt idx="928">
                  <c:v>6.8849999999999998</c:v>
                </c:pt>
                <c:pt idx="929">
                  <c:v>6.8849999999999998</c:v>
                </c:pt>
                <c:pt idx="930">
                  <c:v>6.8849999999999998</c:v>
                </c:pt>
                <c:pt idx="931">
                  <c:v>6.8849999999999998</c:v>
                </c:pt>
                <c:pt idx="932">
                  <c:v>6.8659999999999997</c:v>
                </c:pt>
                <c:pt idx="933">
                  <c:v>6.8659999999999997</c:v>
                </c:pt>
                <c:pt idx="934">
                  <c:v>6.8659999999999997</c:v>
                </c:pt>
                <c:pt idx="935">
                  <c:v>6.8659999999999997</c:v>
                </c:pt>
                <c:pt idx="936">
                  <c:v>6.8659999999999997</c:v>
                </c:pt>
                <c:pt idx="937">
                  <c:v>6.774</c:v>
                </c:pt>
                <c:pt idx="938">
                  <c:v>6.774</c:v>
                </c:pt>
                <c:pt idx="939">
                  <c:v>6.774</c:v>
                </c:pt>
                <c:pt idx="940">
                  <c:v>6.774</c:v>
                </c:pt>
                <c:pt idx="941">
                  <c:v>6.774</c:v>
                </c:pt>
                <c:pt idx="942">
                  <c:v>6.7450000000000001</c:v>
                </c:pt>
                <c:pt idx="943">
                  <c:v>6.7450000000000001</c:v>
                </c:pt>
                <c:pt idx="944">
                  <c:v>6.7450000000000001</c:v>
                </c:pt>
                <c:pt idx="945">
                  <c:v>6.7450000000000001</c:v>
                </c:pt>
                <c:pt idx="946">
                  <c:v>6.7450000000000001</c:v>
                </c:pt>
                <c:pt idx="947">
                  <c:v>6.7450000000000001</c:v>
                </c:pt>
                <c:pt idx="948">
                  <c:v>6.617</c:v>
                </c:pt>
                <c:pt idx="949">
                  <c:v>6.617</c:v>
                </c:pt>
                <c:pt idx="950">
                  <c:v>6.617</c:v>
                </c:pt>
                <c:pt idx="951">
                  <c:v>6.617</c:v>
                </c:pt>
                <c:pt idx="952">
                  <c:v>6.617</c:v>
                </c:pt>
                <c:pt idx="953">
                  <c:v>6.4029999999999996</c:v>
                </c:pt>
                <c:pt idx="954">
                  <c:v>6.4029999999999996</c:v>
                </c:pt>
                <c:pt idx="955">
                  <c:v>6.4029999999999996</c:v>
                </c:pt>
                <c:pt idx="956">
                  <c:v>6.4029999999999996</c:v>
                </c:pt>
                <c:pt idx="957">
                  <c:v>6.4029999999999996</c:v>
                </c:pt>
                <c:pt idx="958">
                  <c:v>6.2350000000000003</c:v>
                </c:pt>
                <c:pt idx="959">
                  <c:v>6.2350000000000003</c:v>
                </c:pt>
                <c:pt idx="960">
                  <c:v>6.2350000000000003</c:v>
                </c:pt>
                <c:pt idx="961">
                  <c:v>6.2350000000000003</c:v>
                </c:pt>
                <c:pt idx="962">
                  <c:v>6.2350000000000003</c:v>
                </c:pt>
                <c:pt idx="963">
                  <c:v>5.9359999999999999</c:v>
                </c:pt>
                <c:pt idx="964">
                  <c:v>5.9359999999999999</c:v>
                </c:pt>
                <c:pt idx="965">
                  <c:v>5.9359999999999999</c:v>
                </c:pt>
                <c:pt idx="966">
                  <c:v>5.9359999999999999</c:v>
                </c:pt>
                <c:pt idx="967">
                  <c:v>5.5270000000000001</c:v>
                </c:pt>
                <c:pt idx="968">
                  <c:v>5.5270000000000001</c:v>
                </c:pt>
                <c:pt idx="969">
                  <c:v>9.202</c:v>
                </c:pt>
                <c:pt idx="970">
                  <c:v>9.202</c:v>
                </c:pt>
                <c:pt idx="971">
                  <c:v>9.202</c:v>
                </c:pt>
                <c:pt idx="972">
                  <c:v>9.202</c:v>
                </c:pt>
                <c:pt idx="973">
                  <c:v>9.2690000000000001</c:v>
                </c:pt>
                <c:pt idx="974">
                  <c:v>9.2690000000000001</c:v>
                </c:pt>
                <c:pt idx="975">
                  <c:v>9.2690000000000001</c:v>
                </c:pt>
                <c:pt idx="976">
                  <c:v>9.2690000000000001</c:v>
                </c:pt>
                <c:pt idx="977">
                  <c:v>9.2690000000000001</c:v>
                </c:pt>
                <c:pt idx="978">
                  <c:v>9.3420000000000005</c:v>
                </c:pt>
                <c:pt idx="979">
                  <c:v>9.3420000000000005</c:v>
                </c:pt>
                <c:pt idx="980">
                  <c:v>9.3420000000000005</c:v>
                </c:pt>
                <c:pt idx="981">
                  <c:v>9.3420000000000005</c:v>
                </c:pt>
                <c:pt idx="982">
                  <c:v>9.3420000000000005</c:v>
                </c:pt>
                <c:pt idx="983">
                  <c:v>9.3309999999999995</c:v>
                </c:pt>
                <c:pt idx="984">
                  <c:v>9.3309999999999995</c:v>
                </c:pt>
                <c:pt idx="985">
                  <c:v>9.3309999999999995</c:v>
                </c:pt>
                <c:pt idx="986">
                  <c:v>9.3309999999999995</c:v>
                </c:pt>
                <c:pt idx="987">
                  <c:v>9.3309999999999995</c:v>
                </c:pt>
                <c:pt idx="988">
                  <c:v>9.3309999999999995</c:v>
                </c:pt>
                <c:pt idx="989">
                  <c:v>9.1310000000000002</c:v>
                </c:pt>
                <c:pt idx="990">
                  <c:v>9.1310000000000002</c:v>
                </c:pt>
                <c:pt idx="991">
                  <c:v>9.1310000000000002</c:v>
                </c:pt>
                <c:pt idx="992">
                  <c:v>9.1310000000000002</c:v>
                </c:pt>
                <c:pt idx="993">
                  <c:v>9.1310000000000002</c:v>
                </c:pt>
                <c:pt idx="994">
                  <c:v>8.9749999999999996</c:v>
                </c:pt>
                <c:pt idx="995">
                  <c:v>8.9749999999999996</c:v>
                </c:pt>
                <c:pt idx="996">
                  <c:v>8.9749999999999996</c:v>
                </c:pt>
                <c:pt idx="997">
                  <c:v>8.9749999999999996</c:v>
                </c:pt>
                <c:pt idx="998">
                  <c:v>8.9749999999999996</c:v>
                </c:pt>
                <c:pt idx="999">
                  <c:v>8.89</c:v>
                </c:pt>
                <c:pt idx="1000">
                  <c:v>8.89</c:v>
                </c:pt>
                <c:pt idx="1001">
                  <c:v>8.89</c:v>
                </c:pt>
                <c:pt idx="1002">
                  <c:v>8.89</c:v>
                </c:pt>
                <c:pt idx="1003">
                  <c:v>8.89</c:v>
                </c:pt>
                <c:pt idx="1004">
                  <c:v>8.89</c:v>
                </c:pt>
                <c:pt idx="1005">
                  <c:v>8.4710000000000001</c:v>
                </c:pt>
                <c:pt idx="1006">
                  <c:v>8.4710000000000001</c:v>
                </c:pt>
                <c:pt idx="1007">
                  <c:v>8.4710000000000001</c:v>
                </c:pt>
                <c:pt idx="1008">
                  <c:v>8.4710000000000001</c:v>
                </c:pt>
                <c:pt idx="1009">
                  <c:v>8.4710000000000001</c:v>
                </c:pt>
                <c:pt idx="1010">
                  <c:v>8.0749999999999993</c:v>
                </c:pt>
                <c:pt idx="1011">
                  <c:v>8.0749999999999993</c:v>
                </c:pt>
                <c:pt idx="1012">
                  <c:v>8.0749999999999993</c:v>
                </c:pt>
                <c:pt idx="1013">
                  <c:v>8.0749999999999993</c:v>
                </c:pt>
                <c:pt idx="1014">
                  <c:v>8.0749999999999993</c:v>
                </c:pt>
                <c:pt idx="1015">
                  <c:v>8.3040000000000003</c:v>
                </c:pt>
                <c:pt idx="1016">
                  <c:v>8.3040000000000003</c:v>
                </c:pt>
                <c:pt idx="1017">
                  <c:v>8.3040000000000003</c:v>
                </c:pt>
                <c:pt idx="1018">
                  <c:v>8.3040000000000003</c:v>
                </c:pt>
                <c:pt idx="1019">
                  <c:v>8.3040000000000003</c:v>
                </c:pt>
                <c:pt idx="1020">
                  <c:v>8.5350000000000001</c:v>
                </c:pt>
                <c:pt idx="1021">
                  <c:v>8.5350000000000001</c:v>
                </c:pt>
                <c:pt idx="1022">
                  <c:v>8.5350000000000001</c:v>
                </c:pt>
                <c:pt idx="1023">
                  <c:v>8.5350000000000001</c:v>
                </c:pt>
                <c:pt idx="1024">
                  <c:v>8.2430000000000003</c:v>
                </c:pt>
                <c:pt idx="1025">
                  <c:v>8.2430000000000003</c:v>
                </c:pt>
                <c:pt idx="1026">
                  <c:v>8.35</c:v>
                </c:pt>
                <c:pt idx="1027">
                  <c:v>8.35</c:v>
                </c:pt>
                <c:pt idx="1028">
                  <c:v>8.35</c:v>
                </c:pt>
                <c:pt idx="1029">
                  <c:v>8.35</c:v>
                </c:pt>
                <c:pt idx="1030">
                  <c:v>8.1850000000000005</c:v>
                </c:pt>
                <c:pt idx="1031">
                  <c:v>8.1850000000000005</c:v>
                </c:pt>
                <c:pt idx="1032">
                  <c:v>8.1850000000000005</c:v>
                </c:pt>
                <c:pt idx="1033">
                  <c:v>8.1850000000000005</c:v>
                </c:pt>
                <c:pt idx="1034">
                  <c:v>8.1850000000000005</c:v>
                </c:pt>
                <c:pt idx="1035">
                  <c:v>8.0990000000000002</c:v>
                </c:pt>
                <c:pt idx="1036">
                  <c:v>8.0990000000000002</c:v>
                </c:pt>
                <c:pt idx="1037">
                  <c:v>8.0990000000000002</c:v>
                </c:pt>
                <c:pt idx="1038">
                  <c:v>8.0990000000000002</c:v>
                </c:pt>
                <c:pt idx="1039">
                  <c:v>8.0990000000000002</c:v>
                </c:pt>
                <c:pt idx="1040">
                  <c:v>8.0670000000000002</c:v>
                </c:pt>
                <c:pt idx="1041">
                  <c:v>8.0670000000000002</c:v>
                </c:pt>
                <c:pt idx="1042">
                  <c:v>8.0670000000000002</c:v>
                </c:pt>
                <c:pt idx="1043">
                  <c:v>8.0670000000000002</c:v>
                </c:pt>
                <c:pt idx="1044">
                  <c:v>8.0670000000000002</c:v>
                </c:pt>
                <c:pt idx="1045">
                  <c:v>8.0670000000000002</c:v>
                </c:pt>
                <c:pt idx="1046">
                  <c:v>7.7709999999999999</c:v>
                </c:pt>
                <c:pt idx="1047">
                  <c:v>7.7709999999999999</c:v>
                </c:pt>
                <c:pt idx="1048">
                  <c:v>7.7709999999999999</c:v>
                </c:pt>
                <c:pt idx="1049">
                  <c:v>7.7709999999999999</c:v>
                </c:pt>
                <c:pt idx="1050">
                  <c:v>7.7709999999999999</c:v>
                </c:pt>
                <c:pt idx="1051">
                  <c:v>7.6580000000000004</c:v>
                </c:pt>
                <c:pt idx="1052">
                  <c:v>7.6580000000000004</c:v>
                </c:pt>
                <c:pt idx="1053">
                  <c:v>7.6580000000000004</c:v>
                </c:pt>
                <c:pt idx="1054">
                  <c:v>7.6580000000000004</c:v>
                </c:pt>
                <c:pt idx="1055">
                  <c:v>7.6580000000000004</c:v>
                </c:pt>
                <c:pt idx="1056">
                  <c:v>7.806</c:v>
                </c:pt>
                <c:pt idx="1057">
                  <c:v>7.806</c:v>
                </c:pt>
                <c:pt idx="1058">
                  <c:v>7.806</c:v>
                </c:pt>
                <c:pt idx="1059">
                  <c:v>7.806</c:v>
                </c:pt>
                <c:pt idx="1060">
                  <c:v>7.806</c:v>
                </c:pt>
                <c:pt idx="1061">
                  <c:v>7.806</c:v>
                </c:pt>
                <c:pt idx="1062">
                  <c:v>7.8659999999999997</c:v>
                </c:pt>
                <c:pt idx="1063">
                  <c:v>7.8659999999999997</c:v>
                </c:pt>
                <c:pt idx="1064">
                  <c:v>7.8659999999999997</c:v>
                </c:pt>
                <c:pt idx="1065">
                  <c:v>7.8659999999999997</c:v>
                </c:pt>
                <c:pt idx="1066">
                  <c:v>7.8659999999999997</c:v>
                </c:pt>
                <c:pt idx="1067">
                  <c:v>7.9429999999999996</c:v>
                </c:pt>
                <c:pt idx="1068">
                  <c:v>7.9429999999999996</c:v>
                </c:pt>
                <c:pt idx="1069">
                  <c:v>7.9429999999999996</c:v>
                </c:pt>
                <c:pt idx="1070">
                  <c:v>7.9429999999999996</c:v>
                </c:pt>
                <c:pt idx="1071">
                  <c:v>7.9429999999999996</c:v>
                </c:pt>
                <c:pt idx="1072">
                  <c:v>8.15</c:v>
                </c:pt>
                <c:pt idx="1073">
                  <c:v>8.15</c:v>
                </c:pt>
                <c:pt idx="1074">
                  <c:v>8.15</c:v>
                </c:pt>
                <c:pt idx="1075">
                  <c:v>8.15</c:v>
                </c:pt>
                <c:pt idx="1076">
                  <c:v>8.15</c:v>
                </c:pt>
                <c:pt idx="1077">
                  <c:v>8.1929999999999996</c:v>
                </c:pt>
                <c:pt idx="1078">
                  <c:v>8.1929999999999996</c:v>
                </c:pt>
                <c:pt idx="1079">
                  <c:v>8.1929999999999996</c:v>
                </c:pt>
                <c:pt idx="1080">
                  <c:v>8.1929999999999996</c:v>
                </c:pt>
                <c:pt idx="1081">
                  <c:v>7.992</c:v>
                </c:pt>
                <c:pt idx="1082">
                  <c:v>7.992</c:v>
                </c:pt>
                <c:pt idx="1083">
                  <c:v>8.1869999999999994</c:v>
                </c:pt>
                <c:pt idx="1084">
                  <c:v>8.1869999999999994</c:v>
                </c:pt>
                <c:pt idx="1085">
                  <c:v>8.1869999999999994</c:v>
                </c:pt>
                <c:pt idx="1086">
                  <c:v>8.1869999999999994</c:v>
                </c:pt>
                <c:pt idx="1087">
                  <c:v>7.8559999999999999</c:v>
                </c:pt>
                <c:pt idx="1088">
                  <c:v>7.8559999999999999</c:v>
                </c:pt>
                <c:pt idx="1089">
                  <c:v>7.8559999999999999</c:v>
                </c:pt>
                <c:pt idx="1090">
                  <c:v>7.8559999999999999</c:v>
                </c:pt>
                <c:pt idx="1091">
                  <c:v>7.8559999999999999</c:v>
                </c:pt>
                <c:pt idx="1092">
                  <c:v>7.5270000000000001</c:v>
                </c:pt>
                <c:pt idx="1093">
                  <c:v>7.5270000000000001</c:v>
                </c:pt>
                <c:pt idx="1094">
                  <c:v>7.5270000000000001</c:v>
                </c:pt>
                <c:pt idx="1095">
                  <c:v>7.5270000000000001</c:v>
                </c:pt>
                <c:pt idx="1096">
                  <c:v>7.5270000000000001</c:v>
                </c:pt>
                <c:pt idx="1097">
                  <c:v>7.484</c:v>
                </c:pt>
                <c:pt idx="1098">
                  <c:v>7.484</c:v>
                </c:pt>
                <c:pt idx="1099">
                  <c:v>7.484</c:v>
                </c:pt>
                <c:pt idx="1100">
                  <c:v>7.484</c:v>
                </c:pt>
                <c:pt idx="1101">
                  <c:v>7.484</c:v>
                </c:pt>
                <c:pt idx="1102">
                  <c:v>7.484</c:v>
                </c:pt>
                <c:pt idx="1103">
                  <c:v>7.343</c:v>
                </c:pt>
                <c:pt idx="1104">
                  <c:v>7.343</c:v>
                </c:pt>
                <c:pt idx="1105">
                  <c:v>7.343</c:v>
                </c:pt>
                <c:pt idx="1106">
                  <c:v>7.343</c:v>
                </c:pt>
                <c:pt idx="1107">
                  <c:v>7.343</c:v>
                </c:pt>
                <c:pt idx="1108">
                  <c:v>7.2869999999999999</c:v>
                </c:pt>
                <c:pt idx="1109">
                  <c:v>7.2869999999999999</c:v>
                </c:pt>
                <c:pt idx="1110">
                  <c:v>7.2869999999999999</c:v>
                </c:pt>
                <c:pt idx="1111">
                  <c:v>7.2869999999999999</c:v>
                </c:pt>
                <c:pt idx="1112">
                  <c:v>7.2869999999999999</c:v>
                </c:pt>
                <c:pt idx="1113">
                  <c:v>7.274</c:v>
                </c:pt>
                <c:pt idx="1114">
                  <c:v>7.274</c:v>
                </c:pt>
                <c:pt idx="1115">
                  <c:v>7.274</c:v>
                </c:pt>
                <c:pt idx="1116">
                  <c:v>7.274</c:v>
                </c:pt>
                <c:pt idx="1117">
                  <c:v>7.274</c:v>
                </c:pt>
                <c:pt idx="1118">
                  <c:v>7.274</c:v>
                </c:pt>
                <c:pt idx="1119">
                  <c:v>7.0819999999999999</c:v>
                </c:pt>
                <c:pt idx="1120">
                  <c:v>7.0819999999999999</c:v>
                </c:pt>
                <c:pt idx="1121">
                  <c:v>7.0819999999999999</c:v>
                </c:pt>
                <c:pt idx="1122">
                  <c:v>7.0819999999999999</c:v>
                </c:pt>
                <c:pt idx="1123">
                  <c:v>7.0819999999999999</c:v>
                </c:pt>
                <c:pt idx="1124">
                  <c:v>6.9610000000000003</c:v>
                </c:pt>
                <c:pt idx="1125">
                  <c:v>6.9610000000000003</c:v>
                </c:pt>
                <c:pt idx="1126">
                  <c:v>6.9610000000000003</c:v>
                </c:pt>
                <c:pt idx="1127">
                  <c:v>6.9610000000000003</c:v>
                </c:pt>
                <c:pt idx="1128">
                  <c:v>6.9610000000000003</c:v>
                </c:pt>
                <c:pt idx="1129">
                  <c:v>7.1390000000000002</c:v>
                </c:pt>
                <c:pt idx="1130">
                  <c:v>7.1390000000000002</c:v>
                </c:pt>
                <c:pt idx="1131">
                  <c:v>7.1390000000000002</c:v>
                </c:pt>
                <c:pt idx="1132">
                  <c:v>7.1390000000000002</c:v>
                </c:pt>
                <c:pt idx="1133">
                  <c:v>7.1390000000000002</c:v>
                </c:pt>
                <c:pt idx="1134">
                  <c:v>7.28</c:v>
                </c:pt>
                <c:pt idx="1135">
                  <c:v>7.28</c:v>
                </c:pt>
                <c:pt idx="1136">
                  <c:v>7.28</c:v>
                </c:pt>
                <c:pt idx="1137">
                  <c:v>7.28</c:v>
                </c:pt>
                <c:pt idx="1138">
                  <c:v>7.2930000000000001</c:v>
                </c:pt>
                <c:pt idx="1139">
                  <c:v>7.2930000000000001</c:v>
                </c:pt>
                <c:pt idx="1140">
                  <c:v>8.3239999999999998</c:v>
                </c:pt>
                <c:pt idx="1141">
                  <c:v>8.3239999999999998</c:v>
                </c:pt>
                <c:pt idx="1142">
                  <c:v>8.3239999999999998</c:v>
                </c:pt>
                <c:pt idx="1143">
                  <c:v>8.3239999999999998</c:v>
                </c:pt>
                <c:pt idx="1144">
                  <c:v>8.1999999999999993</c:v>
                </c:pt>
                <c:pt idx="1145">
                  <c:v>8.1999999999999993</c:v>
                </c:pt>
                <c:pt idx="1146">
                  <c:v>8.1999999999999993</c:v>
                </c:pt>
                <c:pt idx="1147">
                  <c:v>8.1999999999999993</c:v>
                </c:pt>
                <c:pt idx="1148">
                  <c:v>8.1999999999999993</c:v>
                </c:pt>
                <c:pt idx="1149">
                  <c:v>8.0990000000000002</c:v>
                </c:pt>
                <c:pt idx="1150">
                  <c:v>8.0990000000000002</c:v>
                </c:pt>
                <c:pt idx="1151">
                  <c:v>8.0990000000000002</c:v>
                </c:pt>
                <c:pt idx="1152">
                  <c:v>8.0990000000000002</c:v>
                </c:pt>
                <c:pt idx="1153">
                  <c:v>8.0990000000000002</c:v>
                </c:pt>
                <c:pt idx="1154">
                  <c:v>8.1630000000000003</c:v>
                </c:pt>
                <c:pt idx="1155">
                  <c:v>8.1630000000000003</c:v>
                </c:pt>
                <c:pt idx="1156">
                  <c:v>8.1630000000000003</c:v>
                </c:pt>
                <c:pt idx="1157">
                  <c:v>8.1630000000000003</c:v>
                </c:pt>
                <c:pt idx="1158">
                  <c:v>8.1630000000000003</c:v>
                </c:pt>
                <c:pt idx="1159">
                  <c:v>8.1630000000000003</c:v>
                </c:pt>
                <c:pt idx="1160">
                  <c:v>8.0280000000000005</c:v>
                </c:pt>
                <c:pt idx="1161">
                  <c:v>8.0280000000000005</c:v>
                </c:pt>
                <c:pt idx="1162">
                  <c:v>8.0280000000000005</c:v>
                </c:pt>
                <c:pt idx="1163">
                  <c:v>8.0280000000000005</c:v>
                </c:pt>
                <c:pt idx="1164">
                  <c:v>8.0280000000000005</c:v>
                </c:pt>
                <c:pt idx="1165">
                  <c:v>7.931</c:v>
                </c:pt>
                <c:pt idx="1166">
                  <c:v>7.931</c:v>
                </c:pt>
                <c:pt idx="1167">
                  <c:v>7.931</c:v>
                </c:pt>
                <c:pt idx="1168">
                  <c:v>7.931</c:v>
                </c:pt>
                <c:pt idx="1169">
                  <c:v>7.931</c:v>
                </c:pt>
                <c:pt idx="1170">
                  <c:v>7.8520000000000003</c:v>
                </c:pt>
                <c:pt idx="1171">
                  <c:v>7.8520000000000003</c:v>
                </c:pt>
                <c:pt idx="1172">
                  <c:v>7.8520000000000003</c:v>
                </c:pt>
                <c:pt idx="1173">
                  <c:v>7.8520000000000003</c:v>
                </c:pt>
                <c:pt idx="1174">
                  <c:v>7.8520000000000003</c:v>
                </c:pt>
                <c:pt idx="1175">
                  <c:v>7.8520000000000003</c:v>
                </c:pt>
                <c:pt idx="1176">
                  <c:v>7.4409999999999998</c:v>
                </c:pt>
                <c:pt idx="1177">
                  <c:v>7.4409999999999998</c:v>
                </c:pt>
                <c:pt idx="1178">
                  <c:v>7.4409999999999998</c:v>
                </c:pt>
                <c:pt idx="1179">
                  <c:v>7.4409999999999998</c:v>
                </c:pt>
                <c:pt idx="1180">
                  <c:v>7.4409999999999998</c:v>
                </c:pt>
                <c:pt idx="1181">
                  <c:v>7.0570000000000004</c:v>
                </c:pt>
                <c:pt idx="1182">
                  <c:v>7.0570000000000004</c:v>
                </c:pt>
                <c:pt idx="1183">
                  <c:v>7.0570000000000004</c:v>
                </c:pt>
                <c:pt idx="1184">
                  <c:v>7.0570000000000004</c:v>
                </c:pt>
                <c:pt idx="1185">
                  <c:v>7.0570000000000004</c:v>
                </c:pt>
                <c:pt idx="1186">
                  <c:v>6.891</c:v>
                </c:pt>
                <c:pt idx="1187">
                  <c:v>6.891</c:v>
                </c:pt>
                <c:pt idx="1188">
                  <c:v>6.891</c:v>
                </c:pt>
                <c:pt idx="1189">
                  <c:v>6.891</c:v>
                </c:pt>
                <c:pt idx="1190">
                  <c:v>6.891</c:v>
                </c:pt>
                <c:pt idx="1191">
                  <c:v>6.5650000000000004</c:v>
                </c:pt>
                <c:pt idx="1192">
                  <c:v>6.5650000000000004</c:v>
                </c:pt>
                <c:pt idx="1193">
                  <c:v>6.5650000000000004</c:v>
                </c:pt>
                <c:pt idx="1194">
                  <c:v>6.5650000000000004</c:v>
                </c:pt>
                <c:pt idx="1195">
                  <c:v>6.17</c:v>
                </c:pt>
                <c:pt idx="1196">
                  <c:v>6.17</c:v>
                </c:pt>
                <c:pt idx="1197">
                  <c:v>8.2829999999999995</c:v>
                </c:pt>
                <c:pt idx="1198">
                  <c:v>8.2829999999999995</c:v>
                </c:pt>
                <c:pt idx="1199">
                  <c:v>8.2829999999999995</c:v>
                </c:pt>
                <c:pt idx="1200">
                  <c:v>8.2829999999999995</c:v>
                </c:pt>
                <c:pt idx="1201">
                  <c:v>8.3480000000000008</c:v>
                </c:pt>
                <c:pt idx="1202">
                  <c:v>8.3480000000000008</c:v>
                </c:pt>
                <c:pt idx="1203">
                  <c:v>8.3480000000000008</c:v>
                </c:pt>
                <c:pt idx="1204">
                  <c:v>8.3480000000000008</c:v>
                </c:pt>
                <c:pt idx="1205">
                  <c:v>8.3480000000000008</c:v>
                </c:pt>
                <c:pt idx="1206">
                  <c:v>8.4329999999999998</c:v>
                </c:pt>
                <c:pt idx="1207">
                  <c:v>8.4329999999999998</c:v>
                </c:pt>
                <c:pt idx="1208">
                  <c:v>8.4329999999999998</c:v>
                </c:pt>
                <c:pt idx="1209">
                  <c:v>8.4329999999999998</c:v>
                </c:pt>
                <c:pt idx="1210">
                  <c:v>8.4329999999999998</c:v>
                </c:pt>
                <c:pt idx="1211">
                  <c:v>8.5719999999999992</c:v>
                </c:pt>
                <c:pt idx="1212">
                  <c:v>8.5719999999999992</c:v>
                </c:pt>
                <c:pt idx="1213">
                  <c:v>8.5719999999999992</c:v>
                </c:pt>
                <c:pt idx="1214">
                  <c:v>8.5719999999999992</c:v>
                </c:pt>
                <c:pt idx="1215">
                  <c:v>8.5719999999999992</c:v>
                </c:pt>
                <c:pt idx="1216">
                  <c:v>8.5719999999999992</c:v>
                </c:pt>
                <c:pt idx="1217">
                  <c:v>8.4580000000000002</c:v>
                </c:pt>
                <c:pt idx="1218">
                  <c:v>8.4580000000000002</c:v>
                </c:pt>
                <c:pt idx="1219">
                  <c:v>8.4580000000000002</c:v>
                </c:pt>
                <c:pt idx="1220">
                  <c:v>8.4580000000000002</c:v>
                </c:pt>
                <c:pt idx="1221">
                  <c:v>8.4580000000000002</c:v>
                </c:pt>
                <c:pt idx="1222">
                  <c:v>8.2520000000000007</c:v>
                </c:pt>
                <c:pt idx="1223">
                  <c:v>8.2520000000000007</c:v>
                </c:pt>
                <c:pt idx="1224">
                  <c:v>8.2520000000000007</c:v>
                </c:pt>
                <c:pt idx="1225">
                  <c:v>8.2520000000000007</c:v>
                </c:pt>
                <c:pt idx="1226">
                  <c:v>8.2520000000000007</c:v>
                </c:pt>
                <c:pt idx="1227">
                  <c:v>8.0229999999999997</c:v>
                </c:pt>
                <c:pt idx="1228">
                  <c:v>8.0229999999999997</c:v>
                </c:pt>
                <c:pt idx="1229">
                  <c:v>8.0229999999999997</c:v>
                </c:pt>
                <c:pt idx="1230">
                  <c:v>8.0229999999999997</c:v>
                </c:pt>
                <c:pt idx="1231">
                  <c:v>8.0229999999999997</c:v>
                </c:pt>
                <c:pt idx="1232">
                  <c:v>8.0229999999999997</c:v>
                </c:pt>
                <c:pt idx="1233">
                  <c:v>7.7060000000000004</c:v>
                </c:pt>
                <c:pt idx="1234">
                  <c:v>7.7060000000000004</c:v>
                </c:pt>
                <c:pt idx="1235">
                  <c:v>7.7060000000000004</c:v>
                </c:pt>
                <c:pt idx="1236">
                  <c:v>7.7060000000000004</c:v>
                </c:pt>
                <c:pt idx="1237">
                  <c:v>7.7060000000000004</c:v>
                </c:pt>
                <c:pt idx="1238">
                  <c:v>7.5030000000000001</c:v>
                </c:pt>
                <c:pt idx="1239">
                  <c:v>7.5030000000000001</c:v>
                </c:pt>
                <c:pt idx="1240">
                  <c:v>7.5030000000000001</c:v>
                </c:pt>
                <c:pt idx="1241">
                  <c:v>7.5030000000000001</c:v>
                </c:pt>
                <c:pt idx="1242">
                  <c:v>7.5030000000000001</c:v>
                </c:pt>
                <c:pt idx="1243">
                  <c:v>7.6710000000000003</c:v>
                </c:pt>
                <c:pt idx="1244">
                  <c:v>7.6710000000000003</c:v>
                </c:pt>
                <c:pt idx="1245">
                  <c:v>7.6710000000000003</c:v>
                </c:pt>
                <c:pt idx="1246">
                  <c:v>7.6710000000000003</c:v>
                </c:pt>
                <c:pt idx="1247">
                  <c:v>7.6710000000000003</c:v>
                </c:pt>
                <c:pt idx="1248">
                  <c:v>7.7530000000000001</c:v>
                </c:pt>
                <c:pt idx="1249">
                  <c:v>7.7530000000000001</c:v>
                </c:pt>
                <c:pt idx="1250">
                  <c:v>7.7530000000000001</c:v>
                </c:pt>
                <c:pt idx="1251">
                  <c:v>7.7530000000000001</c:v>
                </c:pt>
                <c:pt idx="1252">
                  <c:v>7.5430000000000001</c:v>
                </c:pt>
                <c:pt idx="1253">
                  <c:v>7.5430000000000001</c:v>
                </c:pt>
                <c:pt idx="1254">
                  <c:v>5.8920000000000003</c:v>
                </c:pt>
                <c:pt idx="1255">
                  <c:v>5.8920000000000003</c:v>
                </c:pt>
                <c:pt idx="1256">
                  <c:v>5.8920000000000003</c:v>
                </c:pt>
                <c:pt idx="1257">
                  <c:v>5.8920000000000003</c:v>
                </c:pt>
                <c:pt idx="1258">
                  <c:v>5.4349999999999996</c:v>
                </c:pt>
                <c:pt idx="1259">
                  <c:v>5.4349999999999996</c:v>
                </c:pt>
                <c:pt idx="1260">
                  <c:v>5.4349999999999996</c:v>
                </c:pt>
                <c:pt idx="1261">
                  <c:v>5.4349999999999996</c:v>
                </c:pt>
                <c:pt idx="1262">
                  <c:v>5.4349999999999996</c:v>
                </c:pt>
                <c:pt idx="1263">
                  <c:v>5.3259999999999996</c:v>
                </c:pt>
                <c:pt idx="1264">
                  <c:v>5.3259999999999996</c:v>
                </c:pt>
                <c:pt idx="1265">
                  <c:v>5.3259999999999996</c:v>
                </c:pt>
                <c:pt idx="1266">
                  <c:v>5.3259999999999996</c:v>
                </c:pt>
                <c:pt idx="1267">
                  <c:v>5.3259999999999996</c:v>
                </c:pt>
                <c:pt idx="1268">
                  <c:v>5.2869999999999999</c:v>
                </c:pt>
                <c:pt idx="1269">
                  <c:v>5.2869999999999999</c:v>
                </c:pt>
                <c:pt idx="1270">
                  <c:v>5.2869999999999999</c:v>
                </c:pt>
                <c:pt idx="1271">
                  <c:v>5.2869999999999999</c:v>
                </c:pt>
                <c:pt idx="1272">
                  <c:v>5.2869999999999999</c:v>
                </c:pt>
                <c:pt idx="1273">
                  <c:v>5.2869999999999999</c:v>
                </c:pt>
                <c:pt idx="1274">
                  <c:v>5.1139999999999999</c:v>
                </c:pt>
                <c:pt idx="1275">
                  <c:v>5.1139999999999999</c:v>
                </c:pt>
                <c:pt idx="1276">
                  <c:v>5.1139999999999999</c:v>
                </c:pt>
                <c:pt idx="1277">
                  <c:v>5.1139999999999999</c:v>
                </c:pt>
                <c:pt idx="1278">
                  <c:v>5.1139999999999999</c:v>
                </c:pt>
                <c:pt idx="1279">
                  <c:v>4.7809999999999997</c:v>
                </c:pt>
                <c:pt idx="1280">
                  <c:v>4.7809999999999997</c:v>
                </c:pt>
                <c:pt idx="1281">
                  <c:v>4.7809999999999997</c:v>
                </c:pt>
                <c:pt idx="1282">
                  <c:v>4.7809999999999997</c:v>
                </c:pt>
                <c:pt idx="1283">
                  <c:v>4.7809999999999997</c:v>
                </c:pt>
                <c:pt idx="1284">
                  <c:v>4.5839999999999996</c:v>
                </c:pt>
                <c:pt idx="1285">
                  <c:v>4.5839999999999996</c:v>
                </c:pt>
                <c:pt idx="1286">
                  <c:v>4.5839999999999996</c:v>
                </c:pt>
                <c:pt idx="1287">
                  <c:v>4.5839999999999996</c:v>
                </c:pt>
                <c:pt idx="1288">
                  <c:v>4.5839999999999996</c:v>
                </c:pt>
                <c:pt idx="1289">
                  <c:v>4.5839999999999996</c:v>
                </c:pt>
                <c:pt idx="1290">
                  <c:v>4.42</c:v>
                </c:pt>
                <c:pt idx="1291">
                  <c:v>4.42</c:v>
                </c:pt>
                <c:pt idx="1292">
                  <c:v>4.42</c:v>
                </c:pt>
                <c:pt idx="1293">
                  <c:v>4.42</c:v>
                </c:pt>
                <c:pt idx="1294">
                  <c:v>4.42</c:v>
                </c:pt>
                <c:pt idx="1295">
                  <c:v>4.2610000000000001</c:v>
                </c:pt>
                <c:pt idx="1296">
                  <c:v>4.2610000000000001</c:v>
                </c:pt>
                <c:pt idx="1297">
                  <c:v>4.2610000000000001</c:v>
                </c:pt>
                <c:pt idx="1298">
                  <c:v>4.2610000000000001</c:v>
                </c:pt>
                <c:pt idx="1299">
                  <c:v>4.2610000000000001</c:v>
                </c:pt>
                <c:pt idx="1300">
                  <c:v>4.125</c:v>
                </c:pt>
                <c:pt idx="1301">
                  <c:v>4.125</c:v>
                </c:pt>
                <c:pt idx="1302">
                  <c:v>4.125</c:v>
                </c:pt>
                <c:pt idx="1303">
                  <c:v>4.125</c:v>
                </c:pt>
                <c:pt idx="1304">
                  <c:v>4.125</c:v>
                </c:pt>
                <c:pt idx="1305">
                  <c:v>4.1559999999999997</c:v>
                </c:pt>
                <c:pt idx="1306">
                  <c:v>4.1559999999999997</c:v>
                </c:pt>
                <c:pt idx="1307">
                  <c:v>4.1559999999999997</c:v>
                </c:pt>
                <c:pt idx="1308">
                  <c:v>4.1559999999999997</c:v>
                </c:pt>
                <c:pt idx="1309">
                  <c:v>4.1449999999999996</c:v>
                </c:pt>
                <c:pt idx="1310">
                  <c:v>4.1449999999999996</c:v>
                </c:pt>
                <c:pt idx="1311">
                  <c:v>8.3260000000000005</c:v>
                </c:pt>
                <c:pt idx="1312">
                  <c:v>8.3260000000000005</c:v>
                </c:pt>
                <c:pt idx="1313">
                  <c:v>8.3260000000000005</c:v>
                </c:pt>
                <c:pt idx="1314">
                  <c:v>8.3260000000000005</c:v>
                </c:pt>
                <c:pt idx="1315">
                  <c:v>8.2110000000000003</c:v>
                </c:pt>
                <c:pt idx="1316">
                  <c:v>8.2110000000000003</c:v>
                </c:pt>
                <c:pt idx="1317">
                  <c:v>8.2110000000000003</c:v>
                </c:pt>
                <c:pt idx="1318">
                  <c:v>8.2110000000000003</c:v>
                </c:pt>
                <c:pt idx="1319">
                  <c:v>8.2110000000000003</c:v>
                </c:pt>
                <c:pt idx="1320">
                  <c:v>8.1170000000000009</c:v>
                </c:pt>
                <c:pt idx="1321">
                  <c:v>8.1170000000000009</c:v>
                </c:pt>
                <c:pt idx="1322">
                  <c:v>8.1170000000000009</c:v>
                </c:pt>
                <c:pt idx="1323">
                  <c:v>8.1170000000000009</c:v>
                </c:pt>
                <c:pt idx="1324">
                  <c:v>8.1170000000000009</c:v>
                </c:pt>
                <c:pt idx="1325">
                  <c:v>8.2750000000000004</c:v>
                </c:pt>
                <c:pt idx="1326">
                  <c:v>8.2750000000000004</c:v>
                </c:pt>
                <c:pt idx="1327">
                  <c:v>8.2750000000000004</c:v>
                </c:pt>
                <c:pt idx="1328">
                  <c:v>8.2750000000000004</c:v>
                </c:pt>
                <c:pt idx="1329">
                  <c:v>8.2750000000000004</c:v>
                </c:pt>
                <c:pt idx="1330">
                  <c:v>8.2750000000000004</c:v>
                </c:pt>
                <c:pt idx="1331">
                  <c:v>8.2520000000000007</c:v>
                </c:pt>
                <c:pt idx="1332">
                  <c:v>8.2520000000000007</c:v>
                </c:pt>
                <c:pt idx="1333">
                  <c:v>8.2520000000000007</c:v>
                </c:pt>
                <c:pt idx="1334">
                  <c:v>8.2520000000000007</c:v>
                </c:pt>
                <c:pt idx="1335">
                  <c:v>8.2520000000000007</c:v>
                </c:pt>
                <c:pt idx="1336">
                  <c:v>8.2119999999999997</c:v>
                </c:pt>
                <c:pt idx="1337">
                  <c:v>8.2119999999999997</c:v>
                </c:pt>
                <c:pt idx="1338">
                  <c:v>8.2119999999999997</c:v>
                </c:pt>
                <c:pt idx="1339">
                  <c:v>8.2119999999999997</c:v>
                </c:pt>
                <c:pt idx="1340">
                  <c:v>8.2119999999999997</c:v>
                </c:pt>
                <c:pt idx="1341">
                  <c:v>8.3580000000000005</c:v>
                </c:pt>
                <c:pt idx="1342">
                  <c:v>8.3580000000000005</c:v>
                </c:pt>
                <c:pt idx="1343">
                  <c:v>8.3580000000000005</c:v>
                </c:pt>
                <c:pt idx="1344">
                  <c:v>8.3580000000000005</c:v>
                </c:pt>
                <c:pt idx="1345">
                  <c:v>8.3580000000000005</c:v>
                </c:pt>
                <c:pt idx="1346">
                  <c:v>8.3580000000000005</c:v>
                </c:pt>
                <c:pt idx="1347">
                  <c:v>8.4540000000000006</c:v>
                </c:pt>
                <c:pt idx="1348">
                  <c:v>8.4540000000000006</c:v>
                </c:pt>
                <c:pt idx="1349">
                  <c:v>8.4540000000000006</c:v>
                </c:pt>
                <c:pt idx="1350">
                  <c:v>8.4540000000000006</c:v>
                </c:pt>
                <c:pt idx="1351">
                  <c:v>8.4540000000000006</c:v>
                </c:pt>
                <c:pt idx="1352">
                  <c:v>8.6590000000000007</c:v>
                </c:pt>
                <c:pt idx="1353">
                  <c:v>8.6590000000000007</c:v>
                </c:pt>
                <c:pt idx="1354">
                  <c:v>8.6590000000000007</c:v>
                </c:pt>
                <c:pt idx="1355">
                  <c:v>8.6590000000000007</c:v>
                </c:pt>
                <c:pt idx="1356">
                  <c:v>8.6590000000000007</c:v>
                </c:pt>
                <c:pt idx="1357">
                  <c:v>8.9830000000000005</c:v>
                </c:pt>
                <c:pt idx="1358">
                  <c:v>8.9830000000000005</c:v>
                </c:pt>
                <c:pt idx="1359">
                  <c:v>8.9830000000000005</c:v>
                </c:pt>
                <c:pt idx="1360">
                  <c:v>8.9830000000000005</c:v>
                </c:pt>
                <c:pt idx="1361">
                  <c:v>8.9830000000000005</c:v>
                </c:pt>
                <c:pt idx="1362">
                  <c:v>8.9529999999999994</c:v>
                </c:pt>
                <c:pt idx="1363">
                  <c:v>8.9529999999999994</c:v>
                </c:pt>
                <c:pt idx="1364">
                  <c:v>8.9529999999999994</c:v>
                </c:pt>
                <c:pt idx="1365">
                  <c:v>8.9529999999999994</c:v>
                </c:pt>
                <c:pt idx="1366">
                  <c:v>8.6929999999999996</c:v>
                </c:pt>
                <c:pt idx="1367">
                  <c:v>8.6929999999999996</c:v>
                </c:pt>
                <c:pt idx="1368">
                  <c:v>8.1869999999999994</c:v>
                </c:pt>
                <c:pt idx="1369">
                  <c:v>8.1869999999999994</c:v>
                </c:pt>
                <c:pt idx="1370">
                  <c:v>8.1869999999999994</c:v>
                </c:pt>
                <c:pt idx="1371">
                  <c:v>8.1869999999999994</c:v>
                </c:pt>
                <c:pt idx="1372">
                  <c:v>7.8559999999999999</c:v>
                </c:pt>
                <c:pt idx="1373">
                  <c:v>7.8559999999999999</c:v>
                </c:pt>
                <c:pt idx="1374">
                  <c:v>7.8559999999999999</c:v>
                </c:pt>
                <c:pt idx="1375">
                  <c:v>7.8559999999999999</c:v>
                </c:pt>
                <c:pt idx="1376">
                  <c:v>7.8559999999999999</c:v>
                </c:pt>
                <c:pt idx="1377">
                  <c:v>7.5270000000000001</c:v>
                </c:pt>
                <c:pt idx="1378">
                  <c:v>7.5270000000000001</c:v>
                </c:pt>
                <c:pt idx="1379">
                  <c:v>7.5270000000000001</c:v>
                </c:pt>
                <c:pt idx="1380">
                  <c:v>7.5270000000000001</c:v>
                </c:pt>
                <c:pt idx="1381">
                  <c:v>7.5270000000000001</c:v>
                </c:pt>
                <c:pt idx="1382">
                  <c:v>7.484</c:v>
                </c:pt>
                <c:pt idx="1383">
                  <c:v>7.484</c:v>
                </c:pt>
                <c:pt idx="1384">
                  <c:v>7.484</c:v>
                </c:pt>
                <c:pt idx="1385">
                  <c:v>7.484</c:v>
                </c:pt>
                <c:pt idx="1386">
                  <c:v>7.484</c:v>
                </c:pt>
                <c:pt idx="1387">
                  <c:v>7.484</c:v>
                </c:pt>
                <c:pt idx="1388">
                  <c:v>7.343</c:v>
                </c:pt>
                <c:pt idx="1389">
                  <c:v>7.343</c:v>
                </c:pt>
                <c:pt idx="1390">
                  <c:v>7.343</c:v>
                </c:pt>
                <c:pt idx="1391">
                  <c:v>7.343</c:v>
                </c:pt>
                <c:pt idx="1392">
                  <c:v>7.343</c:v>
                </c:pt>
                <c:pt idx="1393">
                  <c:v>7.2869999999999999</c:v>
                </c:pt>
                <c:pt idx="1394">
                  <c:v>7.2869999999999999</c:v>
                </c:pt>
                <c:pt idx="1395">
                  <c:v>7.2869999999999999</c:v>
                </c:pt>
                <c:pt idx="1396">
                  <c:v>7.2869999999999999</c:v>
                </c:pt>
                <c:pt idx="1397">
                  <c:v>7.2869999999999999</c:v>
                </c:pt>
                <c:pt idx="1398">
                  <c:v>7.274</c:v>
                </c:pt>
                <c:pt idx="1399">
                  <c:v>7.274</c:v>
                </c:pt>
                <c:pt idx="1400">
                  <c:v>7.274</c:v>
                </c:pt>
                <c:pt idx="1401">
                  <c:v>7.274</c:v>
                </c:pt>
                <c:pt idx="1402">
                  <c:v>7.274</c:v>
                </c:pt>
                <c:pt idx="1403">
                  <c:v>7.274</c:v>
                </c:pt>
                <c:pt idx="1404">
                  <c:v>7.0819999999999999</c:v>
                </c:pt>
                <c:pt idx="1405">
                  <c:v>7.0819999999999999</c:v>
                </c:pt>
                <c:pt idx="1406">
                  <c:v>7.0819999999999999</c:v>
                </c:pt>
                <c:pt idx="1407">
                  <c:v>7.0819999999999999</c:v>
                </c:pt>
                <c:pt idx="1408">
                  <c:v>7.0819999999999999</c:v>
                </c:pt>
                <c:pt idx="1409">
                  <c:v>6.9610000000000003</c:v>
                </c:pt>
                <c:pt idx="1410">
                  <c:v>6.9610000000000003</c:v>
                </c:pt>
                <c:pt idx="1411">
                  <c:v>6.9610000000000003</c:v>
                </c:pt>
                <c:pt idx="1412">
                  <c:v>6.9610000000000003</c:v>
                </c:pt>
                <c:pt idx="1413">
                  <c:v>6.9610000000000003</c:v>
                </c:pt>
                <c:pt idx="1414">
                  <c:v>7.1390000000000002</c:v>
                </c:pt>
                <c:pt idx="1415">
                  <c:v>7.1390000000000002</c:v>
                </c:pt>
                <c:pt idx="1416">
                  <c:v>7.1390000000000002</c:v>
                </c:pt>
                <c:pt idx="1417">
                  <c:v>7.1390000000000002</c:v>
                </c:pt>
                <c:pt idx="1418">
                  <c:v>7.1390000000000002</c:v>
                </c:pt>
                <c:pt idx="1419">
                  <c:v>7.28</c:v>
                </c:pt>
                <c:pt idx="1420">
                  <c:v>7.28</c:v>
                </c:pt>
                <c:pt idx="1421">
                  <c:v>7.28</c:v>
                </c:pt>
                <c:pt idx="1422">
                  <c:v>7.28</c:v>
                </c:pt>
                <c:pt idx="1423">
                  <c:v>7.2930000000000001</c:v>
                </c:pt>
                <c:pt idx="1424">
                  <c:v>7.2930000000000001</c:v>
                </c:pt>
                <c:pt idx="1425">
                  <c:v>8.4879999999999995</c:v>
                </c:pt>
                <c:pt idx="1426">
                  <c:v>8.4879999999999995</c:v>
                </c:pt>
                <c:pt idx="1427">
                  <c:v>8.4879999999999995</c:v>
                </c:pt>
                <c:pt idx="1428">
                  <c:v>8.4879999999999995</c:v>
                </c:pt>
                <c:pt idx="1429">
                  <c:v>8.5120000000000005</c:v>
                </c:pt>
                <c:pt idx="1430">
                  <c:v>8.5120000000000005</c:v>
                </c:pt>
                <c:pt idx="1431">
                  <c:v>8.5120000000000005</c:v>
                </c:pt>
                <c:pt idx="1432">
                  <c:v>8.5120000000000005</c:v>
                </c:pt>
                <c:pt idx="1433">
                  <c:v>8.5120000000000005</c:v>
                </c:pt>
                <c:pt idx="1434">
                  <c:v>8.4450000000000003</c:v>
                </c:pt>
                <c:pt idx="1435">
                  <c:v>8.4450000000000003</c:v>
                </c:pt>
                <c:pt idx="1436">
                  <c:v>8.4450000000000003</c:v>
                </c:pt>
                <c:pt idx="1437">
                  <c:v>8.4450000000000003</c:v>
                </c:pt>
                <c:pt idx="1438">
                  <c:v>8.4450000000000003</c:v>
                </c:pt>
                <c:pt idx="1439">
                  <c:v>8.1489999999999991</c:v>
                </c:pt>
                <c:pt idx="1440">
                  <c:v>8.1489999999999991</c:v>
                </c:pt>
                <c:pt idx="1441">
                  <c:v>8.1489999999999991</c:v>
                </c:pt>
                <c:pt idx="1442">
                  <c:v>8.1489999999999991</c:v>
                </c:pt>
                <c:pt idx="1443">
                  <c:v>8.1489999999999991</c:v>
                </c:pt>
                <c:pt idx="1444">
                  <c:v>8.1489999999999991</c:v>
                </c:pt>
                <c:pt idx="1445">
                  <c:v>7.907</c:v>
                </c:pt>
                <c:pt idx="1446">
                  <c:v>7.907</c:v>
                </c:pt>
                <c:pt idx="1447">
                  <c:v>7.907</c:v>
                </c:pt>
                <c:pt idx="1448">
                  <c:v>7.907</c:v>
                </c:pt>
                <c:pt idx="1449">
                  <c:v>7.907</c:v>
                </c:pt>
                <c:pt idx="1450">
                  <c:v>7.8179999999999996</c:v>
                </c:pt>
                <c:pt idx="1451">
                  <c:v>7.8179999999999996</c:v>
                </c:pt>
                <c:pt idx="1452">
                  <c:v>7.8179999999999996</c:v>
                </c:pt>
                <c:pt idx="1453">
                  <c:v>7.8179999999999996</c:v>
                </c:pt>
                <c:pt idx="1454">
                  <c:v>7.8179999999999996</c:v>
                </c:pt>
                <c:pt idx="1455">
                  <c:v>7.7670000000000003</c:v>
                </c:pt>
                <c:pt idx="1456">
                  <c:v>7.7670000000000003</c:v>
                </c:pt>
                <c:pt idx="1457">
                  <c:v>7.7670000000000003</c:v>
                </c:pt>
                <c:pt idx="1458">
                  <c:v>7.7670000000000003</c:v>
                </c:pt>
                <c:pt idx="1459">
                  <c:v>7.7670000000000003</c:v>
                </c:pt>
                <c:pt idx="1460">
                  <c:v>7.7670000000000003</c:v>
                </c:pt>
                <c:pt idx="1461">
                  <c:v>7.5979999999999999</c:v>
                </c:pt>
                <c:pt idx="1462">
                  <c:v>7.5979999999999999</c:v>
                </c:pt>
                <c:pt idx="1463">
                  <c:v>7.5979999999999999</c:v>
                </c:pt>
                <c:pt idx="1464">
                  <c:v>7.5979999999999999</c:v>
                </c:pt>
                <c:pt idx="1465">
                  <c:v>7.5979999999999999</c:v>
                </c:pt>
                <c:pt idx="1466">
                  <c:v>7.4669999999999996</c:v>
                </c:pt>
                <c:pt idx="1467">
                  <c:v>7.4669999999999996</c:v>
                </c:pt>
                <c:pt idx="1468">
                  <c:v>7.4669999999999996</c:v>
                </c:pt>
                <c:pt idx="1469">
                  <c:v>7.4669999999999996</c:v>
                </c:pt>
                <c:pt idx="1470">
                  <c:v>7.4669999999999996</c:v>
                </c:pt>
                <c:pt idx="1471">
                  <c:v>7.4889999999999999</c:v>
                </c:pt>
                <c:pt idx="1472">
                  <c:v>7.4889999999999999</c:v>
                </c:pt>
                <c:pt idx="1473">
                  <c:v>7.4889999999999999</c:v>
                </c:pt>
                <c:pt idx="1474">
                  <c:v>7.4889999999999999</c:v>
                </c:pt>
                <c:pt idx="1475">
                  <c:v>7.4889999999999999</c:v>
                </c:pt>
                <c:pt idx="1476">
                  <c:v>7.4050000000000002</c:v>
                </c:pt>
                <c:pt idx="1477">
                  <c:v>7.4050000000000002</c:v>
                </c:pt>
                <c:pt idx="1478">
                  <c:v>7.4050000000000002</c:v>
                </c:pt>
                <c:pt idx="1479">
                  <c:v>7.4050000000000002</c:v>
                </c:pt>
                <c:pt idx="1480">
                  <c:v>7.1379999999999999</c:v>
                </c:pt>
                <c:pt idx="1481">
                  <c:v>7.1379999999999999</c:v>
                </c:pt>
                <c:pt idx="1482">
                  <c:v>8.2370000000000001</c:v>
                </c:pt>
                <c:pt idx="1483">
                  <c:v>8.2370000000000001</c:v>
                </c:pt>
                <c:pt idx="1484">
                  <c:v>8.2370000000000001</c:v>
                </c:pt>
                <c:pt idx="1485">
                  <c:v>8.2370000000000001</c:v>
                </c:pt>
                <c:pt idx="1486">
                  <c:v>8.0579999999999998</c:v>
                </c:pt>
                <c:pt idx="1487">
                  <c:v>8.0579999999999998</c:v>
                </c:pt>
                <c:pt idx="1488">
                  <c:v>8.0579999999999998</c:v>
                </c:pt>
                <c:pt idx="1489">
                  <c:v>8.0579999999999998</c:v>
                </c:pt>
                <c:pt idx="1490">
                  <c:v>8.0579999999999998</c:v>
                </c:pt>
                <c:pt idx="1491">
                  <c:v>7.9820000000000002</c:v>
                </c:pt>
                <c:pt idx="1492">
                  <c:v>7.9820000000000002</c:v>
                </c:pt>
                <c:pt idx="1493">
                  <c:v>7.9820000000000002</c:v>
                </c:pt>
                <c:pt idx="1494">
                  <c:v>7.9820000000000002</c:v>
                </c:pt>
                <c:pt idx="1495">
                  <c:v>7.9820000000000002</c:v>
                </c:pt>
                <c:pt idx="1496">
                  <c:v>8.0210000000000008</c:v>
                </c:pt>
                <c:pt idx="1497">
                  <c:v>8.0210000000000008</c:v>
                </c:pt>
                <c:pt idx="1498">
                  <c:v>8.0210000000000008</c:v>
                </c:pt>
                <c:pt idx="1499">
                  <c:v>8.0210000000000008</c:v>
                </c:pt>
                <c:pt idx="1500">
                  <c:v>8.0210000000000008</c:v>
                </c:pt>
                <c:pt idx="1501">
                  <c:v>8.0210000000000008</c:v>
                </c:pt>
                <c:pt idx="1502">
                  <c:v>7.827</c:v>
                </c:pt>
                <c:pt idx="1503">
                  <c:v>7.827</c:v>
                </c:pt>
                <c:pt idx="1504">
                  <c:v>7.827</c:v>
                </c:pt>
                <c:pt idx="1505">
                  <c:v>7.827</c:v>
                </c:pt>
                <c:pt idx="1506">
                  <c:v>7.827</c:v>
                </c:pt>
                <c:pt idx="1507">
                  <c:v>7.7249999999999996</c:v>
                </c:pt>
                <c:pt idx="1508">
                  <c:v>7.7249999999999996</c:v>
                </c:pt>
                <c:pt idx="1509">
                  <c:v>7.7249999999999996</c:v>
                </c:pt>
                <c:pt idx="1510">
                  <c:v>7.7249999999999996</c:v>
                </c:pt>
                <c:pt idx="1511">
                  <c:v>7.7249999999999996</c:v>
                </c:pt>
                <c:pt idx="1512">
                  <c:v>7.85</c:v>
                </c:pt>
                <c:pt idx="1513">
                  <c:v>7.85</c:v>
                </c:pt>
                <c:pt idx="1514">
                  <c:v>7.85</c:v>
                </c:pt>
                <c:pt idx="1515">
                  <c:v>7.85</c:v>
                </c:pt>
                <c:pt idx="1516">
                  <c:v>7.85</c:v>
                </c:pt>
                <c:pt idx="1517">
                  <c:v>7.85</c:v>
                </c:pt>
                <c:pt idx="1518">
                  <c:v>7.9059999999999997</c:v>
                </c:pt>
                <c:pt idx="1519">
                  <c:v>7.9059999999999997</c:v>
                </c:pt>
                <c:pt idx="1520">
                  <c:v>7.9059999999999997</c:v>
                </c:pt>
                <c:pt idx="1521">
                  <c:v>7.9059999999999997</c:v>
                </c:pt>
                <c:pt idx="1522">
                  <c:v>7.9059999999999997</c:v>
                </c:pt>
                <c:pt idx="1523">
                  <c:v>8.0090000000000003</c:v>
                </c:pt>
                <c:pt idx="1524">
                  <c:v>8.0090000000000003</c:v>
                </c:pt>
                <c:pt idx="1525">
                  <c:v>8.0090000000000003</c:v>
                </c:pt>
                <c:pt idx="1526">
                  <c:v>8.0090000000000003</c:v>
                </c:pt>
                <c:pt idx="1527">
                  <c:v>8.0090000000000003</c:v>
                </c:pt>
                <c:pt idx="1528">
                  <c:v>8.2530000000000001</c:v>
                </c:pt>
                <c:pt idx="1529">
                  <c:v>8.2530000000000001</c:v>
                </c:pt>
                <c:pt idx="1530">
                  <c:v>8.2530000000000001</c:v>
                </c:pt>
                <c:pt idx="1531">
                  <c:v>8.2530000000000001</c:v>
                </c:pt>
                <c:pt idx="1532">
                  <c:v>8.2530000000000001</c:v>
                </c:pt>
                <c:pt idx="1533">
                  <c:v>8.2390000000000008</c:v>
                </c:pt>
                <c:pt idx="1534">
                  <c:v>8.2390000000000008</c:v>
                </c:pt>
                <c:pt idx="1535">
                  <c:v>8.2390000000000008</c:v>
                </c:pt>
                <c:pt idx="1536">
                  <c:v>8.2390000000000008</c:v>
                </c:pt>
                <c:pt idx="1537">
                  <c:v>8</c:v>
                </c:pt>
                <c:pt idx="1538">
                  <c:v>8</c:v>
                </c:pt>
                <c:pt idx="1539">
                  <c:v>13.975</c:v>
                </c:pt>
                <c:pt idx="1540">
                  <c:v>13.975</c:v>
                </c:pt>
                <c:pt idx="1541">
                  <c:v>13.975</c:v>
                </c:pt>
                <c:pt idx="1542">
                  <c:v>13.975</c:v>
                </c:pt>
                <c:pt idx="1543">
                  <c:v>14.099</c:v>
                </c:pt>
                <c:pt idx="1544">
                  <c:v>14.099</c:v>
                </c:pt>
                <c:pt idx="1545">
                  <c:v>14.099</c:v>
                </c:pt>
                <c:pt idx="1546">
                  <c:v>14.099</c:v>
                </c:pt>
                <c:pt idx="1547">
                  <c:v>14.099</c:v>
                </c:pt>
                <c:pt idx="1548">
                  <c:v>14.18</c:v>
                </c:pt>
                <c:pt idx="1549">
                  <c:v>14.18</c:v>
                </c:pt>
                <c:pt idx="1550">
                  <c:v>14.18</c:v>
                </c:pt>
                <c:pt idx="1551">
                  <c:v>14.18</c:v>
                </c:pt>
                <c:pt idx="1552">
                  <c:v>14.18</c:v>
                </c:pt>
                <c:pt idx="1553">
                  <c:v>14.313000000000001</c:v>
                </c:pt>
                <c:pt idx="1554">
                  <c:v>14.313000000000001</c:v>
                </c:pt>
                <c:pt idx="1555">
                  <c:v>14.313000000000001</c:v>
                </c:pt>
                <c:pt idx="1556">
                  <c:v>14.313000000000001</c:v>
                </c:pt>
                <c:pt idx="1557">
                  <c:v>14.313000000000001</c:v>
                </c:pt>
                <c:pt idx="1558">
                  <c:v>14.313000000000001</c:v>
                </c:pt>
                <c:pt idx="1559">
                  <c:v>14.021000000000001</c:v>
                </c:pt>
                <c:pt idx="1560">
                  <c:v>14.021000000000001</c:v>
                </c:pt>
                <c:pt idx="1561">
                  <c:v>14.021000000000001</c:v>
                </c:pt>
                <c:pt idx="1562">
                  <c:v>14.021000000000001</c:v>
                </c:pt>
                <c:pt idx="1563">
                  <c:v>14.021000000000001</c:v>
                </c:pt>
                <c:pt idx="1564">
                  <c:v>13.736000000000001</c:v>
                </c:pt>
                <c:pt idx="1565">
                  <c:v>13.736000000000001</c:v>
                </c:pt>
                <c:pt idx="1566">
                  <c:v>13.736000000000001</c:v>
                </c:pt>
                <c:pt idx="1567">
                  <c:v>13.736000000000001</c:v>
                </c:pt>
                <c:pt idx="1568">
                  <c:v>13.736000000000001</c:v>
                </c:pt>
                <c:pt idx="1569">
                  <c:v>13.503</c:v>
                </c:pt>
                <c:pt idx="1570">
                  <c:v>13.503</c:v>
                </c:pt>
                <c:pt idx="1571">
                  <c:v>13.503</c:v>
                </c:pt>
                <c:pt idx="1572">
                  <c:v>13.503</c:v>
                </c:pt>
                <c:pt idx="1573">
                  <c:v>13.503</c:v>
                </c:pt>
                <c:pt idx="1574">
                  <c:v>13.503</c:v>
                </c:pt>
                <c:pt idx="1575">
                  <c:v>12.89</c:v>
                </c:pt>
                <c:pt idx="1576">
                  <c:v>12.89</c:v>
                </c:pt>
                <c:pt idx="1577">
                  <c:v>12.89</c:v>
                </c:pt>
                <c:pt idx="1578">
                  <c:v>12.89</c:v>
                </c:pt>
                <c:pt idx="1579">
                  <c:v>12.89</c:v>
                </c:pt>
                <c:pt idx="1580">
                  <c:v>12.186999999999999</c:v>
                </c:pt>
                <c:pt idx="1581">
                  <c:v>12.186999999999999</c:v>
                </c:pt>
                <c:pt idx="1582">
                  <c:v>12.186999999999999</c:v>
                </c:pt>
                <c:pt idx="1583">
                  <c:v>12.186999999999999</c:v>
                </c:pt>
                <c:pt idx="1584">
                  <c:v>12.186999999999999</c:v>
                </c:pt>
                <c:pt idx="1585">
                  <c:v>11.627000000000001</c:v>
                </c:pt>
                <c:pt idx="1586">
                  <c:v>11.627000000000001</c:v>
                </c:pt>
                <c:pt idx="1587">
                  <c:v>11.627000000000001</c:v>
                </c:pt>
                <c:pt idx="1588">
                  <c:v>11.627000000000001</c:v>
                </c:pt>
                <c:pt idx="1589">
                  <c:v>11.627000000000001</c:v>
                </c:pt>
                <c:pt idx="1590">
                  <c:v>10.926</c:v>
                </c:pt>
                <c:pt idx="1591">
                  <c:v>10.926</c:v>
                </c:pt>
                <c:pt idx="1592">
                  <c:v>10.926</c:v>
                </c:pt>
                <c:pt idx="1593">
                  <c:v>10.926</c:v>
                </c:pt>
                <c:pt idx="1594">
                  <c:v>10.199</c:v>
                </c:pt>
                <c:pt idx="1595">
                  <c:v>10.199</c:v>
                </c:pt>
                <c:pt idx="1596">
                  <c:v>10.064</c:v>
                </c:pt>
                <c:pt idx="1597">
                  <c:v>10.064</c:v>
                </c:pt>
                <c:pt idx="1598">
                  <c:v>10.064</c:v>
                </c:pt>
                <c:pt idx="1599">
                  <c:v>10.064</c:v>
                </c:pt>
                <c:pt idx="1600">
                  <c:v>10.16</c:v>
                </c:pt>
                <c:pt idx="1601">
                  <c:v>10.16</c:v>
                </c:pt>
                <c:pt idx="1602">
                  <c:v>10.16</c:v>
                </c:pt>
                <c:pt idx="1603">
                  <c:v>10.16</c:v>
                </c:pt>
                <c:pt idx="1604">
                  <c:v>10.16</c:v>
                </c:pt>
                <c:pt idx="1605">
                  <c:v>10.409000000000001</c:v>
                </c:pt>
                <c:pt idx="1606">
                  <c:v>10.409000000000001</c:v>
                </c:pt>
                <c:pt idx="1607">
                  <c:v>10.409000000000001</c:v>
                </c:pt>
                <c:pt idx="1608">
                  <c:v>10.409000000000001</c:v>
                </c:pt>
                <c:pt idx="1609">
                  <c:v>10.409000000000001</c:v>
                </c:pt>
                <c:pt idx="1610">
                  <c:v>10.523999999999999</c:v>
                </c:pt>
                <c:pt idx="1611">
                  <c:v>10.523999999999999</c:v>
                </c:pt>
                <c:pt idx="1612">
                  <c:v>10.523999999999999</c:v>
                </c:pt>
                <c:pt idx="1613">
                  <c:v>10.523999999999999</c:v>
                </c:pt>
                <c:pt idx="1614">
                  <c:v>10.523999999999999</c:v>
                </c:pt>
                <c:pt idx="1615">
                  <c:v>10.523999999999999</c:v>
                </c:pt>
                <c:pt idx="1616">
                  <c:v>10.256</c:v>
                </c:pt>
                <c:pt idx="1617">
                  <c:v>10.256</c:v>
                </c:pt>
                <c:pt idx="1618">
                  <c:v>10.256</c:v>
                </c:pt>
                <c:pt idx="1619">
                  <c:v>10.256</c:v>
                </c:pt>
                <c:pt idx="1620">
                  <c:v>10.256</c:v>
                </c:pt>
                <c:pt idx="1621">
                  <c:v>9.9659999999999993</c:v>
                </c:pt>
                <c:pt idx="1622">
                  <c:v>9.9659999999999993</c:v>
                </c:pt>
                <c:pt idx="1623">
                  <c:v>9.9659999999999993</c:v>
                </c:pt>
                <c:pt idx="1624">
                  <c:v>9.9659999999999993</c:v>
                </c:pt>
                <c:pt idx="1625">
                  <c:v>9.9659999999999993</c:v>
                </c:pt>
                <c:pt idx="1626">
                  <c:v>9.8629999999999995</c:v>
                </c:pt>
                <c:pt idx="1627">
                  <c:v>9.8629999999999995</c:v>
                </c:pt>
                <c:pt idx="1628">
                  <c:v>9.8629999999999995</c:v>
                </c:pt>
                <c:pt idx="1629">
                  <c:v>9.8629999999999995</c:v>
                </c:pt>
                <c:pt idx="1630">
                  <c:v>9.8629999999999995</c:v>
                </c:pt>
                <c:pt idx="1631">
                  <c:v>9.8629999999999995</c:v>
                </c:pt>
                <c:pt idx="1632">
                  <c:v>9.3569999999999993</c:v>
                </c:pt>
                <c:pt idx="1633">
                  <c:v>9.3569999999999993</c:v>
                </c:pt>
                <c:pt idx="1634">
                  <c:v>9.3569999999999993</c:v>
                </c:pt>
                <c:pt idx="1635">
                  <c:v>9.3569999999999993</c:v>
                </c:pt>
                <c:pt idx="1636">
                  <c:v>9.3569999999999993</c:v>
                </c:pt>
                <c:pt idx="1637">
                  <c:v>8.9879999999999995</c:v>
                </c:pt>
                <c:pt idx="1638">
                  <c:v>8.9879999999999995</c:v>
                </c:pt>
                <c:pt idx="1639">
                  <c:v>8.9879999999999995</c:v>
                </c:pt>
                <c:pt idx="1640">
                  <c:v>8.9879999999999995</c:v>
                </c:pt>
                <c:pt idx="1641">
                  <c:v>8.9879999999999995</c:v>
                </c:pt>
                <c:pt idx="1642">
                  <c:v>9.14</c:v>
                </c:pt>
                <c:pt idx="1643">
                  <c:v>9.14</c:v>
                </c:pt>
                <c:pt idx="1644">
                  <c:v>9.14</c:v>
                </c:pt>
                <c:pt idx="1645">
                  <c:v>9.14</c:v>
                </c:pt>
                <c:pt idx="1646">
                  <c:v>9.14</c:v>
                </c:pt>
                <c:pt idx="1647">
                  <c:v>9.4190000000000005</c:v>
                </c:pt>
                <c:pt idx="1648">
                  <c:v>9.4190000000000005</c:v>
                </c:pt>
                <c:pt idx="1649">
                  <c:v>9.4190000000000005</c:v>
                </c:pt>
                <c:pt idx="1650">
                  <c:v>9.4190000000000005</c:v>
                </c:pt>
                <c:pt idx="1651">
                  <c:v>9.1509999999999998</c:v>
                </c:pt>
                <c:pt idx="1652">
                  <c:v>9.1509999999999998</c:v>
                </c:pt>
                <c:pt idx="1653">
                  <c:v>8.3239999999999998</c:v>
                </c:pt>
                <c:pt idx="1654">
                  <c:v>8.3239999999999998</c:v>
                </c:pt>
                <c:pt idx="1655">
                  <c:v>8.3239999999999998</c:v>
                </c:pt>
                <c:pt idx="1656">
                  <c:v>8.3239999999999998</c:v>
                </c:pt>
                <c:pt idx="1657">
                  <c:v>8.1999999999999993</c:v>
                </c:pt>
                <c:pt idx="1658">
                  <c:v>8.1999999999999993</c:v>
                </c:pt>
                <c:pt idx="1659">
                  <c:v>8.1999999999999993</c:v>
                </c:pt>
                <c:pt idx="1660">
                  <c:v>8.1999999999999993</c:v>
                </c:pt>
                <c:pt idx="1661">
                  <c:v>8.1999999999999993</c:v>
                </c:pt>
                <c:pt idx="1662">
                  <c:v>8.0990000000000002</c:v>
                </c:pt>
                <c:pt idx="1663">
                  <c:v>8.0990000000000002</c:v>
                </c:pt>
                <c:pt idx="1664">
                  <c:v>8.0990000000000002</c:v>
                </c:pt>
                <c:pt idx="1665">
                  <c:v>8.0990000000000002</c:v>
                </c:pt>
                <c:pt idx="1666">
                  <c:v>8.0990000000000002</c:v>
                </c:pt>
                <c:pt idx="1667">
                  <c:v>8.1630000000000003</c:v>
                </c:pt>
                <c:pt idx="1668">
                  <c:v>8.1630000000000003</c:v>
                </c:pt>
                <c:pt idx="1669">
                  <c:v>8.1630000000000003</c:v>
                </c:pt>
                <c:pt idx="1670">
                  <c:v>8.1630000000000003</c:v>
                </c:pt>
                <c:pt idx="1671">
                  <c:v>8.1630000000000003</c:v>
                </c:pt>
                <c:pt idx="1672">
                  <c:v>8.1630000000000003</c:v>
                </c:pt>
                <c:pt idx="1673">
                  <c:v>8.0280000000000005</c:v>
                </c:pt>
                <c:pt idx="1674">
                  <c:v>8.0280000000000005</c:v>
                </c:pt>
                <c:pt idx="1675">
                  <c:v>8.0280000000000005</c:v>
                </c:pt>
                <c:pt idx="1676">
                  <c:v>8.0280000000000005</c:v>
                </c:pt>
                <c:pt idx="1677">
                  <c:v>8.0280000000000005</c:v>
                </c:pt>
                <c:pt idx="1678">
                  <c:v>7.931</c:v>
                </c:pt>
                <c:pt idx="1679">
                  <c:v>7.931</c:v>
                </c:pt>
                <c:pt idx="1680">
                  <c:v>7.931</c:v>
                </c:pt>
                <c:pt idx="1681">
                  <c:v>7.931</c:v>
                </c:pt>
                <c:pt idx="1682">
                  <c:v>7.931</c:v>
                </c:pt>
                <c:pt idx="1683">
                  <c:v>7.8520000000000003</c:v>
                </c:pt>
                <c:pt idx="1684">
                  <c:v>7.8520000000000003</c:v>
                </c:pt>
                <c:pt idx="1685">
                  <c:v>7.8520000000000003</c:v>
                </c:pt>
                <c:pt idx="1686">
                  <c:v>7.8520000000000003</c:v>
                </c:pt>
                <c:pt idx="1687">
                  <c:v>7.8520000000000003</c:v>
                </c:pt>
                <c:pt idx="1688">
                  <c:v>7.8520000000000003</c:v>
                </c:pt>
                <c:pt idx="1689">
                  <c:v>7.4409999999999998</c:v>
                </c:pt>
                <c:pt idx="1690">
                  <c:v>7.4409999999999998</c:v>
                </c:pt>
                <c:pt idx="1691">
                  <c:v>7.4409999999999998</c:v>
                </c:pt>
                <c:pt idx="1692">
                  <c:v>7.4409999999999998</c:v>
                </c:pt>
                <c:pt idx="1693">
                  <c:v>7.4409999999999998</c:v>
                </c:pt>
                <c:pt idx="1694">
                  <c:v>7.0570000000000004</c:v>
                </c:pt>
                <c:pt idx="1695">
                  <c:v>7.0570000000000004</c:v>
                </c:pt>
                <c:pt idx="1696">
                  <c:v>7.0570000000000004</c:v>
                </c:pt>
                <c:pt idx="1697">
                  <c:v>7.0570000000000004</c:v>
                </c:pt>
                <c:pt idx="1698">
                  <c:v>7.0570000000000004</c:v>
                </c:pt>
                <c:pt idx="1699">
                  <c:v>6.891</c:v>
                </c:pt>
                <c:pt idx="1700">
                  <c:v>6.891</c:v>
                </c:pt>
                <c:pt idx="1701">
                  <c:v>6.891</c:v>
                </c:pt>
                <c:pt idx="1702">
                  <c:v>6.891</c:v>
                </c:pt>
                <c:pt idx="1703">
                  <c:v>6.891</c:v>
                </c:pt>
                <c:pt idx="1704">
                  <c:v>6.5650000000000004</c:v>
                </c:pt>
                <c:pt idx="1705">
                  <c:v>6.5650000000000004</c:v>
                </c:pt>
                <c:pt idx="1706">
                  <c:v>6.5650000000000004</c:v>
                </c:pt>
                <c:pt idx="1707">
                  <c:v>6.5650000000000004</c:v>
                </c:pt>
                <c:pt idx="1708">
                  <c:v>6.17</c:v>
                </c:pt>
                <c:pt idx="1709">
                  <c:v>6.17</c:v>
                </c:pt>
                <c:pt idx="1710">
                  <c:v>8.3239999999999998</c:v>
                </c:pt>
                <c:pt idx="1711">
                  <c:v>8.3239999999999998</c:v>
                </c:pt>
                <c:pt idx="1712">
                  <c:v>8.3239999999999998</c:v>
                </c:pt>
                <c:pt idx="1713">
                  <c:v>8.3239999999999998</c:v>
                </c:pt>
                <c:pt idx="1714">
                  <c:v>8.1999999999999993</c:v>
                </c:pt>
                <c:pt idx="1715">
                  <c:v>8.1999999999999993</c:v>
                </c:pt>
                <c:pt idx="1716">
                  <c:v>8.1999999999999993</c:v>
                </c:pt>
                <c:pt idx="1717">
                  <c:v>8.1999999999999993</c:v>
                </c:pt>
                <c:pt idx="1718">
                  <c:v>8.1999999999999993</c:v>
                </c:pt>
                <c:pt idx="1719">
                  <c:v>8.0990000000000002</c:v>
                </c:pt>
                <c:pt idx="1720">
                  <c:v>8.0990000000000002</c:v>
                </c:pt>
                <c:pt idx="1721">
                  <c:v>8.0990000000000002</c:v>
                </c:pt>
                <c:pt idx="1722">
                  <c:v>8.0990000000000002</c:v>
                </c:pt>
                <c:pt idx="1723">
                  <c:v>8.0990000000000002</c:v>
                </c:pt>
                <c:pt idx="1724">
                  <c:v>8.1630000000000003</c:v>
                </c:pt>
                <c:pt idx="1725">
                  <c:v>8.1630000000000003</c:v>
                </c:pt>
                <c:pt idx="1726">
                  <c:v>8.1630000000000003</c:v>
                </c:pt>
                <c:pt idx="1727">
                  <c:v>8.1630000000000003</c:v>
                </c:pt>
                <c:pt idx="1728">
                  <c:v>8.1630000000000003</c:v>
                </c:pt>
                <c:pt idx="1729">
                  <c:v>8.1630000000000003</c:v>
                </c:pt>
                <c:pt idx="1730">
                  <c:v>8.0280000000000005</c:v>
                </c:pt>
                <c:pt idx="1731">
                  <c:v>8.0280000000000005</c:v>
                </c:pt>
                <c:pt idx="1732">
                  <c:v>8.0280000000000005</c:v>
                </c:pt>
                <c:pt idx="1733">
                  <c:v>8.0280000000000005</c:v>
                </c:pt>
                <c:pt idx="1734">
                  <c:v>8.0280000000000005</c:v>
                </c:pt>
                <c:pt idx="1735">
                  <c:v>7.931</c:v>
                </c:pt>
                <c:pt idx="1736">
                  <c:v>7.931</c:v>
                </c:pt>
                <c:pt idx="1737">
                  <c:v>7.931</c:v>
                </c:pt>
                <c:pt idx="1738">
                  <c:v>7.931</c:v>
                </c:pt>
                <c:pt idx="1739">
                  <c:v>7.931</c:v>
                </c:pt>
                <c:pt idx="1740">
                  <c:v>7.8520000000000003</c:v>
                </c:pt>
                <c:pt idx="1741">
                  <c:v>7.8520000000000003</c:v>
                </c:pt>
                <c:pt idx="1742">
                  <c:v>7.8520000000000003</c:v>
                </c:pt>
                <c:pt idx="1743">
                  <c:v>7.8520000000000003</c:v>
                </c:pt>
                <c:pt idx="1744">
                  <c:v>7.8520000000000003</c:v>
                </c:pt>
                <c:pt idx="1745">
                  <c:v>7.8520000000000003</c:v>
                </c:pt>
                <c:pt idx="1746">
                  <c:v>7.4409999999999998</c:v>
                </c:pt>
                <c:pt idx="1747">
                  <c:v>7.4409999999999998</c:v>
                </c:pt>
                <c:pt idx="1748">
                  <c:v>7.4409999999999998</c:v>
                </c:pt>
                <c:pt idx="1749">
                  <c:v>7.4409999999999998</c:v>
                </c:pt>
                <c:pt idx="1750">
                  <c:v>7.4409999999999998</c:v>
                </c:pt>
                <c:pt idx="1751">
                  <c:v>7.0570000000000004</c:v>
                </c:pt>
                <c:pt idx="1752">
                  <c:v>7.0570000000000004</c:v>
                </c:pt>
                <c:pt idx="1753">
                  <c:v>7.0570000000000004</c:v>
                </c:pt>
                <c:pt idx="1754">
                  <c:v>7.0570000000000004</c:v>
                </c:pt>
                <c:pt idx="1755">
                  <c:v>7.0570000000000004</c:v>
                </c:pt>
                <c:pt idx="1756">
                  <c:v>6.891</c:v>
                </c:pt>
                <c:pt idx="1757">
                  <c:v>6.891</c:v>
                </c:pt>
                <c:pt idx="1758">
                  <c:v>6.891</c:v>
                </c:pt>
                <c:pt idx="1759">
                  <c:v>6.891</c:v>
                </c:pt>
                <c:pt idx="1760">
                  <c:v>6.891</c:v>
                </c:pt>
                <c:pt idx="1761">
                  <c:v>6.5650000000000004</c:v>
                </c:pt>
                <c:pt idx="1762">
                  <c:v>6.5650000000000004</c:v>
                </c:pt>
                <c:pt idx="1763">
                  <c:v>6.5650000000000004</c:v>
                </c:pt>
                <c:pt idx="1764">
                  <c:v>6.5650000000000004</c:v>
                </c:pt>
                <c:pt idx="1765">
                  <c:v>6.17</c:v>
                </c:pt>
                <c:pt idx="1766">
                  <c:v>6.17</c:v>
                </c:pt>
                <c:pt idx="1767">
                  <c:v>9.0139999999999993</c:v>
                </c:pt>
                <c:pt idx="1768">
                  <c:v>9.0139999999999993</c:v>
                </c:pt>
                <c:pt idx="1769">
                  <c:v>9.0139999999999993</c:v>
                </c:pt>
                <c:pt idx="1770">
                  <c:v>9.0139999999999993</c:v>
                </c:pt>
                <c:pt idx="1771">
                  <c:v>8.9629999999999992</c:v>
                </c:pt>
                <c:pt idx="1772">
                  <c:v>8.9629999999999992</c:v>
                </c:pt>
                <c:pt idx="1773">
                  <c:v>8.9629999999999992</c:v>
                </c:pt>
                <c:pt idx="1774">
                  <c:v>8.9629999999999992</c:v>
                </c:pt>
                <c:pt idx="1775">
                  <c:v>8.9629999999999992</c:v>
                </c:pt>
                <c:pt idx="1776">
                  <c:v>9.0169999999999995</c:v>
                </c:pt>
                <c:pt idx="1777">
                  <c:v>9.0169999999999995</c:v>
                </c:pt>
                <c:pt idx="1778">
                  <c:v>9.0169999999999995</c:v>
                </c:pt>
                <c:pt idx="1779">
                  <c:v>9.0169999999999995</c:v>
                </c:pt>
                <c:pt idx="1780">
                  <c:v>9.0169999999999995</c:v>
                </c:pt>
                <c:pt idx="1781">
                  <c:v>9.1370000000000005</c:v>
                </c:pt>
                <c:pt idx="1782">
                  <c:v>9.1370000000000005</c:v>
                </c:pt>
                <c:pt idx="1783">
                  <c:v>9.1370000000000005</c:v>
                </c:pt>
                <c:pt idx="1784">
                  <c:v>9.1370000000000005</c:v>
                </c:pt>
                <c:pt idx="1785">
                  <c:v>9.1370000000000005</c:v>
                </c:pt>
                <c:pt idx="1786">
                  <c:v>9.1370000000000005</c:v>
                </c:pt>
                <c:pt idx="1787">
                  <c:v>8.8179999999999996</c:v>
                </c:pt>
                <c:pt idx="1788">
                  <c:v>8.8179999999999996</c:v>
                </c:pt>
                <c:pt idx="1789">
                  <c:v>8.8179999999999996</c:v>
                </c:pt>
                <c:pt idx="1790">
                  <c:v>8.8179999999999996</c:v>
                </c:pt>
                <c:pt idx="1791">
                  <c:v>8.8179999999999996</c:v>
                </c:pt>
                <c:pt idx="1792">
                  <c:v>8.5950000000000006</c:v>
                </c:pt>
                <c:pt idx="1793">
                  <c:v>8.5950000000000006</c:v>
                </c:pt>
                <c:pt idx="1794">
                  <c:v>8.5950000000000006</c:v>
                </c:pt>
                <c:pt idx="1795">
                  <c:v>8.5950000000000006</c:v>
                </c:pt>
                <c:pt idx="1796">
                  <c:v>8.5950000000000006</c:v>
                </c:pt>
                <c:pt idx="1797">
                  <c:v>8.6219999999999999</c:v>
                </c:pt>
                <c:pt idx="1798">
                  <c:v>8.6219999999999999</c:v>
                </c:pt>
                <c:pt idx="1799">
                  <c:v>8.6219999999999999</c:v>
                </c:pt>
                <c:pt idx="1800">
                  <c:v>8.6219999999999999</c:v>
                </c:pt>
                <c:pt idx="1801">
                  <c:v>8.6219999999999999</c:v>
                </c:pt>
                <c:pt idx="1802">
                  <c:v>8.6219999999999999</c:v>
                </c:pt>
                <c:pt idx="1803">
                  <c:v>8.5129999999999999</c:v>
                </c:pt>
                <c:pt idx="1804">
                  <c:v>8.5129999999999999</c:v>
                </c:pt>
                <c:pt idx="1805">
                  <c:v>8.5129999999999999</c:v>
                </c:pt>
                <c:pt idx="1806">
                  <c:v>8.5129999999999999</c:v>
                </c:pt>
                <c:pt idx="1807">
                  <c:v>8.5129999999999999</c:v>
                </c:pt>
                <c:pt idx="1808">
                  <c:v>8.2560000000000002</c:v>
                </c:pt>
                <c:pt idx="1809">
                  <c:v>8.2560000000000002</c:v>
                </c:pt>
                <c:pt idx="1810">
                  <c:v>8.2560000000000002</c:v>
                </c:pt>
                <c:pt idx="1811">
                  <c:v>8.2560000000000002</c:v>
                </c:pt>
                <c:pt idx="1812">
                  <c:v>8.2560000000000002</c:v>
                </c:pt>
                <c:pt idx="1813">
                  <c:v>8.09</c:v>
                </c:pt>
                <c:pt idx="1814">
                  <c:v>8.09</c:v>
                </c:pt>
                <c:pt idx="1815">
                  <c:v>8.09</c:v>
                </c:pt>
                <c:pt idx="1816">
                  <c:v>8.09</c:v>
                </c:pt>
                <c:pt idx="1817">
                  <c:v>8.09</c:v>
                </c:pt>
                <c:pt idx="1818">
                  <c:v>7.8719999999999999</c:v>
                </c:pt>
                <c:pt idx="1819">
                  <c:v>7.8719999999999999</c:v>
                </c:pt>
                <c:pt idx="1820">
                  <c:v>7.8719999999999999</c:v>
                </c:pt>
                <c:pt idx="1821">
                  <c:v>7.8719999999999999</c:v>
                </c:pt>
                <c:pt idx="1822">
                  <c:v>7.5570000000000004</c:v>
                </c:pt>
                <c:pt idx="1823">
                  <c:v>7.5570000000000004</c:v>
                </c:pt>
                <c:pt idx="1824">
                  <c:v>10.115</c:v>
                </c:pt>
                <c:pt idx="1825">
                  <c:v>10.115</c:v>
                </c:pt>
                <c:pt idx="1826">
                  <c:v>10.115</c:v>
                </c:pt>
                <c:pt idx="1827">
                  <c:v>10.115</c:v>
                </c:pt>
                <c:pt idx="1828">
                  <c:v>9.8490000000000002</c:v>
                </c:pt>
                <c:pt idx="1829">
                  <c:v>9.8490000000000002</c:v>
                </c:pt>
                <c:pt idx="1830">
                  <c:v>9.8490000000000002</c:v>
                </c:pt>
                <c:pt idx="1831">
                  <c:v>9.8490000000000002</c:v>
                </c:pt>
                <c:pt idx="1832">
                  <c:v>9.8490000000000002</c:v>
                </c:pt>
                <c:pt idx="1833">
                  <c:v>9.4949999999999992</c:v>
                </c:pt>
                <c:pt idx="1834">
                  <c:v>9.4949999999999992</c:v>
                </c:pt>
                <c:pt idx="1835">
                  <c:v>9.4949999999999992</c:v>
                </c:pt>
                <c:pt idx="1836">
                  <c:v>9.4949999999999992</c:v>
                </c:pt>
                <c:pt idx="1837">
                  <c:v>9.4949999999999992</c:v>
                </c:pt>
                <c:pt idx="1838">
                  <c:v>9.2650000000000006</c:v>
                </c:pt>
                <c:pt idx="1839">
                  <c:v>9.2650000000000006</c:v>
                </c:pt>
                <c:pt idx="1840">
                  <c:v>9.2650000000000006</c:v>
                </c:pt>
                <c:pt idx="1841">
                  <c:v>9.2650000000000006</c:v>
                </c:pt>
                <c:pt idx="1842">
                  <c:v>9.2650000000000006</c:v>
                </c:pt>
                <c:pt idx="1843">
                  <c:v>9.2650000000000006</c:v>
                </c:pt>
                <c:pt idx="1844">
                  <c:v>8.9510000000000005</c:v>
                </c:pt>
                <c:pt idx="1845">
                  <c:v>8.9510000000000005</c:v>
                </c:pt>
                <c:pt idx="1846">
                  <c:v>8.9510000000000005</c:v>
                </c:pt>
                <c:pt idx="1847">
                  <c:v>8.9510000000000005</c:v>
                </c:pt>
                <c:pt idx="1848">
                  <c:v>8.9510000000000005</c:v>
                </c:pt>
                <c:pt idx="1849">
                  <c:v>8.6869999999999994</c:v>
                </c:pt>
                <c:pt idx="1850">
                  <c:v>8.6869999999999994</c:v>
                </c:pt>
                <c:pt idx="1851">
                  <c:v>8.6869999999999994</c:v>
                </c:pt>
                <c:pt idx="1852">
                  <c:v>8.6869999999999994</c:v>
                </c:pt>
                <c:pt idx="1853">
                  <c:v>8.6869999999999994</c:v>
                </c:pt>
                <c:pt idx="1854">
                  <c:v>8.4420000000000002</c:v>
                </c:pt>
                <c:pt idx="1855">
                  <c:v>8.4420000000000002</c:v>
                </c:pt>
                <c:pt idx="1856">
                  <c:v>8.4420000000000002</c:v>
                </c:pt>
                <c:pt idx="1857">
                  <c:v>8.4420000000000002</c:v>
                </c:pt>
                <c:pt idx="1858">
                  <c:v>8.4420000000000002</c:v>
                </c:pt>
                <c:pt idx="1859">
                  <c:v>8.4420000000000002</c:v>
                </c:pt>
                <c:pt idx="1860">
                  <c:v>8.01</c:v>
                </c:pt>
                <c:pt idx="1861">
                  <c:v>8.01</c:v>
                </c:pt>
                <c:pt idx="1862">
                  <c:v>8.01</c:v>
                </c:pt>
                <c:pt idx="1863">
                  <c:v>8.01</c:v>
                </c:pt>
                <c:pt idx="1864">
                  <c:v>8.01</c:v>
                </c:pt>
                <c:pt idx="1865">
                  <c:v>7.6029999999999998</c:v>
                </c:pt>
                <c:pt idx="1866">
                  <c:v>7.6029999999999998</c:v>
                </c:pt>
                <c:pt idx="1867">
                  <c:v>7.6029999999999998</c:v>
                </c:pt>
                <c:pt idx="1868">
                  <c:v>7.6029999999999998</c:v>
                </c:pt>
                <c:pt idx="1869">
                  <c:v>7.6029999999999998</c:v>
                </c:pt>
                <c:pt idx="1870">
                  <c:v>7.3959999999999999</c:v>
                </c:pt>
                <c:pt idx="1871">
                  <c:v>7.3959999999999999</c:v>
                </c:pt>
                <c:pt idx="1872">
                  <c:v>7.3959999999999999</c:v>
                </c:pt>
                <c:pt idx="1873">
                  <c:v>7.3959999999999999</c:v>
                </c:pt>
                <c:pt idx="1874">
                  <c:v>7.3959999999999999</c:v>
                </c:pt>
                <c:pt idx="1875">
                  <c:v>7.1470000000000002</c:v>
                </c:pt>
                <c:pt idx="1876">
                  <c:v>7.1470000000000002</c:v>
                </c:pt>
                <c:pt idx="1877">
                  <c:v>7.1470000000000002</c:v>
                </c:pt>
                <c:pt idx="1878">
                  <c:v>7.1470000000000002</c:v>
                </c:pt>
                <c:pt idx="1879">
                  <c:v>6.8949999999999996</c:v>
                </c:pt>
                <c:pt idx="1880">
                  <c:v>6.8949999999999996</c:v>
                </c:pt>
                <c:pt idx="1881">
                  <c:v>9.5210000000000008</c:v>
                </c:pt>
                <c:pt idx="1882">
                  <c:v>9.5210000000000008</c:v>
                </c:pt>
                <c:pt idx="1883">
                  <c:v>9.5210000000000008</c:v>
                </c:pt>
                <c:pt idx="1884">
                  <c:v>9.5210000000000008</c:v>
                </c:pt>
                <c:pt idx="1885">
                  <c:v>9.593</c:v>
                </c:pt>
                <c:pt idx="1886">
                  <c:v>9.593</c:v>
                </c:pt>
                <c:pt idx="1887">
                  <c:v>9.593</c:v>
                </c:pt>
                <c:pt idx="1888">
                  <c:v>9.593</c:v>
                </c:pt>
                <c:pt idx="1889">
                  <c:v>9.593</c:v>
                </c:pt>
                <c:pt idx="1890">
                  <c:v>9.8160000000000007</c:v>
                </c:pt>
                <c:pt idx="1891">
                  <c:v>9.8160000000000007</c:v>
                </c:pt>
                <c:pt idx="1892">
                  <c:v>9.8160000000000007</c:v>
                </c:pt>
                <c:pt idx="1893">
                  <c:v>9.8160000000000007</c:v>
                </c:pt>
                <c:pt idx="1894">
                  <c:v>9.8160000000000007</c:v>
                </c:pt>
                <c:pt idx="1895">
                  <c:v>10.210000000000001</c:v>
                </c:pt>
                <c:pt idx="1896">
                  <c:v>10.210000000000001</c:v>
                </c:pt>
                <c:pt idx="1897">
                  <c:v>10.210000000000001</c:v>
                </c:pt>
                <c:pt idx="1898">
                  <c:v>10.210000000000001</c:v>
                </c:pt>
                <c:pt idx="1899">
                  <c:v>10.210000000000001</c:v>
                </c:pt>
                <c:pt idx="1900">
                  <c:v>10.210000000000001</c:v>
                </c:pt>
                <c:pt idx="1901">
                  <c:v>10.398</c:v>
                </c:pt>
                <c:pt idx="1902">
                  <c:v>10.398</c:v>
                </c:pt>
                <c:pt idx="1903">
                  <c:v>10.398</c:v>
                </c:pt>
                <c:pt idx="1904">
                  <c:v>10.398</c:v>
                </c:pt>
                <c:pt idx="1905">
                  <c:v>10.398</c:v>
                </c:pt>
                <c:pt idx="1906">
                  <c:v>10.581</c:v>
                </c:pt>
                <c:pt idx="1907">
                  <c:v>10.581</c:v>
                </c:pt>
                <c:pt idx="1908">
                  <c:v>10.581</c:v>
                </c:pt>
                <c:pt idx="1909">
                  <c:v>10.581</c:v>
                </c:pt>
                <c:pt idx="1910">
                  <c:v>10.581</c:v>
                </c:pt>
                <c:pt idx="1911">
                  <c:v>10.641</c:v>
                </c:pt>
                <c:pt idx="1912">
                  <c:v>10.641</c:v>
                </c:pt>
                <c:pt idx="1913">
                  <c:v>10.641</c:v>
                </c:pt>
                <c:pt idx="1914">
                  <c:v>10.641</c:v>
                </c:pt>
                <c:pt idx="1915">
                  <c:v>10.641</c:v>
                </c:pt>
                <c:pt idx="1916">
                  <c:v>10.641</c:v>
                </c:pt>
                <c:pt idx="1917">
                  <c:v>10.148</c:v>
                </c:pt>
                <c:pt idx="1918">
                  <c:v>10.148</c:v>
                </c:pt>
                <c:pt idx="1919">
                  <c:v>10.148</c:v>
                </c:pt>
                <c:pt idx="1920">
                  <c:v>10.148</c:v>
                </c:pt>
                <c:pt idx="1921">
                  <c:v>10.148</c:v>
                </c:pt>
                <c:pt idx="1922">
                  <c:v>9.6530000000000005</c:v>
                </c:pt>
                <c:pt idx="1923">
                  <c:v>9.6530000000000005</c:v>
                </c:pt>
                <c:pt idx="1924">
                  <c:v>9.6530000000000005</c:v>
                </c:pt>
                <c:pt idx="1925">
                  <c:v>9.6530000000000005</c:v>
                </c:pt>
                <c:pt idx="1926">
                  <c:v>9.6530000000000005</c:v>
                </c:pt>
                <c:pt idx="1927">
                  <c:v>9.5749999999999993</c:v>
                </c:pt>
                <c:pt idx="1928">
                  <c:v>9.5749999999999993</c:v>
                </c:pt>
                <c:pt idx="1929">
                  <c:v>9.5749999999999993</c:v>
                </c:pt>
                <c:pt idx="1930">
                  <c:v>9.5749999999999993</c:v>
                </c:pt>
                <c:pt idx="1931">
                  <c:v>9.5749999999999993</c:v>
                </c:pt>
                <c:pt idx="1932">
                  <c:v>9.2850000000000001</c:v>
                </c:pt>
                <c:pt idx="1933">
                  <c:v>9.2850000000000001</c:v>
                </c:pt>
                <c:pt idx="1934">
                  <c:v>9.2850000000000001</c:v>
                </c:pt>
                <c:pt idx="1935">
                  <c:v>9.2850000000000001</c:v>
                </c:pt>
                <c:pt idx="1936">
                  <c:v>8.8390000000000004</c:v>
                </c:pt>
                <c:pt idx="1937">
                  <c:v>8.8390000000000004</c:v>
                </c:pt>
                <c:pt idx="1938">
                  <c:v>9.2620000000000005</c:v>
                </c:pt>
                <c:pt idx="1939">
                  <c:v>9.2620000000000005</c:v>
                </c:pt>
                <c:pt idx="1940">
                  <c:v>9.2620000000000005</c:v>
                </c:pt>
                <c:pt idx="1941">
                  <c:v>9.2620000000000005</c:v>
                </c:pt>
                <c:pt idx="1942">
                  <c:v>9.0510000000000002</c:v>
                </c:pt>
                <c:pt idx="1943">
                  <c:v>9.0510000000000002</c:v>
                </c:pt>
                <c:pt idx="1944">
                  <c:v>9.0510000000000002</c:v>
                </c:pt>
                <c:pt idx="1945">
                  <c:v>9.0510000000000002</c:v>
                </c:pt>
                <c:pt idx="1946">
                  <c:v>9.0510000000000002</c:v>
                </c:pt>
                <c:pt idx="1947">
                  <c:v>8.8610000000000007</c:v>
                </c:pt>
                <c:pt idx="1948">
                  <c:v>8.8610000000000007</c:v>
                </c:pt>
                <c:pt idx="1949">
                  <c:v>8.8610000000000007</c:v>
                </c:pt>
                <c:pt idx="1950">
                  <c:v>8.8610000000000007</c:v>
                </c:pt>
                <c:pt idx="1951">
                  <c:v>8.8610000000000007</c:v>
                </c:pt>
                <c:pt idx="1952">
                  <c:v>8.7629999999999999</c:v>
                </c:pt>
                <c:pt idx="1953">
                  <c:v>8.7629999999999999</c:v>
                </c:pt>
                <c:pt idx="1954">
                  <c:v>8.7629999999999999</c:v>
                </c:pt>
                <c:pt idx="1955">
                  <c:v>8.7629999999999999</c:v>
                </c:pt>
                <c:pt idx="1956">
                  <c:v>8.7629999999999999</c:v>
                </c:pt>
                <c:pt idx="1957">
                  <c:v>8.7629999999999999</c:v>
                </c:pt>
                <c:pt idx="1958">
                  <c:v>8.5489999999999995</c:v>
                </c:pt>
                <c:pt idx="1959">
                  <c:v>8.5489999999999995</c:v>
                </c:pt>
                <c:pt idx="1960">
                  <c:v>8.5489999999999995</c:v>
                </c:pt>
                <c:pt idx="1961">
                  <c:v>8.5489999999999995</c:v>
                </c:pt>
                <c:pt idx="1962">
                  <c:v>8.5489999999999995</c:v>
                </c:pt>
                <c:pt idx="1963">
                  <c:v>8.5120000000000005</c:v>
                </c:pt>
                <c:pt idx="1964">
                  <c:v>8.5120000000000005</c:v>
                </c:pt>
                <c:pt idx="1965">
                  <c:v>8.5120000000000005</c:v>
                </c:pt>
                <c:pt idx="1966">
                  <c:v>8.5120000000000005</c:v>
                </c:pt>
                <c:pt idx="1967">
                  <c:v>8.5120000000000005</c:v>
                </c:pt>
                <c:pt idx="1968">
                  <c:v>8.6839999999999993</c:v>
                </c:pt>
                <c:pt idx="1969">
                  <c:v>8.6839999999999993</c:v>
                </c:pt>
                <c:pt idx="1970">
                  <c:v>8.6839999999999993</c:v>
                </c:pt>
                <c:pt idx="1971">
                  <c:v>8.6839999999999993</c:v>
                </c:pt>
                <c:pt idx="1972">
                  <c:v>8.6839999999999993</c:v>
                </c:pt>
                <c:pt idx="1973">
                  <c:v>8.6839999999999993</c:v>
                </c:pt>
                <c:pt idx="1974">
                  <c:v>8.7449999999999992</c:v>
                </c:pt>
                <c:pt idx="1975">
                  <c:v>8.7449999999999992</c:v>
                </c:pt>
                <c:pt idx="1976">
                  <c:v>8.7449999999999992</c:v>
                </c:pt>
                <c:pt idx="1977">
                  <c:v>8.7449999999999992</c:v>
                </c:pt>
                <c:pt idx="1978">
                  <c:v>8.7449999999999992</c:v>
                </c:pt>
                <c:pt idx="1979">
                  <c:v>8.7439999999999998</c:v>
                </c:pt>
                <c:pt idx="1980">
                  <c:v>8.7439999999999998</c:v>
                </c:pt>
                <c:pt idx="1981">
                  <c:v>8.7439999999999998</c:v>
                </c:pt>
                <c:pt idx="1982">
                  <c:v>8.7439999999999998</c:v>
                </c:pt>
                <c:pt idx="1983">
                  <c:v>8.7439999999999998</c:v>
                </c:pt>
                <c:pt idx="1984">
                  <c:v>8.8759999999999994</c:v>
                </c:pt>
                <c:pt idx="1985">
                  <c:v>8.8759999999999994</c:v>
                </c:pt>
                <c:pt idx="1986">
                  <c:v>8.8759999999999994</c:v>
                </c:pt>
                <c:pt idx="1987">
                  <c:v>8.8759999999999994</c:v>
                </c:pt>
                <c:pt idx="1988">
                  <c:v>8.8759999999999994</c:v>
                </c:pt>
                <c:pt idx="1989">
                  <c:v>8.8390000000000004</c:v>
                </c:pt>
                <c:pt idx="1990">
                  <c:v>8.8390000000000004</c:v>
                </c:pt>
                <c:pt idx="1991">
                  <c:v>8.8390000000000004</c:v>
                </c:pt>
                <c:pt idx="1992">
                  <c:v>8.8390000000000004</c:v>
                </c:pt>
                <c:pt idx="1993">
                  <c:v>8.6649999999999991</c:v>
                </c:pt>
                <c:pt idx="1994">
                  <c:v>8.6649999999999991</c:v>
                </c:pt>
                <c:pt idx="1995">
                  <c:v>8.5540000000000003</c:v>
                </c:pt>
                <c:pt idx="1996">
                  <c:v>8.5540000000000003</c:v>
                </c:pt>
                <c:pt idx="1997">
                  <c:v>8.5540000000000003</c:v>
                </c:pt>
                <c:pt idx="1998">
                  <c:v>8.5540000000000003</c:v>
                </c:pt>
                <c:pt idx="1999">
                  <c:v>8.4640000000000004</c:v>
                </c:pt>
                <c:pt idx="2000">
                  <c:v>8.4640000000000004</c:v>
                </c:pt>
                <c:pt idx="2001">
                  <c:v>8.4640000000000004</c:v>
                </c:pt>
                <c:pt idx="2002">
                  <c:v>8.4640000000000004</c:v>
                </c:pt>
                <c:pt idx="2003">
                  <c:v>8.4640000000000004</c:v>
                </c:pt>
                <c:pt idx="2004">
                  <c:v>8.36</c:v>
                </c:pt>
                <c:pt idx="2005">
                  <c:v>8.36</c:v>
                </c:pt>
                <c:pt idx="2006">
                  <c:v>8.36</c:v>
                </c:pt>
                <c:pt idx="2007">
                  <c:v>8.36</c:v>
                </c:pt>
                <c:pt idx="2008">
                  <c:v>8.36</c:v>
                </c:pt>
                <c:pt idx="2009">
                  <c:v>8.4760000000000009</c:v>
                </c:pt>
                <c:pt idx="2010">
                  <c:v>8.4760000000000009</c:v>
                </c:pt>
                <c:pt idx="2011">
                  <c:v>8.4760000000000009</c:v>
                </c:pt>
                <c:pt idx="2012">
                  <c:v>8.4760000000000009</c:v>
                </c:pt>
                <c:pt idx="2013">
                  <c:v>8.4760000000000009</c:v>
                </c:pt>
                <c:pt idx="2014">
                  <c:v>8.4760000000000009</c:v>
                </c:pt>
                <c:pt idx="2015">
                  <c:v>8.3949999999999996</c:v>
                </c:pt>
                <c:pt idx="2016">
                  <c:v>8.3949999999999996</c:v>
                </c:pt>
                <c:pt idx="2017">
                  <c:v>8.3949999999999996</c:v>
                </c:pt>
                <c:pt idx="2018">
                  <c:v>8.3949999999999996</c:v>
                </c:pt>
                <c:pt idx="2019">
                  <c:v>8.3949999999999996</c:v>
                </c:pt>
                <c:pt idx="2020">
                  <c:v>8.3000000000000007</c:v>
                </c:pt>
                <c:pt idx="2021">
                  <c:v>8.3000000000000007</c:v>
                </c:pt>
                <c:pt idx="2022">
                  <c:v>8.3000000000000007</c:v>
                </c:pt>
                <c:pt idx="2023">
                  <c:v>8.3000000000000007</c:v>
                </c:pt>
                <c:pt idx="2024">
                  <c:v>8.3000000000000007</c:v>
                </c:pt>
                <c:pt idx="2025">
                  <c:v>8.1769999999999996</c:v>
                </c:pt>
                <c:pt idx="2026">
                  <c:v>8.1769999999999996</c:v>
                </c:pt>
                <c:pt idx="2027">
                  <c:v>8.1769999999999996</c:v>
                </c:pt>
                <c:pt idx="2028">
                  <c:v>8.1769999999999996</c:v>
                </c:pt>
                <c:pt idx="2029">
                  <c:v>8.1769999999999996</c:v>
                </c:pt>
                <c:pt idx="2030">
                  <c:v>8.1769999999999996</c:v>
                </c:pt>
                <c:pt idx="2031">
                  <c:v>7.7160000000000002</c:v>
                </c:pt>
                <c:pt idx="2032">
                  <c:v>7.7160000000000002</c:v>
                </c:pt>
                <c:pt idx="2033">
                  <c:v>7.7160000000000002</c:v>
                </c:pt>
                <c:pt idx="2034">
                  <c:v>7.7160000000000002</c:v>
                </c:pt>
                <c:pt idx="2035">
                  <c:v>7.7160000000000002</c:v>
                </c:pt>
                <c:pt idx="2036">
                  <c:v>7.2439999999999998</c:v>
                </c:pt>
                <c:pt idx="2037">
                  <c:v>7.2439999999999998</c:v>
                </c:pt>
                <c:pt idx="2038">
                  <c:v>7.2439999999999998</c:v>
                </c:pt>
                <c:pt idx="2039">
                  <c:v>7.2439999999999998</c:v>
                </c:pt>
                <c:pt idx="2040">
                  <c:v>7.2439999999999998</c:v>
                </c:pt>
                <c:pt idx="2041">
                  <c:v>6.9889999999999999</c:v>
                </c:pt>
                <c:pt idx="2042">
                  <c:v>6.9889999999999999</c:v>
                </c:pt>
                <c:pt idx="2043">
                  <c:v>6.9889999999999999</c:v>
                </c:pt>
                <c:pt idx="2044">
                  <c:v>6.9889999999999999</c:v>
                </c:pt>
                <c:pt idx="2045">
                  <c:v>6.9889999999999999</c:v>
                </c:pt>
                <c:pt idx="2046">
                  <c:v>6.6230000000000002</c:v>
                </c:pt>
                <c:pt idx="2047">
                  <c:v>6.6230000000000002</c:v>
                </c:pt>
                <c:pt idx="2048">
                  <c:v>6.6230000000000002</c:v>
                </c:pt>
                <c:pt idx="2049">
                  <c:v>6.6230000000000002</c:v>
                </c:pt>
                <c:pt idx="2050">
                  <c:v>6.2279999999999998</c:v>
                </c:pt>
                <c:pt idx="2051">
                  <c:v>6.2279999999999998</c:v>
                </c:pt>
                <c:pt idx="2052">
                  <c:v>8.5540000000000003</c:v>
                </c:pt>
                <c:pt idx="2053">
                  <c:v>8.5540000000000003</c:v>
                </c:pt>
                <c:pt idx="2054">
                  <c:v>8.5540000000000003</c:v>
                </c:pt>
                <c:pt idx="2055">
                  <c:v>8.5540000000000003</c:v>
                </c:pt>
                <c:pt idx="2056">
                  <c:v>8.4640000000000004</c:v>
                </c:pt>
                <c:pt idx="2057">
                  <c:v>8.4640000000000004</c:v>
                </c:pt>
                <c:pt idx="2058">
                  <c:v>8.4640000000000004</c:v>
                </c:pt>
                <c:pt idx="2059">
                  <c:v>8.4640000000000004</c:v>
                </c:pt>
                <c:pt idx="2060">
                  <c:v>8.4640000000000004</c:v>
                </c:pt>
                <c:pt idx="2061">
                  <c:v>8.36</c:v>
                </c:pt>
                <c:pt idx="2062">
                  <c:v>8.36</c:v>
                </c:pt>
                <c:pt idx="2063">
                  <c:v>8.36</c:v>
                </c:pt>
                <c:pt idx="2064">
                  <c:v>8.36</c:v>
                </c:pt>
                <c:pt idx="2065">
                  <c:v>8.36</c:v>
                </c:pt>
                <c:pt idx="2066">
                  <c:v>8.4760000000000009</c:v>
                </c:pt>
                <c:pt idx="2067">
                  <c:v>8.4760000000000009</c:v>
                </c:pt>
                <c:pt idx="2068">
                  <c:v>8.4760000000000009</c:v>
                </c:pt>
                <c:pt idx="2069">
                  <c:v>8.4760000000000009</c:v>
                </c:pt>
                <c:pt idx="2070">
                  <c:v>8.4760000000000009</c:v>
                </c:pt>
                <c:pt idx="2071">
                  <c:v>8.4760000000000009</c:v>
                </c:pt>
                <c:pt idx="2072">
                  <c:v>8.3949999999999996</c:v>
                </c:pt>
                <c:pt idx="2073">
                  <c:v>8.3949999999999996</c:v>
                </c:pt>
                <c:pt idx="2074">
                  <c:v>8.3949999999999996</c:v>
                </c:pt>
                <c:pt idx="2075">
                  <c:v>8.3949999999999996</c:v>
                </c:pt>
                <c:pt idx="2076">
                  <c:v>8.3949999999999996</c:v>
                </c:pt>
                <c:pt idx="2077">
                  <c:v>8.3000000000000007</c:v>
                </c:pt>
                <c:pt idx="2078">
                  <c:v>8.3000000000000007</c:v>
                </c:pt>
                <c:pt idx="2079">
                  <c:v>8.3000000000000007</c:v>
                </c:pt>
                <c:pt idx="2080">
                  <c:v>8.3000000000000007</c:v>
                </c:pt>
                <c:pt idx="2081">
                  <c:v>8.3000000000000007</c:v>
                </c:pt>
                <c:pt idx="2082">
                  <c:v>8.1769999999999996</c:v>
                </c:pt>
                <c:pt idx="2083">
                  <c:v>8.1769999999999996</c:v>
                </c:pt>
                <c:pt idx="2084">
                  <c:v>8.1769999999999996</c:v>
                </c:pt>
                <c:pt idx="2085">
                  <c:v>8.1769999999999996</c:v>
                </c:pt>
                <c:pt idx="2086">
                  <c:v>8.1769999999999996</c:v>
                </c:pt>
                <c:pt idx="2087">
                  <c:v>8.1769999999999996</c:v>
                </c:pt>
                <c:pt idx="2088">
                  <c:v>7.7160000000000002</c:v>
                </c:pt>
                <c:pt idx="2089">
                  <c:v>7.7160000000000002</c:v>
                </c:pt>
                <c:pt idx="2090">
                  <c:v>7.7160000000000002</c:v>
                </c:pt>
                <c:pt idx="2091">
                  <c:v>7.7160000000000002</c:v>
                </c:pt>
                <c:pt idx="2092">
                  <c:v>7.7160000000000002</c:v>
                </c:pt>
                <c:pt idx="2093">
                  <c:v>7.2439999999999998</c:v>
                </c:pt>
                <c:pt idx="2094">
                  <c:v>7.2439999999999998</c:v>
                </c:pt>
                <c:pt idx="2095">
                  <c:v>7.2439999999999998</c:v>
                </c:pt>
                <c:pt idx="2096">
                  <c:v>7.2439999999999998</c:v>
                </c:pt>
                <c:pt idx="2097">
                  <c:v>7.2439999999999998</c:v>
                </c:pt>
                <c:pt idx="2098">
                  <c:v>6.9889999999999999</c:v>
                </c:pt>
                <c:pt idx="2099">
                  <c:v>6.9889999999999999</c:v>
                </c:pt>
                <c:pt idx="2100">
                  <c:v>6.9889999999999999</c:v>
                </c:pt>
                <c:pt idx="2101">
                  <c:v>6.9889999999999999</c:v>
                </c:pt>
                <c:pt idx="2102">
                  <c:v>6.9889999999999999</c:v>
                </c:pt>
                <c:pt idx="2103">
                  <c:v>6.6230000000000002</c:v>
                </c:pt>
                <c:pt idx="2104">
                  <c:v>6.6230000000000002</c:v>
                </c:pt>
                <c:pt idx="2105">
                  <c:v>6.6230000000000002</c:v>
                </c:pt>
                <c:pt idx="2106">
                  <c:v>6.6230000000000002</c:v>
                </c:pt>
                <c:pt idx="2107">
                  <c:v>6.2279999999999998</c:v>
                </c:pt>
                <c:pt idx="2108">
                  <c:v>6.2279999999999998</c:v>
                </c:pt>
                <c:pt idx="2109">
                  <c:v>13.975</c:v>
                </c:pt>
                <c:pt idx="2110">
                  <c:v>13.975</c:v>
                </c:pt>
                <c:pt idx="2111">
                  <c:v>13.975</c:v>
                </c:pt>
                <c:pt idx="2112">
                  <c:v>13.975</c:v>
                </c:pt>
                <c:pt idx="2113">
                  <c:v>14.099</c:v>
                </c:pt>
                <c:pt idx="2114">
                  <c:v>14.099</c:v>
                </c:pt>
                <c:pt idx="2115">
                  <c:v>14.099</c:v>
                </c:pt>
                <c:pt idx="2116">
                  <c:v>14.099</c:v>
                </c:pt>
                <c:pt idx="2117">
                  <c:v>14.099</c:v>
                </c:pt>
                <c:pt idx="2118">
                  <c:v>14.18</c:v>
                </c:pt>
                <c:pt idx="2119">
                  <c:v>14.18</c:v>
                </c:pt>
                <c:pt idx="2120">
                  <c:v>14.18</c:v>
                </c:pt>
                <c:pt idx="2121">
                  <c:v>14.18</c:v>
                </c:pt>
                <c:pt idx="2122">
                  <c:v>14.18</c:v>
                </c:pt>
                <c:pt idx="2123">
                  <c:v>14.313000000000001</c:v>
                </c:pt>
                <c:pt idx="2124">
                  <c:v>14.313000000000001</c:v>
                </c:pt>
                <c:pt idx="2125">
                  <c:v>14.313000000000001</c:v>
                </c:pt>
                <c:pt idx="2126">
                  <c:v>14.313000000000001</c:v>
                </c:pt>
                <c:pt idx="2127">
                  <c:v>14.313000000000001</c:v>
                </c:pt>
                <c:pt idx="2128">
                  <c:v>14.313000000000001</c:v>
                </c:pt>
                <c:pt idx="2129">
                  <c:v>14.021000000000001</c:v>
                </c:pt>
                <c:pt idx="2130">
                  <c:v>14.021000000000001</c:v>
                </c:pt>
                <c:pt idx="2131">
                  <c:v>14.021000000000001</c:v>
                </c:pt>
                <c:pt idx="2132">
                  <c:v>14.021000000000001</c:v>
                </c:pt>
                <c:pt idx="2133">
                  <c:v>14.021000000000001</c:v>
                </c:pt>
                <c:pt idx="2134">
                  <c:v>13.736000000000001</c:v>
                </c:pt>
                <c:pt idx="2135">
                  <c:v>13.736000000000001</c:v>
                </c:pt>
                <c:pt idx="2136">
                  <c:v>13.736000000000001</c:v>
                </c:pt>
                <c:pt idx="2137">
                  <c:v>13.736000000000001</c:v>
                </c:pt>
                <c:pt idx="2138">
                  <c:v>13.736000000000001</c:v>
                </c:pt>
                <c:pt idx="2139">
                  <c:v>13.503</c:v>
                </c:pt>
                <c:pt idx="2140">
                  <c:v>13.503</c:v>
                </c:pt>
                <c:pt idx="2141">
                  <c:v>13.503</c:v>
                </c:pt>
                <c:pt idx="2142">
                  <c:v>13.503</c:v>
                </c:pt>
                <c:pt idx="2143">
                  <c:v>13.503</c:v>
                </c:pt>
                <c:pt idx="2144">
                  <c:v>13.503</c:v>
                </c:pt>
                <c:pt idx="2145">
                  <c:v>12.89</c:v>
                </c:pt>
                <c:pt idx="2146">
                  <c:v>12.89</c:v>
                </c:pt>
                <c:pt idx="2147">
                  <c:v>12.89</c:v>
                </c:pt>
                <c:pt idx="2148">
                  <c:v>12.89</c:v>
                </c:pt>
                <c:pt idx="2149">
                  <c:v>12.89</c:v>
                </c:pt>
                <c:pt idx="2150">
                  <c:v>12.186999999999999</c:v>
                </c:pt>
                <c:pt idx="2151">
                  <c:v>12.186999999999999</c:v>
                </c:pt>
                <c:pt idx="2152">
                  <c:v>12.186999999999999</c:v>
                </c:pt>
                <c:pt idx="2153">
                  <c:v>12.186999999999999</c:v>
                </c:pt>
                <c:pt idx="2154">
                  <c:v>12.186999999999999</c:v>
                </c:pt>
                <c:pt idx="2155">
                  <c:v>11.627000000000001</c:v>
                </c:pt>
                <c:pt idx="2156">
                  <c:v>11.627000000000001</c:v>
                </c:pt>
                <c:pt idx="2157">
                  <c:v>11.627000000000001</c:v>
                </c:pt>
                <c:pt idx="2158">
                  <c:v>11.627000000000001</c:v>
                </c:pt>
                <c:pt idx="2159">
                  <c:v>11.627000000000001</c:v>
                </c:pt>
                <c:pt idx="2160">
                  <c:v>10.926</c:v>
                </c:pt>
                <c:pt idx="2161">
                  <c:v>10.926</c:v>
                </c:pt>
                <c:pt idx="2162">
                  <c:v>10.926</c:v>
                </c:pt>
                <c:pt idx="2163">
                  <c:v>10.926</c:v>
                </c:pt>
                <c:pt idx="2164">
                  <c:v>10.199</c:v>
                </c:pt>
                <c:pt idx="2165">
                  <c:v>10.199</c:v>
                </c:pt>
                <c:pt idx="2166">
                  <c:v>8.5540000000000003</c:v>
                </c:pt>
                <c:pt idx="2167">
                  <c:v>8.5540000000000003</c:v>
                </c:pt>
                <c:pt idx="2168">
                  <c:v>8.5540000000000003</c:v>
                </c:pt>
                <c:pt idx="2169">
                  <c:v>8.5540000000000003</c:v>
                </c:pt>
                <c:pt idx="2170">
                  <c:v>8.4640000000000004</c:v>
                </c:pt>
                <c:pt idx="2171">
                  <c:v>8.4640000000000004</c:v>
                </c:pt>
                <c:pt idx="2172">
                  <c:v>8.4640000000000004</c:v>
                </c:pt>
                <c:pt idx="2173">
                  <c:v>8.4640000000000004</c:v>
                </c:pt>
                <c:pt idx="2174">
                  <c:v>8.4640000000000004</c:v>
                </c:pt>
                <c:pt idx="2175">
                  <c:v>8.36</c:v>
                </c:pt>
                <c:pt idx="2176">
                  <c:v>8.36</c:v>
                </c:pt>
                <c:pt idx="2177">
                  <c:v>8.36</c:v>
                </c:pt>
                <c:pt idx="2178">
                  <c:v>8.36</c:v>
                </c:pt>
                <c:pt idx="2179">
                  <c:v>8.36</c:v>
                </c:pt>
                <c:pt idx="2180">
                  <c:v>8.4760000000000009</c:v>
                </c:pt>
                <c:pt idx="2181">
                  <c:v>8.4760000000000009</c:v>
                </c:pt>
                <c:pt idx="2182">
                  <c:v>8.4760000000000009</c:v>
                </c:pt>
                <c:pt idx="2183">
                  <c:v>8.4760000000000009</c:v>
                </c:pt>
                <c:pt idx="2184">
                  <c:v>8.4760000000000009</c:v>
                </c:pt>
                <c:pt idx="2185">
                  <c:v>8.4760000000000009</c:v>
                </c:pt>
                <c:pt idx="2186">
                  <c:v>8.3949999999999996</c:v>
                </c:pt>
                <c:pt idx="2187">
                  <c:v>8.3949999999999996</c:v>
                </c:pt>
                <c:pt idx="2188">
                  <c:v>8.3949999999999996</c:v>
                </c:pt>
                <c:pt idx="2189">
                  <c:v>8.3949999999999996</c:v>
                </c:pt>
                <c:pt idx="2190">
                  <c:v>8.3949999999999996</c:v>
                </c:pt>
                <c:pt idx="2191">
                  <c:v>8.3000000000000007</c:v>
                </c:pt>
                <c:pt idx="2192">
                  <c:v>8.3000000000000007</c:v>
                </c:pt>
                <c:pt idx="2193">
                  <c:v>8.3000000000000007</c:v>
                </c:pt>
                <c:pt idx="2194">
                  <c:v>8.3000000000000007</c:v>
                </c:pt>
                <c:pt idx="2195">
                  <c:v>8.3000000000000007</c:v>
                </c:pt>
                <c:pt idx="2196">
                  <c:v>8.1769999999999996</c:v>
                </c:pt>
                <c:pt idx="2197">
                  <c:v>8.1769999999999996</c:v>
                </c:pt>
                <c:pt idx="2198">
                  <c:v>8.1769999999999996</c:v>
                </c:pt>
                <c:pt idx="2199">
                  <c:v>8.1769999999999996</c:v>
                </c:pt>
                <c:pt idx="2200">
                  <c:v>8.1769999999999996</c:v>
                </c:pt>
                <c:pt idx="2201">
                  <c:v>8.1769999999999996</c:v>
                </c:pt>
                <c:pt idx="2202">
                  <c:v>7.7160000000000002</c:v>
                </c:pt>
                <c:pt idx="2203">
                  <c:v>7.7160000000000002</c:v>
                </c:pt>
                <c:pt idx="2204">
                  <c:v>7.7160000000000002</c:v>
                </c:pt>
                <c:pt idx="2205">
                  <c:v>7.7160000000000002</c:v>
                </c:pt>
                <c:pt idx="2206">
                  <c:v>7.7160000000000002</c:v>
                </c:pt>
                <c:pt idx="2207">
                  <c:v>7.2439999999999998</c:v>
                </c:pt>
                <c:pt idx="2208">
                  <c:v>7.2439999999999998</c:v>
                </c:pt>
                <c:pt idx="2209">
                  <c:v>7.2439999999999998</c:v>
                </c:pt>
                <c:pt idx="2210">
                  <c:v>7.2439999999999998</c:v>
                </c:pt>
                <c:pt idx="2211">
                  <c:v>7.2439999999999998</c:v>
                </c:pt>
                <c:pt idx="2212">
                  <c:v>6.9889999999999999</c:v>
                </c:pt>
                <c:pt idx="2213">
                  <c:v>6.9889999999999999</c:v>
                </c:pt>
                <c:pt idx="2214">
                  <c:v>6.9889999999999999</c:v>
                </c:pt>
                <c:pt idx="2215">
                  <c:v>6.9889999999999999</c:v>
                </c:pt>
                <c:pt idx="2216">
                  <c:v>6.9889999999999999</c:v>
                </c:pt>
                <c:pt idx="2217">
                  <c:v>6.6230000000000002</c:v>
                </c:pt>
                <c:pt idx="2218">
                  <c:v>6.6230000000000002</c:v>
                </c:pt>
                <c:pt idx="2219">
                  <c:v>6.6230000000000002</c:v>
                </c:pt>
                <c:pt idx="2220">
                  <c:v>6.6230000000000002</c:v>
                </c:pt>
                <c:pt idx="2221">
                  <c:v>6.2279999999999998</c:v>
                </c:pt>
                <c:pt idx="2222">
                  <c:v>6.2279999999999998</c:v>
                </c:pt>
                <c:pt idx="2223">
                  <c:v>5.8920000000000003</c:v>
                </c:pt>
                <c:pt idx="2224">
                  <c:v>5.8920000000000003</c:v>
                </c:pt>
                <c:pt idx="2225">
                  <c:v>5.8920000000000003</c:v>
                </c:pt>
                <c:pt idx="2226">
                  <c:v>5.8920000000000003</c:v>
                </c:pt>
                <c:pt idx="2227">
                  <c:v>5.4349999999999996</c:v>
                </c:pt>
                <c:pt idx="2228">
                  <c:v>5.4349999999999996</c:v>
                </c:pt>
                <c:pt idx="2229">
                  <c:v>5.4349999999999996</c:v>
                </c:pt>
                <c:pt idx="2230">
                  <c:v>5.4349999999999996</c:v>
                </c:pt>
                <c:pt idx="2231">
                  <c:v>5.4349999999999996</c:v>
                </c:pt>
                <c:pt idx="2232">
                  <c:v>5.3259999999999996</c:v>
                </c:pt>
                <c:pt idx="2233">
                  <c:v>5.3259999999999996</c:v>
                </c:pt>
                <c:pt idx="2234">
                  <c:v>5.3259999999999996</c:v>
                </c:pt>
                <c:pt idx="2235">
                  <c:v>5.3259999999999996</c:v>
                </c:pt>
                <c:pt idx="2236">
                  <c:v>5.3259999999999996</c:v>
                </c:pt>
                <c:pt idx="2237">
                  <c:v>5.2869999999999999</c:v>
                </c:pt>
                <c:pt idx="2238">
                  <c:v>5.2869999999999999</c:v>
                </c:pt>
                <c:pt idx="2239">
                  <c:v>5.2869999999999999</c:v>
                </c:pt>
                <c:pt idx="2240">
                  <c:v>5.2869999999999999</c:v>
                </c:pt>
                <c:pt idx="2241">
                  <c:v>5.2869999999999999</c:v>
                </c:pt>
                <c:pt idx="2242">
                  <c:v>5.2869999999999999</c:v>
                </c:pt>
                <c:pt idx="2243">
                  <c:v>5.1139999999999999</c:v>
                </c:pt>
                <c:pt idx="2244">
                  <c:v>5.1139999999999999</c:v>
                </c:pt>
                <c:pt idx="2245">
                  <c:v>5.1139999999999999</c:v>
                </c:pt>
                <c:pt idx="2246">
                  <c:v>5.1139999999999999</c:v>
                </c:pt>
                <c:pt idx="2247">
                  <c:v>5.1139999999999999</c:v>
                </c:pt>
                <c:pt idx="2248">
                  <c:v>4.7809999999999997</c:v>
                </c:pt>
                <c:pt idx="2249">
                  <c:v>4.7809999999999997</c:v>
                </c:pt>
                <c:pt idx="2250">
                  <c:v>4.7809999999999997</c:v>
                </c:pt>
                <c:pt idx="2251">
                  <c:v>4.7809999999999997</c:v>
                </c:pt>
                <c:pt idx="2252">
                  <c:v>4.7809999999999997</c:v>
                </c:pt>
                <c:pt idx="2253">
                  <c:v>4.5839999999999996</c:v>
                </c:pt>
                <c:pt idx="2254">
                  <c:v>4.5839999999999996</c:v>
                </c:pt>
                <c:pt idx="2255">
                  <c:v>4.5839999999999996</c:v>
                </c:pt>
                <c:pt idx="2256">
                  <c:v>4.5839999999999996</c:v>
                </c:pt>
                <c:pt idx="2257">
                  <c:v>4.5839999999999996</c:v>
                </c:pt>
                <c:pt idx="2258">
                  <c:v>4.5839999999999996</c:v>
                </c:pt>
                <c:pt idx="2259">
                  <c:v>4.42</c:v>
                </c:pt>
                <c:pt idx="2260">
                  <c:v>4.42</c:v>
                </c:pt>
                <c:pt idx="2261">
                  <c:v>4.42</c:v>
                </c:pt>
                <c:pt idx="2262">
                  <c:v>4.42</c:v>
                </c:pt>
                <c:pt idx="2263">
                  <c:v>4.42</c:v>
                </c:pt>
                <c:pt idx="2264">
                  <c:v>4.2610000000000001</c:v>
                </c:pt>
                <c:pt idx="2265">
                  <c:v>4.2610000000000001</c:v>
                </c:pt>
                <c:pt idx="2266">
                  <c:v>4.2610000000000001</c:v>
                </c:pt>
                <c:pt idx="2267">
                  <c:v>4.2610000000000001</c:v>
                </c:pt>
                <c:pt idx="2268">
                  <c:v>4.2610000000000001</c:v>
                </c:pt>
                <c:pt idx="2269">
                  <c:v>4.125</c:v>
                </c:pt>
                <c:pt idx="2270">
                  <c:v>4.125</c:v>
                </c:pt>
                <c:pt idx="2271">
                  <c:v>4.125</c:v>
                </c:pt>
                <c:pt idx="2272">
                  <c:v>4.125</c:v>
                </c:pt>
                <c:pt idx="2273">
                  <c:v>4.125</c:v>
                </c:pt>
                <c:pt idx="2274">
                  <c:v>4.1559999999999997</c:v>
                </c:pt>
                <c:pt idx="2275">
                  <c:v>4.1559999999999997</c:v>
                </c:pt>
                <c:pt idx="2276">
                  <c:v>4.1559999999999997</c:v>
                </c:pt>
                <c:pt idx="2277">
                  <c:v>4.1559999999999997</c:v>
                </c:pt>
                <c:pt idx="2278">
                  <c:v>4.1449999999999996</c:v>
                </c:pt>
                <c:pt idx="2279">
                  <c:v>4.1449999999999996</c:v>
                </c:pt>
                <c:pt idx="2280">
                  <c:v>7.5410000000000004</c:v>
                </c:pt>
                <c:pt idx="2281">
                  <c:v>7.5410000000000004</c:v>
                </c:pt>
                <c:pt idx="2282">
                  <c:v>7.5410000000000004</c:v>
                </c:pt>
                <c:pt idx="2283">
                  <c:v>7.5410000000000004</c:v>
                </c:pt>
                <c:pt idx="2284">
                  <c:v>7.3630000000000004</c:v>
                </c:pt>
                <c:pt idx="2285">
                  <c:v>7.3630000000000004</c:v>
                </c:pt>
                <c:pt idx="2286">
                  <c:v>7.3630000000000004</c:v>
                </c:pt>
                <c:pt idx="2287">
                  <c:v>7.3630000000000004</c:v>
                </c:pt>
                <c:pt idx="2288">
                  <c:v>7.3630000000000004</c:v>
                </c:pt>
                <c:pt idx="2289">
                  <c:v>7.335</c:v>
                </c:pt>
                <c:pt idx="2290">
                  <c:v>7.335</c:v>
                </c:pt>
                <c:pt idx="2291">
                  <c:v>7.335</c:v>
                </c:pt>
                <c:pt idx="2292">
                  <c:v>7.335</c:v>
                </c:pt>
                <c:pt idx="2293">
                  <c:v>7.335</c:v>
                </c:pt>
                <c:pt idx="2294">
                  <c:v>7.508</c:v>
                </c:pt>
                <c:pt idx="2295">
                  <c:v>7.508</c:v>
                </c:pt>
                <c:pt idx="2296">
                  <c:v>7.508</c:v>
                </c:pt>
                <c:pt idx="2297">
                  <c:v>7.508</c:v>
                </c:pt>
                <c:pt idx="2298">
                  <c:v>7.508</c:v>
                </c:pt>
                <c:pt idx="2299">
                  <c:v>7.508</c:v>
                </c:pt>
                <c:pt idx="2300">
                  <c:v>7.2409999999999997</c:v>
                </c:pt>
                <c:pt idx="2301">
                  <c:v>7.2409999999999997</c:v>
                </c:pt>
                <c:pt idx="2302">
                  <c:v>7.2409999999999997</c:v>
                </c:pt>
                <c:pt idx="2303">
                  <c:v>7.2409999999999997</c:v>
                </c:pt>
                <c:pt idx="2304">
                  <c:v>7.2409999999999997</c:v>
                </c:pt>
                <c:pt idx="2305">
                  <c:v>6.9340000000000002</c:v>
                </c:pt>
                <c:pt idx="2306">
                  <c:v>6.9340000000000002</c:v>
                </c:pt>
                <c:pt idx="2307">
                  <c:v>6.9340000000000002</c:v>
                </c:pt>
                <c:pt idx="2308">
                  <c:v>6.9340000000000002</c:v>
                </c:pt>
                <c:pt idx="2309">
                  <c:v>6.9340000000000002</c:v>
                </c:pt>
                <c:pt idx="2310">
                  <c:v>6.9009999999999998</c:v>
                </c:pt>
                <c:pt idx="2311">
                  <c:v>6.9009999999999998</c:v>
                </c:pt>
                <c:pt idx="2312">
                  <c:v>6.9009999999999998</c:v>
                </c:pt>
                <c:pt idx="2313">
                  <c:v>6.9009999999999998</c:v>
                </c:pt>
                <c:pt idx="2314">
                  <c:v>6.9009999999999998</c:v>
                </c:pt>
                <c:pt idx="2315">
                  <c:v>6.9009999999999998</c:v>
                </c:pt>
                <c:pt idx="2316">
                  <c:v>6.7590000000000003</c:v>
                </c:pt>
                <c:pt idx="2317">
                  <c:v>6.7590000000000003</c:v>
                </c:pt>
                <c:pt idx="2318">
                  <c:v>6.7590000000000003</c:v>
                </c:pt>
                <c:pt idx="2319">
                  <c:v>6.7590000000000003</c:v>
                </c:pt>
                <c:pt idx="2320">
                  <c:v>6.7590000000000003</c:v>
                </c:pt>
                <c:pt idx="2321">
                  <c:v>6.5890000000000004</c:v>
                </c:pt>
                <c:pt idx="2322">
                  <c:v>6.5890000000000004</c:v>
                </c:pt>
                <c:pt idx="2323">
                  <c:v>6.5890000000000004</c:v>
                </c:pt>
                <c:pt idx="2324">
                  <c:v>6.5890000000000004</c:v>
                </c:pt>
                <c:pt idx="2325">
                  <c:v>6.5890000000000004</c:v>
                </c:pt>
                <c:pt idx="2326">
                  <c:v>6.5469999999999997</c:v>
                </c:pt>
                <c:pt idx="2327">
                  <c:v>6.5469999999999997</c:v>
                </c:pt>
                <c:pt idx="2328">
                  <c:v>6.5469999999999997</c:v>
                </c:pt>
                <c:pt idx="2329">
                  <c:v>6.5469999999999997</c:v>
                </c:pt>
                <c:pt idx="2330">
                  <c:v>6.5469999999999997</c:v>
                </c:pt>
                <c:pt idx="2331">
                  <c:v>6.4320000000000004</c:v>
                </c:pt>
                <c:pt idx="2332">
                  <c:v>6.4320000000000004</c:v>
                </c:pt>
                <c:pt idx="2333">
                  <c:v>6.4320000000000004</c:v>
                </c:pt>
                <c:pt idx="2334">
                  <c:v>6.4320000000000004</c:v>
                </c:pt>
                <c:pt idx="2335">
                  <c:v>6.1950000000000003</c:v>
                </c:pt>
                <c:pt idx="2336">
                  <c:v>6.1950000000000003</c:v>
                </c:pt>
                <c:pt idx="2337">
                  <c:v>9.7650000000000006</c:v>
                </c:pt>
                <c:pt idx="2338">
                  <c:v>9.7650000000000006</c:v>
                </c:pt>
                <c:pt idx="2339">
                  <c:v>9.7650000000000006</c:v>
                </c:pt>
                <c:pt idx="2340">
                  <c:v>9.7650000000000006</c:v>
                </c:pt>
                <c:pt idx="2341">
                  <c:v>9.5239999999999991</c:v>
                </c:pt>
                <c:pt idx="2342">
                  <c:v>9.5239999999999991</c:v>
                </c:pt>
                <c:pt idx="2343">
                  <c:v>9.5239999999999991</c:v>
                </c:pt>
                <c:pt idx="2344">
                  <c:v>9.5239999999999991</c:v>
                </c:pt>
                <c:pt idx="2345">
                  <c:v>9.5239999999999991</c:v>
                </c:pt>
                <c:pt idx="2346">
                  <c:v>9.1989999999999998</c:v>
                </c:pt>
                <c:pt idx="2347">
                  <c:v>9.1989999999999998</c:v>
                </c:pt>
                <c:pt idx="2348">
                  <c:v>9.1989999999999998</c:v>
                </c:pt>
                <c:pt idx="2349">
                  <c:v>9.1989999999999998</c:v>
                </c:pt>
                <c:pt idx="2350">
                  <c:v>9.1989999999999998</c:v>
                </c:pt>
                <c:pt idx="2351">
                  <c:v>9.0030000000000001</c:v>
                </c:pt>
                <c:pt idx="2352">
                  <c:v>9.0030000000000001</c:v>
                </c:pt>
                <c:pt idx="2353">
                  <c:v>9.0030000000000001</c:v>
                </c:pt>
                <c:pt idx="2354">
                  <c:v>9.0030000000000001</c:v>
                </c:pt>
                <c:pt idx="2355">
                  <c:v>9.0030000000000001</c:v>
                </c:pt>
                <c:pt idx="2356">
                  <c:v>9.0030000000000001</c:v>
                </c:pt>
                <c:pt idx="2357">
                  <c:v>8.7439999999999998</c:v>
                </c:pt>
                <c:pt idx="2358">
                  <c:v>8.7439999999999998</c:v>
                </c:pt>
                <c:pt idx="2359">
                  <c:v>8.7439999999999998</c:v>
                </c:pt>
                <c:pt idx="2360">
                  <c:v>8.7439999999999998</c:v>
                </c:pt>
                <c:pt idx="2361">
                  <c:v>8.7439999999999998</c:v>
                </c:pt>
                <c:pt idx="2362">
                  <c:v>8.4939999999999998</c:v>
                </c:pt>
                <c:pt idx="2363">
                  <c:v>8.4939999999999998</c:v>
                </c:pt>
                <c:pt idx="2364">
                  <c:v>8.4939999999999998</c:v>
                </c:pt>
                <c:pt idx="2365">
                  <c:v>8.4939999999999998</c:v>
                </c:pt>
                <c:pt idx="2366">
                  <c:v>8.4939999999999998</c:v>
                </c:pt>
                <c:pt idx="2367">
                  <c:v>8.2569999999999997</c:v>
                </c:pt>
                <c:pt idx="2368">
                  <c:v>8.2569999999999997</c:v>
                </c:pt>
                <c:pt idx="2369">
                  <c:v>8.2569999999999997</c:v>
                </c:pt>
                <c:pt idx="2370">
                  <c:v>8.2569999999999997</c:v>
                </c:pt>
                <c:pt idx="2371">
                  <c:v>8.2569999999999997</c:v>
                </c:pt>
                <c:pt idx="2372">
                  <c:v>8.2569999999999997</c:v>
                </c:pt>
                <c:pt idx="2373">
                  <c:v>7.8739999999999997</c:v>
                </c:pt>
                <c:pt idx="2374">
                  <c:v>7.8739999999999997</c:v>
                </c:pt>
                <c:pt idx="2375">
                  <c:v>7.8739999999999997</c:v>
                </c:pt>
                <c:pt idx="2376">
                  <c:v>7.8739999999999997</c:v>
                </c:pt>
                <c:pt idx="2377">
                  <c:v>7.8739999999999997</c:v>
                </c:pt>
                <c:pt idx="2378">
                  <c:v>7.5449999999999999</c:v>
                </c:pt>
                <c:pt idx="2379">
                  <c:v>7.5449999999999999</c:v>
                </c:pt>
                <c:pt idx="2380">
                  <c:v>7.5449999999999999</c:v>
                </c:pt>
                <c:pt idx="2381">
                  <c:v>7.5449999999999999</c:v>
                </c:pt>
                <c:pt idx="2382">
                  <c:v>7.5449999999999999</c:v>
                </c:pt>
                <c:pt idx="2383">
                  <c:v>7.3819999999999997</c:v>
                </c:pt>
                <c:pt idx="2384">
                  <c:v>7.3819999999999997</c:v>
                </c:pt>
                <c:pt idx="2385">
                  <c:v>7.3819999999999997</c:v>
                </c:pt>
                <c:pt idx="2386">
                  <c:v>7.3819999999999997</c:v>
                </c:pt>
                <c:pt idx="2387">
                  <c:v>7.3819999999999997</c:v>
                </c:pt>
                <c:pt idx="2388">
                  <c:v>7.17</c:v>
                </c:pt>
                <c:pt idx="2389">
                  <c:v>7.17</c:v>
                </c:pt>
                <c:pt idx="2390">
                  <c:v>7.17</c:v>
                </c:pt>
                <c:pt idx="2391">
                  <c:v>7.17</c:v>
                </c:pt>
                <c:pt idx="2392">
                  <c:v>6.9429999999999996</c:v>
                </c:pt>
                <c:pt idx="2393">
                  <c:v>6.9429999999999996</c:v>
                </c:pt>
                <c:pt idx="2394">
                  <c:v>9.5210000000000008</c:v>
                </c:pt>
                <c:pt idx="2395">
                  <c:v>9.5210000000000008</c:v>
                </c:pt>
                <c:pt idx="2396">
                  <c:v>9.5210000000000008</c:v>
                </c:pt>
                <c:pt idx="2397">
                  <c:v>9.5210000000000008</c:v>
                </c:pt>
                <c:pt idx="2398">
                  <c:v>9.593</c:v>
                </c:pt>
                <c:pt idx="2399">
                  <c:v>9.593</c:v>
                </c:pt>
                <c:pt idx="2400">
                  <c:v>9.593</c:v>
                </c:pt>
                <c:pt idx="2401">
                  <c:v>9.593</c:v>
                </c:pt>
                <c:pt idx="2402">
                  <c:v>9.593</c:v>
                </c:pt>
                <c:pt idx="2403">
                  <c:v>9.8160000000000007</c:v>
                </c:pt>
                <c:pt idx="2404">
                  <c:v>9.8160000000000007</c:v>
                </c:pt>
                <c:pt idx="2405">
                  <c:v>9.8160000000000007</c:v>
                </c:pt>
                <c:pt idx="2406">
                  <c:v>9.8160000000000007</c:v>
                </c:pt>
                <c:pt idx="2407">
                  <c:v>9.8160000000000007</c:v>
                </c:pt>
                <c:pt idx="2408">
                  <c:v>10.210000000000001</c:v>
                </c:pt>
                <c:pt idx="2409">
                  <c:v>10.210000000000001</c:v>
                </c:pt>
                <c:pt idx="2410">
                  <c:v>10.210000000000001</c:v>
                </c:pt>
                <c:pt idx="2411">
                  <c:v>10.210000000000001</c:v>
                </c:pt>
                <c:pt idx="2412">
                  <c:v>10.210000000000001</c:v>
                </c:pt>
                <c:pt idx="2413">
                  <c:v>10.210000000000001</c:v>
                </c:pt>
                <c:pt idx="2414">
                  <c:v>10.398</c:v>
                </c:pt>
                <c:pt idx="2415">
                  <c:v>10.398</c:v>
                </c:pt>
                <c:pt idx="2416">
                  <c:v>10.398</c:v>
                </c:pt>
                <c:pt idx="2417">
                  <c:v>10.398</c:v>
                </c:pt>
                <c:pt idx="2418">
                  <c:v>10.398</c:v>
                </c:pt>
                <c:pt idx="2419">
                  <c:v>10.581</c:v>
                </c:pt>
                <c:pt idx="2420">
                  <c:v>10.581</c:v>
                </c:pt>
                <c:pt idx="2421">
                  <c:v>10.581</c:v>
                </c:pt>
                <c:pt idx="2422">
                  <c:v>10.581</c:v>
                </c:pt>
                <c:pt idx="2423">
                  <c:v>10.581</c:v>
                </c:pt>
                <c:pt idx="2424">
                  <c:v>10.641</c:v>
                </c:pt>
                <c:pt idx="2425">
                  <c:v>10.641</c:v>
                </c:pt>
                <c:pt idx="2426">
                  <c:v>10.641</c:v>
                </c:pt>
                <c:pt idx="2427">
                  <c:v>10.641</c:v>
                </c:pt>
                <c:pt idx="2428">
                  <c:v>10.641</c:v>
                </c:pt>
                <c:pt idx="2429">
                  <c:v>10.641</c:v>
                </c:pt>
                <c:pt idx="2430">
                  <c:v>10.148</c:v>
                </c:pt>
                <c:pt idx="2431">
                  <c:v>10.148</c:v>
                </c:pt>
                <c:pt idx="2432">
                  <c:v>10.148</c:v>
                </c:pt>
                <c:pt idx="2433">
                  <c:v>10.148</c:v>
                </c:pt>
                <c:pt idx="2434">
                  <c:v>10.148</c:v>
                </c:pt>
                <c:pt idx="2435">
                  <c:v>9.6530000000000005</c:v>
                </c:pt>
                <c:pt idx="2436">
                  <c:v>9.6530000000000005</c:v>
                </c:pt>
                <c:pt idx="2437">
                  <c:v>9.6530000000000005</c:v>
                </c:pt>
                <c:pt idx="2438">
                  <c:v>9.6530000000000005</c:v>
                </c:pt>
                <c:pt idx="2439">
                  <c:v>9.6530000000000005</c:v>
                </c:pt>
                <c:pt idx="2440">
                  <c:v>9.5749999999999993</c:v>
                </c:pt>
                <c:pt idx="2441">
                  <c:v>9.5749999999999993</c:v>
                </c:pt>
                <c:pt idx="2442">
                  <c:v>9.5749999999999993</c:v>
                </c:pt>
                <c:pt idx="2443">
                  <c:v>9.5749999999999993</c:v>
                </c:pt>
                <c:pt idx="2444">
                  <c:v>9.5749999999999993</c:v>
                </c:pt>
                <c:pt idx="2445">
                  <c:v>9.2850000000000001</c:v>
                </c:pt>
                <c:pt idx="2446">
                  <c:v>9.2850000000000001</c:v>
                </c:pt>
                <c:pt idx="2447">
                  <c:v>9.2850000000000001</c:v>
                </c:pt>
                <c:pt idx="2448">
                  <c:v>9.2850000000000001</c:v>
                </c:pt>
                <c:pt idx="2449">
                  <c:v>8.8390000000000004</c:v>
                </c:pt>
                <c:pt idx="2450">
                  <c:v>8.8390000000000004</c:v>
                </c:pt>
                <c:pt idx="2451">
                  <c:v>8.1189999999999998</c:v>
                </c:pt>
                <c:pt idx="2452">
                  <c:v>8.1189999999999998</c:v>
                </c:pt>
                <c:pt idx="2453">
                  <c:v>8.1189999999999998</c:v>
                </c:pt>
                <c:pt idx="2454">
                  <c:v>8.1189999999999998</c:v>
                </c:pt>
                <c:pt idx="2455">
                  <c:v>7.9720000000000004</c:v>
                </c:pt>
                <c:pt idx="2456">
                  <c:v>7.9720000000000004</c:v>
                </c:pt>
                <c:pt idx="2457">
                  <c:v>7.9720000000000004</c:v>
                </c:pt>
                <c:pt idx="2458">
                  <c:v>7.9720000000000004</c:v>
                </c:pt>
                <c:pt idx="2459">
                  <c:v>7.9720000000000004</c:v>
                </c:pt>
                <c:pt idx="2460">
                  <c:v>7.8040000000000003</c:v>
                </c:pt>
                <c:pt idx="2461">
                  <c:v>7.8040000000000003</c:v>
                </c:pt>
                <c:pt idx="2462">
                  <c:v>7.8040000000000003</c:v>
                </c:pt>
                <c:pt idx="2463">
                  <c:v>7.8040000000000003</c:v>
                </c:pt>
                <c:pt idx="2464">
                  <c:v>7.8040000000000003</c:v>
                </c:pt>
                <c:pt idx="2465">
                  <c:v>7.61</c:v>
                </c:pt>
                <c:pt idx="2466">
                  <c:v>7.61</c:v>
                </c:pt>
                <c:pt idx="2467">
                  <c:v>7.61</c:v>
                </c:pt>
                <c:pt idx="2468">
                  <c:v>7.61</c:v>
                </c:pt>
                <c:pt idx="2469">
                  <c:v>7.61</c:v>
                </c:pt>
                <c:pt idx="2470">
                  <c:v>7.61</c:v>
                </c:pt>
                <c:pt idx="2471">
                  <c:v>7.2240000000000002</c:v>
                </c:pt>
                <c:pt idx="2472">
                  <c:v>7.2240000000000002</c:v>
                </c:pt>
                <c:pt idx="2473">
                  <c:v>7.2240000000000002</c:v>
                </c:pt>
                <c:pt idx="2474">
                  <c:v>7.2240000000000002</c:v>
                </c:pt>
                <c:pt idx="2475">
                  <c:v>7.2240000000000002</c:v>
                </c:pt>
                <c:pt idx="2476">
                  <c:v>6.9059999999999997</c:v>
                </c:pt>
                <c:pt idx="2477">
                  <c:v>6.9059999999999997</c:v>
                </c:pt>
                <c:pt idx="2478">
                  <c:v>6.9059999999999997</c:v>
                </c:pt>
                <c:pt idx="2479">
                  <c:v>6.9059999999999997</c:v>
                </c:pt>
                <c:pt idx="2480">
                  <c:v>6.9059999999999997</c:v>
                </c:pt>
                <c:pt idx="2481">
                  <c:v>6.56</c:v>
                </c:pt>
                <c:pt idx="2482">
                  <c:v>6.56</c:v>
                </c:pt>
                <c:pt idx="2483">
                  <c:v>6.56</c:v>
                </c:pt>
                <c:pt idx="2484">
                  <c:v>6.56</c:v>
                </c:pt>
                <c:pt idx="2485">
                  <c:v>6.56</c:v>
                </c:pt>
                <c:pt idx="2486">
                  <c:v>6.56</c:v>
                </c:pt>
                <c:pt idx="2487">
                  <c:v>6.0780000000000003</c:v>
                </c:pt>
                <c:pt idx="2488">
                  <c:v>6.0780000000000003</c:v>
                </c:pt>
                <c:pt idx="2489">
                  <c:v>6.0780000000000003</c:v>
                </c:pt>
                <c:pt idx="2490">
                  <c:v>6.0780000000000003</c:v>
                </c:pt>
                <c:pt idx="2491">
                  <c:v>6.0780000000000003</c:v>
                </c:pt>
                <c:pt idx="2492">
                  <c:v>5.774</c:v>
                </c:pt>
                <c:pt idx="2493">
                  <c:v>5.774</c:v>
                </c:pt>
                <c:pt idx="2494">
                  <c:v>5.774</c:v>
                </c:pt>
                <c:pt idx="2495">
                  <c:v>5.774</c:v>
                </c:pt>
                <c:pt idx="2496">
                  <c:v>5.774</c:v>
                </c:pt>
                <c:pt idx="2497">
                  <c:v>5.6210000000000004</c:v>
                </c:pt>
                <c:pt idx="2498">
                  <c:v>5.6210000000000004</c:v>
                </c:pt>
                <c:pt idx="2499">
                  <c:v>5.6210000000000004</c:v>
                </c:pt>
                <c:pt idx="2500">
                  <c:v>5.6210000000000004</c:v>
                </c:pt>
                <c:pt idx="2501">
                  <c:v>5.6210000000000004</c:v>
                </c:pt>
                <c:pt idx="2502">
                  <c:v>5.407</c:v>
                </c:pt>
                <c:pt idx="2503">
                  <c:v>5.407</c:v>
                </c:pt>
                <c:pt idx="2504">
                  <c:v>5.407</c:v>
                </c:pt>
                <c:pt idx="2505">
                  <c:v>5.407</c:v>
                </c:pt>
                <c:pt idx="2506">
                  <c:v>5.2169999999999996</c:v>
                </c:pt>
                <c:pt idx="2507">
                  <c:v>5.2169999999999996</c:v>
                </c:pt>
                <c:pt idx="2508">
                  <c:v>8.9920000000000009</c:v>
                </c:pt>
                <c:pt idx="2509">
                  <c:v>8.9920000000000009</c:v>
                </c:pt>
                <c:pt idx="2510">
                  <c:v>8.9920000000000009</c:v>
                </c:pt>
                <c:pt idx="2511">
                  <c:v>8.9920000000000009</c:v>
                </c:pt>
                <c:pt idx="2512">
                  <c:v>8.8989999999999991</c:v>
                </c:pt>
                <c:pt idx="2513">
                  <c:v>8.8989999999999991</c:v>
                </c:pt>
                <c:pt idx="2514">
                  <c:v>8.8989999999999991</c:v>
                </c:pt>
                <c:pt idx="2515">
                  <c:v>8.8989999999999991</c:v>
                </c:pt>
                <c:pt idx="2516">
                  <c:v>8.8989999999999991</c:v>
                </c:pt>
                <c:pt idx="2517">
                  <c:v>8.7430000000000003</c:v>
                </c:pt>
                <c:pt idx="2518">
                  <c:v>8.7430000000000003</c:v>
                </c:pt>
                <c:pt idx="2519">
                  <c:v>8.7430000000000003</c:v>
                </c:pt>
                <c:pt idx="2520">
                  <c:v>8.7430000000000003</c:v>
                </c:pt>
                <c:pt idx="2521">
                  <c:v>8.7430000000000003</c:v>
                </c:pt>
                <c:pt idx="2522">
                  <c:v>8.7240000000000002</c:v>
                </c:pt>
                <c:pt idx="2523">
                  <c:v>8.7240000000000002</c:v>
                </c:pt>
                <c:pt idx="2524">
                  <c:v>8.7240000000000002</c:v>
                </c:pt>
                <c:pt idx="2525">
                  <c:v>8.7240000000000002</c:v>
                </c:pt>
                <c:pt idx="2526">
                  <c:v>8.7240000000000002</c:v>
                </c:pt>
                <c:pt idx="2527">
                  <c:v>8.7240000000000002</c:v>
                </c:pt>
                <c:pt idx="2528">
                  <c:v>8.5489999999999995</c:v>
                </c:pt>
                <c:pt idx="2529">
                  <c:v>8.5489999999999995</c:v>
                </c:pt>
                <c:pt idx="2530">
                  <c:v>8.5489999999999995</c:v>
                </c:pt>
                <c:pt idx="2531">
                  <c:v>8.5489999999999995</c:v>
                </c:pt>
                <c:pt idx="2532">
                  <c:v>8.5489999999999995</c:v>
                </c:pt>
                <c:pt idx="2533">
                  <c:v>8.5210000000000008</c:v>
                </c:pt>
                <c:pt idx="2534">
                  <c:v>8.5210000000000008</c:v>
                </c:pt>
                <c:pt idx="2535">
                  <c:v>8.5210000000000008</c:v>
                </c:pt>
                <c:pt idx="2536">
                  <c:v>8.5210000000000008</c:v>
                </c:pt>
                <c:pt idx="2537">
                  <c:v>8.5210000000000008</c:v>
                </c:pt>
                <c:pt idx="2538">
                  <c:v>8.625</c:v>
                </c:pt>
                <c:pt idx="2539">
                  <c:v>8.625</c:v>
                </c:pt>
                <c:pt idx="2540">
                  <c:v>8.625</c:v>
                </c:pt>
                <c:pt idx="2541">
                  <c:v>8.625</c:v>
                </c:pt>
                <c:pt idx="2542">
                  <c:v>8.625</c:v>
                </c:pt>
                <c:pt idx="2543">
                  <c:v>8.625</c:v>
                </c:pt>
                <c:pt idx="2544">
                  <c:v>8.5229999999999997</c:v>
                </c:pt>
                <c:pt idx="2545">
                  <c:v>8.5229999999999997</c:v>
                </c:pt>
                <c:pt idx="2546">
                  <c:v>8.5229999999999997</c:v>
                </c:pt>
                <c:pt idx="2547">
                  <c:v>8.5229999999999997</c:v>
                </c:pt>
                <c:pt idx="2548">
                  <c:v>8.5229999999999997</c:v>
                </c:pt>
                <c:pt idx="2549">
                  <c:v>8.4239999999999995</c:v>
                </c:pt>
                <c:pt idx="2550">
                  <c:v>8.4239999999999995</c:v>
                </c:pt>
                <c:pt idx="2551">
                  <c:v>8.4239999999999995</c:v>
                </c:pt>
                <c:pt idx="2552">
                  <c:v>8.4239999999999995</c:v>
                </c:pt>
                <c:pt idx="2553">
                  <c:v>8.4239999999999995</c:v>
                </c:pt>
                <c:pt idx="2554">
                  <c:v>8.5670000000000002</c:v>
                </c:pt>
                <c:pt idx="2555">
                  <c:v>8.5670000000000002</c:v>
                </c:pt>
                <c:pt idx="2556">
                  <c:v>8.5670000000000002</c:v>
                </c:pt>
                <c:pt idx="2557">
                  <c:v>8.5670000000000002</c:v>
                </c:pt>
                <c:pt idx="2558">
                  <c:v>8.5670000000000002</c:v>
                </c:pt>
                <c:pt idx="2559">
                  <c:v>8.6839999999999993</c:v>
                </c:pt>
                <c:pt idx="2560">
                  <c:v>8.6839999999999993</c:v>
                </c:pt>
                <c:pt idx="2561">
                  <c:v>8.6839999999999993</c:v>
                </c:pt>
                <c:pt idx="2562">
                  <c:v>8.6839999999999993</c:v>
                </c:pt>
                <c:pt idx="2563">
                  <c:v>8.6669999999999998</c:v>
                </c:pt>
                <c:pt idx="2564">
                  <c:v>8.6669999999999998</c:v>
                </c:pt>
              </c:numCache>
            </c:numRef>
          </c:xVal>
          <c:yVal>
            <c:numRef>
              <c:f>Walmart_Sales!$E$2:$E$2566</c:f>
              <c:numCache>
                <c:formatCode>"R$"\ #,##0.00</c:formatCode>
                <c:ptCount val="2565"/>
                <c:pt idx="0">
                  <c:v>1643690.9</c:v>
                </c:pt>
                <c:pt idx="1">
                  <c:v>1641957.44</c:v>
                </c:pt>
                <c:pt idx="2">
                  <c:v>1554806.68</c:v>
                </c:pt>
                <c:pt idx="3">
                  <c:v>1439541.59</c:v>
                </c:pt>
                <c:pt idx="4">
                  <c:v>1594968.28</c:v>
                </c:pt>
                <c:pt idx="5">
                  <c:v>1545418.53</c:v>
                </c:pt>
                <c:pt idx="6">
                  <c:v>1603955.12</c:v>
                </c:pt>
                <c:pt idx="7">
                  <c:v>1615524.71</c:v>
                </c:pt>
                <c:pt idx="8">
                  <c:v>1542561.09</c:v>
                </c:pt>
                <c:pt idx="9">
                  <c:v>1492418.14</c:v>
                </c:pt>
                <c:pt idx="10">
                  <c:v>1546074.18</c:v>
                </c:pt>
                <c:pt idx="11">
                  <c:v>1605491.78</c:v>
                </c:pt>
                <c:pt idx="12">
                  <c:v>1540163.53</c:v>
                </c:pt>
                <c:pt idx="13">
                  <c:v>1507460.69</c:v>
                </c:pt>
                <c:pt idx="14">
                  <c:v>1453329.5</c:v>
                </c:pt>
                <c:pt idx="15">
                  <c:v>1508239.93</c:v>
                </c:pt>
                <c:pt idx="16">
                  <c:v>1551659.28</c:v>
                </c:pt>
                <c:pt idx="17">
                  <c:v>1494479.49</c:v>
                </c:pt>
                <c:pt idx="18">
                  <c:v>1548033.78</c:v>
                </c:pt>
                <c:pt idx="19">
                  <c:v>1682614.26</c:v>
                </c:pt>
                <c:pt idx="20">
                  <c:v>1444732.28</c:v>
                </c:pt>
                <c:pt idx="21">
                  <c:v>1606629.58</c:v>
                </c:pt>
                <c:pt idx="22">
                  <c:v>1649614.93</c:v>
                </c:pt>
                <c:pt idx="23">
                  <c:v>1636263.41</c:v>
                </c:pt>
                <c:pt idx="24">
                  <c:v>1553191.63</c:v>
                </c:pt>
                <c:pt idx="25">
                  <c:v>1495064.75</c:v>
                </c:pt>
                <c:pt idx="26">
                  <c:v>1614259.35</c:v>
                </c:pt>
                <c:pt idx="27">
                  <c:v>1629391.28</c:v>
                </c:pt>
                <c:pt idx="28">
                  <c:v>1635078.41</c:v>
                </c:pt>
                <c:pt idx="29">
                  <c:v>1588948.32</c:v>
                </c:pt>
                <c:pt idx="30">
                  <c:v>1488538.09</c:v>
                </c:pt>
                <c:pt idx="31">
                  <c:v>1534849.64</c:v>
                </c:pt>
                <c:pt idx="32">
                  <c:v>1624383.75</c:v>
                </c:pt>
                <c:pt idx="33">
                  <c:v>1525147.09</c:v>
                </c:pt>
                <c:pt idx="34">
                  <c:v>1550229.22</c:v>
                </c:pt>
                <c:pt idx="35">
                  <c:v>1540471.24</c:v>
                </c:pt>
                <c:pt idx="36">
                  <c:v>1630989.95</c:v>
                </c:pt>
                <c:pt idx="37">
                  <c:v>1697229.58</c:v>
                </c:pt>
                <c:pt idx="38">
                  <c:v>1594938.89</c:v>
                </c:pt>
                <c:pt idx="39">
                  <c:v>1584083.95</c:v>
                </c:pt>
                <c:pt idx="40">
                  <c:v>1799682.38</c:v>
                </c:pt>
                <c:pt idx="41">
                  <c:v>1550369.92</c:v>
                </c:pt>
                <c:pt idx="42">
                  <c:v>1636339.65</c:v>
                </c:pt>
                <c:pt idx="43">
                  <c:v>1802477.43</c:v>
                </c:pt>
                <c:pt idx="44">
                  <c:v>1688420.76</c:v>
                </c:pt>
                <c:pt idx="45">
                  <c:v>1675431.16</c:v>
                </c:pt>
                <c:pt idx="46">
                  <c:v>1899676.88</c:v>
                </c:pt>
                <c:pt idx="47">
                  <c:v>1684519.99</c:v>
                </c:pt>
                <c:pt idx="48">
                  <c:v>1611096.05</c:v>
                </c:pt>
                <c:pt idx="49">
                  <c:v>1624477.58</c:v>
                </c:pt>
                <c:pt idx="50">
                  <c:v>1697230.96</c:v>
                </c:pt>
                <c:pt idx="51">
                  <c:v>1769854.16</c:v>
                </c:pt>
                <c:pt idx="52">
                  <c:v>1631135.79</c:v>
                </c:pt>
                <c:pt idx="53">
                  <c:v>1592409.97</c:v>
                </c:pt>
                <c:pt idx="54">
                  <c:v>1661767.33</c:v>
                </c:pt>
                <c:pt idx="55">
                  <c:v>1670785.97</c:v>
                </c:pt>
                <c:pt idx="56">
                  <c:v>1573072.81</c:v>
                </c:pt>
                <c:pt idx="57">
                  <c:v>2136989.46</c:v>
                </c:pt>
                <c:pt idx="58">
                  <c:v>2137809.5</c:v>
                </c:pt>
                <c:pt idx="59">
                  <c:v>1991013.13</c:v>
                </c:pt>
                <c:pt idx="60">
                  <c:v>1990483.78</c:v>
                </c:pt>
                <c:pt idx="61">
                  <c:v>2066187.72</c:v>
                </c:pt>
                <c:pt idx="62">
                  <c:v>1954689.21</c:v>
                </c:pt>
                <c:pt idx="63">
                  <c:v>2042581.71</c:v>
                </c:pt>
                <c:pt idx="64">
                  <c:v>2102539.9300000002</c:v>
                </c:pt>
                <c:pt idx="65">
                  <c:v>2025538.76</c:v>
                </c:pt>
                <c:pt idx="66">
                  <c:v>2003940.64</c:v>
                </c:pt>
                <c:pt idx="67">
                  <c:v>1880902.62</c:v>
                </c:pt>
                <c:pt idx="68">
                  <c:v>1991909.98</c:v>
                </c:pt>
                <c:pt idx="69">
                  <c:v>1904608.09</c:v>
                </c:pt>
                <c:pt idx="70">
                  <c:v>1839128.83</c:v>
                </c:pt>
                <c:pt idx="71">
                  <c:v>1827440.43</c:v>
                </c:pt>
                <c:pt idx="72">
                  <c:v>1849921.44</c:v>
                </c:pt>
                <c:pt idx="73">
                  <c:v>1939061.41</c:v>
                </c:pt>
                <c:pt idx="74">
                  <c:v>1916812.74</c:v>
                </c:pt>
                <c:pt idx="75">
                  <c:v>2015781.27</c:v>
                </c:pt>
                <c:pt idx="76">
                  <c:v>2378726.5499999998</c:v>
                </c:pt>
                <c:pt idx="77">
                  <c:v>1758050.79</c:v>
                </c:pt>
                <c:pt idx="78">
                  <c:v>1929346.23</c:v>
                </c:pt>
                <c:pt idx="79">
                  <c:v>2168041.61</c:v>
                </c:pt>
                <c:pt idx="80">
                  <c:v>1981607.78</c:v>
                </c:pt>
                <c:pt idx="81">
                  <c:v>1879107.31</c:v>
                </c:pt>
                <c:pt idx="82">
                  <c:v>1800171.36</c:v>
                </c:pt>
                <c:pt idx="83">
                  <c:v>1847552.61</c:v>
                </c:pt>
                <c:pt idx="84">
                  <c:v>1837743.6</c:v>
                </c:pt>
                <c:pt idx="85">
                  <c:v>1933756.21</c:v>
                </c:pt>
                <c:pt idx="86">
                  <c:v>1929153.16</c:v>
                </c:pt>
                <c:pt idx="87">
                  <c:v>1866243</c:v>
                </c:pt>
                <c:pt idx="88">
                  <c:v>1853161.99</c:v>
                </c:pt>
                <c:pt idx="89">
                  <c:v>1876704.26</c:v>
                </c:pt>
                <c:pt idx="90">
                  <c:v>1812768.26</c:v>
                </c:pt>
                <c:pt idx="91">
                  <c:v>1809119.7</c:v>
                </c:pt>
                <c:pt idx="92">
                  <c:v>1748000.65</c:v>
                </c:pt>
                <c:pt idx="93">
                  <c:v>1837553.43</c:v>
                </c:pt>
                <c:pt idx="94">
                  <c:v>1959707.9</c:v>
                </c:pt>
                <c:pt idx="95">
                  <c:v>1920725.15</c:v>
                </c:pt>
                <c:pt idx="96">
                  <c:v>1954952</c:v>
                </c:pt>
                <c:pt idx="97">
                  <c:v>2290549.3199999998</c:v>
                </c:pt>
                <c:pt idx="98">
                  <c:v>1799520.14</c:v>
                </c:pt>
                <c:pt idx="99">
                  <c:v>1935299.94</c:v>
                </c:pt>
                <c:pt idx="100">
                  <c:v>2103322.6800000002</c:v>
                </c:pt>
                <c:pt idx="101">
                  <c:v>1952555.66</c:v>
                </c:pt>
                <c:pt idx="102">
                  <c:v>1937628.26</c:v>
                </c:pt>
                <c:pt idx="103">
                  <c:v>2129035.91</c:v>
                </c:pt>
                <c:pt idx="104">
                  <c:v>1923957.09</c:v>
                </c:pt>
                <c:pt idx="105">
                  <c:v>1917520.99</c:v>
                </c:pt>
                <c:pt idx="106">
                  <c:v>1910092.37</c:v>
                </c:pt>
                <c:pt idx="107">
                  <c:v>2010216.49</c:v>
                </c:pt>
                <c:pt idx="108">
                  <c:v>2041507.4</c:v>
                </c:pt>
                <c:pt idx="109">
                  <c:v>1946104.64</c:v>
                </c:pt>
                <c:pt idx="110">
                  <c:v>1866719.96</c:v>
                </c:pt>
                <c:pt idx="111">
                  <c:v>1898777.07</c:v>
                </c:pt>
                <c:pt idx="112">
                  <c:v>1998321.04</c:v>
                </c:pt>
                <c:pt idx="113">
                  <c:v>1900745.13</c:v>
                </c:pt>
                <c:pt idx="114">
                  <c:v>461622.22</c:v>
                </c:pt>
                <c:pt idx="115">
                  <c:v>420728.96</c:v>
                </c:pt>
                <c:pt idx="116">
                  <c:v>415202.04</c:v>
                </c:pt>
                <c:pt idx="117">
                  <c:v>384200.69</c:v>
                </c:pt>
                <c:pt idx="118">
                  <c:v>423294.4</c:v>
                </c:pt>
                <c:pt idx="119">
                  <c:v>415870.28</c:v>
                </c:pt>
                <c:pt idx="120">
                  <c:v>399323.86</c:v>
                </c:pt>
                <c:pt idx="121">
                  <c:v>396968.8</c:v>
                </c:pt>
                <c:pt idx="122">
                  <c:v>355017.09</c:v>
                </c:pt>
                <c:pt idx="123">
                  <c:v>381151.72</c:v>
                </c:pt>
                <c:pt idx="124">
                  <c:v>349214.18</c:v>
                </c:pt>
                <c:pt idx="125">
                  <c:v>402635.76</c:v>
                </c:pt>
                <c:pt idx="126">
                  <c:v>366473.97</c:v>
                </c:pt>
                <c:pt idx="127">
                  <c:v>352260.97</c:v>
                </c:pt>
                <c:pt idx="128">
                  <c:v>358784.1</c:v>
                </c:pt>
                <c:pt idx="129">
                  <c:v>395107.35</c:v>
                </c:pt>
                <c:pt idx="130">
                  <c:v>423175.56</c:v>
                </c:pt>
                <c:pt idx="131">
                  <c:v>386635.03</c:v>
                </c:pt>
                <c:pt idx="132">
                  <c:v>476420.77</c:v>
                </c:pt>
                <c:pt idx="133">
                  <c:v>467642.03</c:v>
                </c:pt>
                <c:pt idx="134">
                  <c:v>378241.34</c:v>
                </c:pt>
                <c:pt idx="135">
                  <c:v>438516.53</c:v>
                </c:pt>
                <c:pt idx="136">
                  <c:v>430526.21</c:v>
                </c:pt>
                <c:pt idx="137">
                  <c:v>437084.51</c:v>
                </c:pt>
                <c:pt idx="138">
                  <c:v>404753.3</c:v>
                </c:pt>
                <c:pt idx="139">
                  <c:v>374556.08</c:v>
                </c:pt>
                <c:pt idx="140">
                  <c:v>384075.31</c:v>
                </c:pt>
                <c:pt idx="141">
                  <c:v>413042.12</c:v>
                </c:pt>
                <c:pt idx="142">
                  <c:v>394507.84</c:v>
                </c:pt>
                <c:pt idx="143">
                  <c:v>391638.75</c:v>
                </c:pt>
                <c:pt idx="144">
                  <c:v>368962.72</c:v>
                </c:pt>
                <c:pt idx="145">
                  <c:v>395146.23999999999</c:v>
                </c:pt>
                <c:pt idx="146">
                  <c:v>409981.25</c:v>
                </c:pt>
                <c:pt idx="147">
                  <c:v>380376.85</c:v>
                </c:pt>
                <c:pt idx="148">
                  <c:v>375988.69</c:v>
                </c:pt>
                <c:pt idx="149">
                  <c:v>377347.49</c:v>
                </c:pt>
                <c:pt idx="150">
                  <c:v>403342.4</c:v>
                </c:pt>
                <c:pt idx="151">
                  <c:v>459443.22</c:v>
                </c:pt>
                <c:pt idx="152">
                  <c:v>407764.25</c:v>
                </c:pt>
                <c:pt idx="153">
                  <c:v>472511.32</c:v>
                </c:pt>
                <c:pt idx="154">
                  <c:v>468772.8</c:v>
                </c:pt>
                <c:pt idx="155">
                  <c:v>398178.21</c:v>
                </c:pt>
                <c:pt idx="156">
                  <c:v>424960.66</c:v>
                </c:pt>
                <c:pt idx="157">
                  <c:v>473292.47</c:v>
                </c:pt>
                <c:pt idx="158">
                  <c:v>469752.56</c:v>
                </c:pt>
                <c:pt idx="159">
                  <c:v>445162.05</c:v>
                </c:pt>
                <c:pt idx="160">
                  <c:v>503232.13</c:v>
                </c:pt>
                <c:pt idx="161">
                  <c:v>439913.57</c:v>
                </c:pt>
                <c:pt idx="162">
                  <c:v>431985.36</c:v>
                </c:pt>
                <c:pt idx="163">
                  <c:v>432268.53</c:v>
                </c:pt>
                <c:pt idx="164">
                  <c:v>446336.8</c:v>
                </c:pt>
                <c:pt idx="165">
                  <c:v>411206.5</c:v>
                </c:pt>
                <c:pt idx="166">
                  <c:v>419990.29</c:v>
                </c:pt>
                <c:pt idx="167">
                  <c:v>391811.6</c:v>
                </c:pt>
                <c:pt idx="168">
                  <c:v>408229.73</c:v>
                </c:pt>
                <c:pt idx="169">
                  <c:v>443557.65</c:v>
                </c:pt>
                <c:pt idx="170">
                  <c:v>410804.39</c:v>
                </c:pt>
                <c:pt idx="171">
                  <c:v>2135143.87</c:v>
                </c:pt>
                <c:pt idx="172">
                  <c:v>2188307.39</c:v>
                </c:pt>
                <c:pt idx="173">
                  <c:v>1971057.44</c:v>
                </c:pt>
                <c:pt idx="174">
                  <c:v>1894324.09</c:v>
                </c:pt>
                <c:pt idx="175">
                  <c:v>1979247.12</c:v>
                </c:pt>
                <c:pt idx="176">
                  <c:v>1818452.72</c:v>
                </c:pt>
                <c:pt idx="177">
                  <c:v>2000626.14</c:v>
                </c:pt>
                <c:pt idx="178">
                  <c:v>1903290.58</c:v>
                </c:pt>
                <c:pt idx="179">
                  <c:v>1870619.23</c:v>
                </c:pt>
                <c:pt idx="180">
                  <c:v>1881337.21</c:v>
                </c:pt>
                <c:pt idx="181">
                  <c:v>1812208.22</c:v>
                </c:pt>
                <c:pt idx="182">
                  <c:v>1907638.58</c:v>
                </c:pt>
                <c:pt idx="183">
                  <c:v>1935857.58</c:v>
                </c:pt>
                <c:pt idx="184">
                  <c:v>1865820.81</c:v>
                </c:pt>
                <c:pt idx="185">
                  <c:v>1842821.02</c:v>
                </c:pt>
                <c:pt idx="186">
                  <c:v>1951494.85</c:v>
                </c:pt>
                <c:pt idx="187">
                  <c:v>2013115.79</c:v>
                </c:pt>
                <c:pt idx="188">
                  <c:v>1999794.26</c:v>
                </c:pt>
                <c:pt idx="189">
                  <c:v>2102530.17</c:v>
                </c:pt>
                <c:pt idx="190">
                  <c:v>2302504.86</c:v>
                </c:pt>
                <c:pt idx="191">
                  <c:v>1862476.27</c:v>
                </c:pt>
                <c:pt idx="192">
                  <c:v>2119086.04</c:v>
                </c:pt>
                <c:pt idx="193">
                  <c:v>2187847.29</c:v>
                </c:pt>
                <c:pt idx="194">
                  <c:v>2103455.75</c:v>
                </c:pt>
                <c:pt idx="195">
                  <c:v>2039818.41</c:v>
                </c:pt>
                <c:pt idx="196">
                  <c:v>1900246.47</c:v>
                </c:pt>
                <c:pt idx="197">
                  <c:v>2074953.46</c:v>
                </c:pt>
                <c:pt idx="198">
                  <c:v>2063682.76</c:v>
                </c:pt>
                <c:pt idx="199">
                  <c:v>2065377.15</c:v>
                </c:pt>
                <c:pt idx="200">
                  <c:v>2073951.38</c:v>
                </c:pt>
                <c:pt idx="201">
                  <c:v>2051533.53</c:v>
                </c:pt>
                <c:pt idx="202">
                  <c:v>2066541.86</c:v>
                </c:pt>
                <c:pt idx="203">
                  <c:v>2160057.39</c:v>
                </c:pt>
                <c:pt idx="204">
                  <c:v>2105668.7400000002</c:v>
                </c:pt>
                <c:pt idx="205">
                  <c:v>2078420.31</c:v>
                </c:pt>
                <c:pt idx="206">
                  <c:v>2093139.01</c:v>
                </c:pt>
                <c:pt idx="207">
                  <c:v>2166737.65</c:v>
                </c:pt>
                <c:pt idx="208">
                  <c:v>2281217.31</c:v>
                </c:pt>
                <c:pt idx="209">
                  <c:v>2203028.96</c:v>
                </c:pt>
                <c:pt idx="210">
                  <c:v>2180999.2599999998</c:v>
                </c:pt>
                <c:pt idx="211">
                  <c:v>2508955.2400000002</c:v>
                </c:pt>
                <c:pt idx="212">
                  <c:v>2047766.07</c:v>
                </c:pt>
                <c:pt idx="213">
                  <c:v>2173373.91</c:v>
                </c:pt>
                <c:pt idx="214">
                  <c:v>2374660.64</c:v>
                </c:pt>
                <c:pt idx="215">
                  <c:v>2206319.9</c:v>
                </c:pt>
                <c:pt idx="216">
                  <c:v>2202450.81</c:v>
                </c:pt>
                <c:pt idx="217">
                  <c:v>2470206.13</c:v>
                </c:pt>
                <c:pt idx="218">
                  <c:v>2196968.33</c:v>
                </c:pt>
                <c:pt idx="219">
                  <c:v>2127661.17</c:v>
                </c:pt>
                <c:pt idx="220">
                  <c:v>2179360.94</c:v>
                </c:pt>
                <c:pt idx="221">
                  <c:v>2245257.1800000002</c:v>
                </c:pt>
                <c:pt idx="222">
                  <c:v>2224499.2799999998</c:v>
                </c:pt>
                <c:pt idx="223">
                  <c:v>2174514.13</c:v>
                </c:pt>
                <c:pt idx="224">
                  <c:v>2193367.69</c:v>
                </c:pt>
                <c:pt idx="225">
                  <c:v>2125104.7200000002</c:v>
                </c:pt>
                <c:pt idx="226">
                  <c:v>2209835.4300000002</c:v>
                </c:pt>
                <c:pt idx="227">
                  <c:v>2133026.0699999998</c:v>
                </c:pt>
                <c:pt idx="228">
                  <c:v>317173.09999999998</c:v>
                </c:pt>
                <c:pt idx="229">
                  <c:v>311825.7</c:v>
                </c:pt>
                <c:pt idx="230">
                  <c:v>288855.71000000002</c:v>
                </c:pt>
                <c:pt idx="231">
                  <c:v>297293.59000000003</c:v>
                </c:pt>
                <c:pt idx="232">
                  <c:v>331406</c:v>
                </c:pt>
                <c:pt idx="233">
                  <c:v>328020.49</c:v>
                </c:pt>
                <c:pt idx="234">
                  <c:v>333522.59999999998</c:v>
                </c:pt>
                <c:pt idx="235">
                  <c:v>337825.89</c:v>
                </c:pt>
                <c:pt idx="236">
                  <c:v>296641.90999999997</c:v>
                </c:pt>
                <c:pt idx="237">
                  <c:v>305993.27</c:v>
                </c:pt>
                <c:pt idx="238">
                  <c:v>291808.87</c:v>
                </c:pt>
                <c:pt idx="239">
                  <c:v>303043.02</c:v>
                </c:pt>
                <c:pt idx="240">
                  <c:v>323798</c:v>
                </c:pt>
                <c:pt idx="241">
                  <c:v>306533.08</c:v>
                </c:pt>
                <c:pt idx="242">
                  <c:v>283178.12</c:v>
                </c:pt>
                <c:pt idx="243">
                  <c:v>290494.84999999998</c:v>
                </c:pt>
                <c:pt idx="244">
                  <c:v>325310.3</c:v>
                </c:pt>
                <c:pt idx="245">
                  <c:v>301827.36</c:v>
                </c:pt>
                <c:pt idx="246">
                  <c:v>344490.88</c:v>
                </c:pt>
                <c:pt idx="247">
                  <c:v>352811.53</c:v>
                </c:pt>
                <c:pt idx="248">
                  <c:v>286347.26</c:v>
                </c:pt>
                <c:pt idx="249">
                  <c:v>329613.2</c:v>
                </c:pt>
                <c:pt idx="250">
                  <c:v>311590.53999999998</c:v>
                </c:pt>
                <c:pt idx="251">
                  <c:v>329033.65999999997</c:v>
                </c:pt>
                <c:pt idx="252">
                  <c:v>293098.09999999998</c:v>
                </c:pt>
                <c:pt idx="253">
                  <c:v>314316.55</c:v>
                </c:pt>
                <c:pt idx="254">
                  <c:v>307333.62</c:v>
                </c:pt>
                <c:pt idx="255">
                  <c:v>322904.68</c:v>
                </c:pt>
                <c:pt idx="256">
                  <c:v>329183.92</c:v>
                </c:pt>
                <c:pt idx="257">
                  <c:v>304984.14</c:v>
                </c:pt>
                <c:pt idx="258">
                  <c:v>327093.89</c:v>
                </c:pt>
                <c:pt idx="259">
                  <c:v>310804.93</c:v>
                </c:pt>
                <c:pt idx="260">
                  <c:v>317738.56</c:v>
                </c:pt>
                <c:pt idx="261">
                  <c:v>289886.15999999997</c:v>
                </c:pt>
                <c:pt idx="262">
                  <c:v>315645.53000000003</c:v>
                </c:pt>
                <c:pt idx="263">
                  <c:v>321110.21999999997</c:v>
                </c:pt>
                <c:pt idx="264">
                  <c:v>309111.46999999997</c:v>
                </c:pt>
                <c:pt idx="265">
                  <c:v>353652.23</c:v>
                </c:pt>
                <c:pt idx="266">
                  <c:v>311906.7</c:v>
                </c:pt>
                <c:pt idx="267">
                  <c:v>376225.61</c:v>
                </c:pt>
                <c:pt idx="268">
                  <c:v>367433.77</c:v>
                </c:pt>
                <c:pt idx="269">
                  <c:v>312078.71000000002</c:v>
                </c:pt>
                <c:pt idx="270">
                  <c:v>333948</c:v>
                </c:pt>
                <c:pt idx="271">
                  <c:v>349239.88</c:v>
                </c:pt>
                <c:pt idx="272">
                  <c:v>359206.21</c:v>
                </c:pt>
                <c:pt idx="273">
                  <c:v>347295.6</c:v>
                </c:pt>
                <c:pt idx="274">
                  <c:v>402985.7</c:v>
                </c:pt>
                <c:pt idx="275">
                  <c:v>360932.69</c:v>
                </c:pt>
                <c:pt idx="276">
                  <c:v>333870.52</c:v>
                </c:pt>
                <c:pt idx="277">
                  <c:v>359867.8</c:v>
                </c:pt>
                <c:pt idx="278">
                  <c:v>341704.59</c:v>
                </c:pt>
                <c:pt idx="279">
                  <c:v>341214.43</c:v>
                </c:pt>
                <c:pt idx="280">
                  <c:v>324195.17</c:v>
                </c:pt>
                <c:pt idx="281">
                  <c:v>306759.7</c:v>
                </c:pt>
                <c:pt idx="282">
                  <c:v>350648.91</c:v>
                </c:pt>
                <c:pt idx="283">
                  <c:v>343048.29</c:v>
                </c:pt>
                <c:pt idx="284">
                  <c:v>325345.40999999997</c:v>
                </c:pt>
                <c:pt idx="285">
                  <c:v>1652635.1</c:v>
                </c:pt>
                <c:pt idx="286">
                  <c:v>1606283.86</c:v>
                </c:pt>
                <c:pt idx="287">
                  <c:v>1601348.82</c:v>
                </c:pt>
                <c:pt idx="288">
                  <c:v>1558621.36</c:v>
                </c:pt>
                <c:pt idx="289">
                  <c:v>1770333.9</c:v>
                </c:pt>
                <c:pt idx="290">
                  <c:v>1667181.82</c:v>
                </c:pt>
                <c:pt idx="291">
                  <c:v>1619920.04</c:v>
                </c:pt>
                <c:pt idx="292">
                  <c:v>1857380.09</c:v>
                </c:pt>
                <c:pt idx="293">
                  <c:v>1685652.35</c:v>
                </c:pt>
                <c:pt idx="294">
                  <c:v>1759777.25</c:v>
                </c:pt>
                <c:pt idx="295">
                  <c:v>1690317.99</c:v>
                </c:pt>
                <c:pt idx="296">
                  <c:v>1633241.59</c:v>
                </c:pt>
                <c:pt idx="297">
                  <c:v>1510925.32</c:v>
                </c:pt>
                <c:pt idx="298">
                  <c:v>1424225.44</c:v>
                </c:pt>
                <c:pt idx="299">
                  <c:v>1328468.8899999999</c:v>
                </c:pt>
                <c:pt idx="300">
                  <c:v>1360317.9</c:v>
                </c:pt>
                <c:pt idx="301">
                  <c:v>1505442.15</c:v>
                </c:pt>
                <c:pt idx="302">
                  <c:v>1495536.46</c:v>
                </c:pt>
                <c:pt idx="303">
                  <c:v>1677067.24</c:v>
                </c:pt>
                <c:pt idx="304">
                  <c:v>1834737.58</c:v>
                </c:pt>
                <c:pt idx="305">
                  <c:v>1350441.68</c:v>
                </c:pt>
                <c:pt idx="306">
                  <c:v>1514999.17</c:v>
                </c:pt>
                <c:pt idx="307">
                  <c:v>1486920.17</c:v>
                </c:pt>
                <c:pt idx="308">
                  <c:v>1502617.99</c:v>
                </c:pt>
                <c:pt idx="309">
                  <c:v>1494497.39</c:v>
                </c:pt>
                <c:pt idx="310">
                  <c:v>1459276.77</c:v>
                </c:pt>
                <c:pt idx="311">
                  <c:v>1534594</c:v>
                </c:pt>
                <c:pt idx="312">
                  <c:v>1504651.57</c:v>
                </c:pt>
                <c:pt idx="313">
                  <c:v>1705506.29</c:v>
                </c:pt>
                <c:pt idx="314">
                  <c:v>1598643.65</c:v>
                </c:pt>
                <c:pt idx="315">
                  <c:v>1694551.15</c:v>
                </c:pt>
                <c:pt idx="316">
                  <c:v>1709373.62</c:v>
                </c:pt>
                <c:pt idx="317">
                  <c:v>1601584.57</c:v>
                </c:pt>
                <c:pt idx="318">
                  <c:v>1484995.38</c:v>
                </c:pt>
                <c:pt idx="319">
                  <c:v>1481618.74</c:v>
                </c:pt>
                <c:pt idx="320">
                  <c:v>1483574.38</c:v>
                </c:pt>
                <c:pt idx="321">
                  <c:v>1481739.2</c:v>
                </c:pt>
                <c:pt idx="322">
                  <c:v>1523420.38</c:v>
                </c:pt>
                <c:pt idx="323">
                  <c:v>1536176.54</c:v>
                </c:pt>
                <c:pt idx="324">
                  <c:v>1688531.34</c:v>
                </c:pt>
                <c:pt idx="325">
                  <c:v>1903385.14</c:v>
                </c:pt>
                <c:pt idx="326">
                  <c:v>1395339.71</c:v>
                </c:pt>
                <c:pt idx="327">
                  <c:v>1496305.78</c:v>
                </c:pt>
                <c:pt idx="328">
                  <c:v>1620603.92</c:v>
                </c:pt>
                <c:pt idx="329">
                  <c:v>1550385.65</c:v>
                </c:pt>
                <c:pt idx="330">
                  <c:v>1569304.4</c:v>
                </c:pt>
                <c:pt idx="331">
                  <c:v>1840131.19</c:v>
                </c:pt>
                <c:pt idx="332">
                  <c:v>1543461.12</c:v>
                </c:pt>
                <c:pt idx="333">
                  <c:v>1517075.67</c:v>
                </c:pt>
                <c:pt idx="334">
                  <c:v>1681121.38</c:v>
                </c:pt>
                <c:pt idx="335">
                  <c:v>1696619.52</c:v>
                </c:pt>
                <c:pt idx="336">
                  <c:v>1876359.39</c:v>
                </c:pt>
                <c:pt idx="337">
                  <c:v>1627274.93</c:v>
                </c:pt>
                <c:pt idx="338">
                  <c:v>1588380.73</c:v>
                </c:pt>
                <c:pt idx="339">
                  <c:v>1608077.01</c:v>
                </c:pt>
                <c:pt idx="340">
                  <c:v>1518177.71</c:v>
                </c:pt>
                <c:pt idx="341">
                  <c:v>1459396.84</c:v>
                </c:pt>
                <c:pt idx="342">
                  <c:v>496725.44</c:v>
                </c:pt>
                <c:pt idx="343">
                  <c:v>524104.92</c:v>
                </c:pt>
                <c:pt idx="344">
                  <c:v>491419.55</c:v>
                </c:pt>
                <c:pt idx="345">
                  <c:v>480452.1</c:v>
                </c:pt>
                <c:pt idx="346">
                  <c:v>561145.14</c:v>
                </c:pt>
                <c:pt idx="347">
                  <c:v>484263.25</c:v>
                </c:pt>
                <c:pt idx="348">
                  <c:v>395453.83</c:v>
                </c:pt>
                <c:pt idx="349">
                  <c:v>509183.22</c:v>
                </c:pt>
                <c:pt idx="350">
                  <c:v>498580.87</c:v>
                </c:pt>
                <c:pt idx="351">
                  <c:v>575570.77</c:v>
                </c:pt>
                <c:pt idx="352">
                  <c:v>593462.34</c:v>
                </c:pt>
                <c:pt idx="353">
                  <c:v>643854.17000000004</c:v>
                </c:pt>
                <c:pt idx="354">
                  <c:v>532765.05000000005</c:v>
                </c:pt>
                <c:pt idx="355">
                  <c:v>535769.31999999995</c:v>
                </c:pt>
                <c:pt idx="356">
                  <c:v>448998.73</c:v>
                </c:pt>
                <c:pt idx="357">
                  <c:v>480239.88</c:v>
                </c:pt>
                <c:pt idx="358">
                  <c:v>480512.44</c:v>
                </c:pt>
                <c:pt idx="359">
                  <c:v>507584.29</c:v>
                </c:pt>
                <c:pt idx="360">
                  <c:v>552811.62</c:v>
                </c:pt>
                <c:pt idx="361">
                  <c:v>599730.06999999995</c:v>
                </c:pt>
                <c:pt idx="362">
                  <c:v>661163.93999999994</c:v>
                </c:pt>
                <c:pt idx="363">
                  <c:v>558027.77</c:v>
                </c:pt>
                <c:pt idx="364">
                  <c:v>559903.13</c:v>
                </c:pt>
                <c:pt idx="365">
                  <c:v>551378.39</c:v>
                </c:pt>
                <c:pt idx="366">
                  <c:v>558963.82999999996</c:v>
                </c:pt>
                <c:pt idx="367">
                  <c:v>513409.67</c:v>
                </c:pt>
                <c:pt idx="368">
                  <c:v>500552.16</c:v>
                </c:pt>
                <c:pt idx="369">
                  <c:v>407012.47</c:v>
                </c:pt>
                <c:pt idx="370">
                  <c:v>542295.37</c:v>
                </c:pt>
                <c:pt idx="371">
                  <c:v>621099.94999999995</c:v>
                </c:pt>
                <c:pt idx="372">
                  <c:v>704344.21</c:v>
                </c:pt>
                <c:pt idx="373">
                  <c:v>761793.94</c:v>
                </c:pt>
                <c:pt idx="374">
                  <c:v>695392.84</c:v>
                </c:pt>
                <c:pt idx="375">
                  <c:v>670670.46</c:v>
                </c:pt>
                <c:pt idx="376">
                  <c:v>592355.24</c:v>
                </c:pt>
                <c:pt idx="377">
                  <c:v>613135.23</c:v>
                </c:pt>
                <c:pt idx="378">
                  <c:v>525866.36</c:v>
                </c:pt>
                <c:pt idx="379">
                  <c:v>564536.01</c:v>
                </c:pt>
                <c:pt idx="380">
                  <c:v>556015.59</c:v>
                </c:pt>
                <c:pt idx="381">
                  <c:v>591907.88</c:v>
                </c:pt>
                <c:pt idx="382">
                  <c:v>653845.44999999995</c:v>
                </c:pt>
                <c:pt idx="383">
                  <c:v>713117.66</c:v>
                </c:pt>
                <c:pt idx="384">
                  <c:v>580453.31999999995</c:v>
                </c:pt>
                <c:pt idx="385">
                  <c:v>563460.77</c:v>
                </c:pt>
                <c:pt idx="386">
                  <c:v>551058.13</c:v>
                </c:pt>
                <c:pt idx="387">
                  <c:v>579166.5</c:v>
                </c:pt>
                <c:pt idx="388">
                  <c:v>621425.98</c:v>
                </c:pt>
                <c:pt idx="389">
                  <c:v>465198.89</c:v>
                </c:pt>
                <c:pt idx="390">
                  <c:v>460397.41</c:v>
                </c:pt>
                <c:pt idx="391">
                  <c:v>598495.02</c:v>
                </c:pt>
                <c:pt idx="392">
                  <c:v>642963.75</c:v>
                </c:pt>
                <c:pt idx="393">
                  <c:v>805642.61</c:v>
                </c:pt>
                <c:pt idx="394">
                  <c:v>680954.81</c:v>
                </c:pt>
                <c:pt idx="395">
                  <c:v>675926.3</c:v>
                </c:pt>
                <c:pt idx="396">
                  <c:v>597876.55000000005</c:v>
                </c:pt>
                <c:pt idx="397">
                  <c:v>505830.56</c:v>
                </c:pt>
                <c:pt idx="398">
                  <c:v>503463.93</c:v>
                </c:pt>
                <c:pt idx="399">
                  <c:v>1004137.09</c:v>
                </c:pt>
                <c:pt idx="400">
                  <c:v>994801.4</c:v>
                </c:pt>
                <c:pt idx="401">
                  <c:v>881503.95</c:v>
                </c:pt>
                <c:pt idx="402">
                  <c:v>860336.16</c:v>
                </c:pt>
                <c:pt idx="403">
                  <c:v>914500.91</c:v>
                </c:pt>
                <c:pt idx="404">
                  <c:v>916033.92</c:v>
                </c:pt>
                <c:pt idx="405">
                  <c:v>916820.96</c:v>
                </c:pt>
                <c:pt idx="406">
                  <c:v>958225.41</c:v>
                </c:pt>
                <c:pt idx="407">
                  <c:v>914835.86</c:v>
                </c:pt>
                <c:pt idx="408">
                  <c:v>852333.75</c:v>
                </c:pt>
                <c:pt idx="409">
                  <c:v>845289.77</c:v>
                </c:pt>
                <c:pt idx="410">
                  <c:v>893399.77</c:v>
                </c:pt>
                <c:pt idx="411">
                  <c:v>899036.47</c:v>
                </c:pt>
                <c:pt idx="412">
                  <c:v>831425.2</c:v>
                </c:pt>
                <c:pt idx="413">
                  <c:v>804105.49</c:v>
                </c:pt>
                <c:pt idx="414">
                  <c:v>870349.86</c:v>
                </c:pt>
                <c:pt idx="415">
                  <c:v>927266.34</c:v>
                </c:pt>
                <c:pt idx="416">
                  <c:v>911538.98</c:v>
                </c:pt>
                <c:pt idx="417">
                  <c:v>952766.93</c:v>
                </c:pt>
                <c:pt idx="418">
                  <c:v>1069061.6299999999</c:v>
                </c:pt>
                <c:pt idx="419">
                  <c:v>873065.23</c:v>
                </c:pt>
                <c:pt idx="420">
                  <c:v>944594.78</c:v>
                </c:pt>
                <c:pt idx="421">
                  <c:v>996147.39</c:v>
                </c:pt>
                <c:pt idx="422">
                  <c:v>935266.43</c:v>
                </c:pt>
                <c:pt idx="423">
                  <c:v>900387.29</c:v>
                </c:pt>
                <c:pt idx="424">
                  <c:v>878762.3</c:v>
                </c:pt>
                <c:pt idx="425">
                  <c:v>949825.83</c:v>
                </c:pt>
                <c:pt idx="426">
                  <c:v>941457.34</c:v>
                </c:pt>
                <c:pt idx="427">
                  <c:v>929222.16</c:v>
                </c:pt>
                <c:pt idx="428">
                  <c:v>897309.41</c:v>
                </c:pt>
                <c:pt idx="429">
                  <c:v>883683.35</c:v>
                </c:pt>
                <c:pt idx="430">
                  <c:v>861965.12</c:v>
                </c:pt>
                <c:pt idx="431">
                  <c:v>892393.77</c:v>
                </c:pt>
                <c:pt idx="432">
                  <c:v>856796.1</c:v>
                </c:pt>
                <c:pt idx="433">
                  <c:v>891387.14</c:v>
                </c:pt>
                <c:pt idx="434">
                  <c:v>848358.09</c:v>
                </c:pt>
                <c:pt idx="435">
                  <c:v>929976.55</c:v>
                </c:pt>
                <c:pt idx="436">
                  <c:v>947815.05</c:v>
                </c:pt>
                <c:pt idx="437">
                  <c:v>917088.48</c:v>
                </c:pt>
                <c:pt idx="438">
                  <c:v>986601.46</c:v>
                </c:pt>
                <c:pt idx="439">
                  <c:v>1051922.95</c:v>
                </c:pt>
                <c:pt idx="440">
                  <c:v>872113.23</c:v>
                </c:pt>
                <c:pt idx="441">
                  <c:v>927610.69</c:v>
                </c:pt>
                <c:pt idx="442">
                  <c:v>1021400.42</c:v>
                </c:pt>
                <c:pt idx="443">
                  <c:v>952264.91</c:v>
                </c:pt>
                <c:pt idx="444">
                  <c:v>960115.56</c:v>
                </c:pt>
                <c:pt idx="445">
                  <c:v>1046816.59</c:v>
                </c:pt>
                <c:pt idx="446">
                  <c:v>937232.09</c:v>
                </c:pt>
                <c:pt idx="447">
                  <c:v>920128.89</c:v>
                </c:pt>
                <c:pt idx="448">
                  <c:v>921161.2</c:v>
                </c:pt>
                <c:pt idx="449">
                  <c:v>928820</c:v>
                </c:pt>
                <c:pt idx="450">
                  <c:v>936205.5</c:v>
                </c:pt>
                <c:pt idx="451">
                  <c:v>897076.73</c:v>
                </c:pt>
                <c:pt idx="452">
                  <c:v>930745.69</c:v>
                </c:pt>
                <c:pt idx="453">
                  <c:v>932160.37</c:v>
                </c:pt>
                <c:pt idx="454">
                  <c:v>976436.02</c:v>
                </c:pt>
                <c:pt idx="455">
                  <c:v>927511.99</c:v>
                </c:pt>
                <c:pt idx="456">
                  <c:v>549505.55000000005</c:v>
                </c:pt>
                <c:pt idx="457">
                  <c:v>552677.48</c:v>
                </c:pt>
                <c:pt idx="458">
                  <c:v>507297.88</c:v>
                </c:pt>
                <c:pt idx="459">
                  <c:v>494145.8</c:v>
                </c:pt>
                <c:pt idx="460">
                  <c:v>545206.31999999995</c:v>
                </c:pt>
                <c:pt idx="461">
                  <c:v>529384.31000000006</c:v>
                </c:pt>
                <c:pt idx="462">
                  <c:v>526128.61</c:v>
                </c:pt>
                <c:pt idx="463">
                  <c:v>586061.46</c:v>
                </c:pt>
                <c:pt idx="464">
                  <c:v>522715.68</c:v>
                </c:pt>
                <c:pt idx="465">
                  <c:v>528832.54</c:v>
                </c:pt>
                <c:pt idx="466">
                  <c:v>485389.15</c:v>
                </c:pt>
                <c:pt idx="467">
                  <c:v>522815.45</c:v>
                </c:pt>
                <c:pt idx="468">
                  <c:v>511049.06</c:v>
                </c:pt>
                <c:pt idx="469">
                  <c:v>484835.2</c:v>
                </c:pt>
                <c:pt idx="470">
                  <c:v>495692.19</c:v>
                </c:pt>
                <c:pt idx="471">
                  <c:v>505069.21</c:v>
                </c:pt>
                <c:pt idx="472">
                  <c:v>517869.97</c:v>
                </c:pt>
                <c:pt idx="473">
                  <c:v>520846.68</c:v>
                </c:pt>
                <c:pt idx="474">
                  <c:v>578164.81999999995</c:v>
                </c:pt>
                <c:pt idx="475">
                  <c:v>618121.81999999995</c:v>
                </c:pt>
                <c:pt idx="476">
                  <c:v>490981.78</c:v>
                </c:pt>
                <c:pt idx="477">
                  <c:v>544612.28</c:v>
                </c:pt>
                <c:pt idx="478">
                  <c:v>555279.02</c:v>
                </c:pt>
                <c:pt idx="479">
                  <c:v>542016.18000000005</c:v>
                </c:pt>
                <c:pt idx="480">
                  <c:v>517783.5</c:v>
                </c:pt>
                <c:pt idx="481">
                  <c:v>520962.14</c:v>
                </c:pt>
                <c:pt idx="482">
                  <c:v>561625.92000000004</c:v>
                </c:pt>
                <c:pt idx="483">
                  <c:v>545251.1</c:v>
                </c:pt>
                <c:pt idx="484">
                  <c:v>587004.29</c:v>
                </c:pt>
                <c:pt idx="485">
                  <c:v>550076.31999999995</c:v>
                </c:pt>
                <c:pt idx="486">
                  <c:v>537064.03</c:v>
                </c:pt>
                <c:pt idx="487">
                  <c:v>535983.13</c:v>
                </c:pt>
                <c:pt idx="488">
                  <c:v>554879.67000000004</c:v>
                </c:pt>
                <c:pt idx="489">
                  <c:v>520284.79</c:v>
                </c:pt>
                <c:pt idx="490">
                  <c:v>544643.32999999996</c:v>
                </c:pt>
                <c:pt idx="491">
                  <c:v>528784.86</c:v>
                </c:pt>
                <c:pt idx="492">
                  <c:v>553836.98</c:v>
                </c:pt>
                <c:pt idx="493">
                  <c:v>597855.06999999995</c:v>
                </c:pt>
                <c:pt idx="494">
                  <c:v>594574.12</c:v>
                </c:pt>
                <c:pt idx="495">
                  <c:v>613115.21</c:v>
                </c:pt>
                <c:pt idx="496">
                  <c:v>630327.28</c:v>
                </c:pt>
                <c:pt idx="497">
                  <c:v>519585.67</c:v>
                </c:pt>
                <c:pt idx="498">
                  <c:v>549967.89</c:v>
                </c:pt>
                <c:pt idx="499">
                  <c:v>609736.12</c:v>
                </c:pt>
                <c:pt idx="500">
                  <c:v>619498.28</c:v>
                </c:pt>
                <c:pt idx="501">
                  <c:v>574955.94999999995</c:v>
                </c:pt>
                <c:pt idx="502">
                  <c:v>677885.99</c:v>
                </c:pt>
                <c:pt idx="503">
                  <c:v>586289.07999999996</c:v>
                </c:pt>
                <c:pt idx="504">
                  <c:v>592572.30000000005</c:v>
                </c:pt>
                <c:pt idx="505">
                  <c:v>583648.59</c:v>
                </c:pt>
                <c:pt idx="506">
                  <c:v>582525.42000000004</c:v>
                </c:pt>
                <c:pt idx="507">
                  <c:v>578790.36</c:v>
                </c:pt>
                <c:pt idx="508">
                  <c:v>533887.54</c:v>
                </c:pt>
                <c:pt idx="509">
                  <c:v>538713.47</c:v>
                </c:pt>
                <c:pt idx="510">
                  <c:v>565812.29</c:v>
                </c:pt>
                <c:pt idx="511">
                  <c:v>606755.30000000005</c:v>
                </c:pt>
                <c:pt idx="512">
                  <c:v>558464.80000000005</c:v>
                </c:pt>
                <c:pt idx="513">
                  <c:v>2193048.75</c:v>
                </c:pt>
                <c:pt idx="514">
                  <c:v>2176028.52</c:v>
                </c:pt>
                <c:pt idx="515">
                  <c:v>1987090.09</c:v>
                </c:pt>
                <c:pt idx="516">
                  <c:v>1941346.13</c:v>
                </c:pt>
                <c:pt idx="517">
                  <c:v>2138651.9700000002</c:v>
                </c:pt>
                <c:pt idx="518">
                  <c:v>2041069.37</c:v>
                </c:pt>
                <c:pt idx="519">
                  <c:v>1921432.16</c:v>
                </c:pt>
                <c:pt idx="520">
                  <c:v>1931406.28</c:v>
                </c:pt>
                <c:pt idx="521">
                  <c:v>1827521.71</c:v>
                </c:pt>
                <c:pt idx="522">
                  <c:v>1845893.87</c:v>
                </c:pt>
                <c:pt idx="523">
                  <c:v>1769793.37</c:v>
                </c:pt>
                <c:pt idx="524">
                  <c:v>1949236.09</c:v>
                </c:pt>
                <c:pt idx="525">
                  <c:v>1766331.45</c:v>
                </c:pt>
                <c:pt idx="526">
                  <c:v>1720530.23</c:v>
                </c:pt>
                <c:pt idx="527">
                  <c:v>1645892.97</c:v>
                </c:pt>
                <c:pt idx="528">
                  <c:v>1772192.42</c:v>
                </c:pt>
                <c:pt idx="529">
                  <c:v>1832211.96</c:v>
                </c:pt>
                <c:pt idx="530">
                  <c:v>1895901.59</c:v>
                </c:pt>
                <c:pt idx="531">
                  <c:v>2251206.64</c:v>
                </c:pt>
                <c:pt idx="532">
                  <c:v>2411790.21</c:v>
                </c:pt>
                <c:pt idx="533">
                  <c:v>1714309.9</c:v>
                </c:pt>
                <c:pt idx="534">
                  <c:v>1968045.91</c:v>
                </c:pt>
                <c:pt idx="535">
                  <c:v>2115408.31</c:v>
                </c:pt>
                <c:pt idx="536">
                  <c:v>1958003.19</c:v>
                </c:pt>
                <c:pt idx="537">
                  <c:v>1933469.15</c:v>
                </c:pt>
                <c:pt idx="538">
                  <c:v>1827733.18</c:v>
                </c:pt>
                <c:pt idx="539">
                  <c:v>1870720.73</c:v>
                </c:pt>
                <c:pt idx="540">
                  <c:v>1841369.99</c:v>
                </c:pt>
                <c:pt idx="541">
                  <c:v>1792210.89</c:v>
                </c:pt>
                <c:pt idx="542">
                  <c:v>1740063.1</c:v>
                </c:pt>
                <c:pt idx="543">
                  <c:v>1751369.75</c:v>
                </c:pt>
                <c:pt idx="544">
                  <c:v>1699708.38</c:v>
                </c:pt>
                <c:pt idx="545">
                  <c:v>1886299.98</c:v>
                </c:pt>
                <c:pt idx="546">
                  <c:v>1917397.63</c:v>
                </c:pt>
                <c:pt idx="547">
                  <c:v>1758587.35</c:v>
                </c:pt>
                <c:pt idx="548">
                  <c:v>1670579.82</c:v>
                </c:pt>
                <c:pt idx="549">
                  <c:v>1788227.6</c:v>
                </c:pt>
                <c:pt idx="550">
                  <c:v>1904438.59</c:v>
                </c:pt>
                <c:pt idx="551">
                  <c:v>2076570.84</c:v>
                </c:pt>
                <c:pt idx="552">
                  <c:v>2068097.18</c:v>
                </c:pt>
                <c:pt idx="553">
                  <c:v>2429310.9</c:v>
                </c:pt>
                <c:pt idx="554">
                  <c:v>1683401.78</c:v>
                </c:pt>
                <c:pt idx="555">
                  <c:v>1867403.01</c:v>
                </c:pt>
                <c:pt idx="556">
                  <c:v>2218595.7999999998</c:v>
                </c:pt>
                <c:pt idx="557">
                  <c:v>1990371.02</c:v>
                </c:pt>
                <c:pt idx="558">
                  <c:v>1917483.1</c:v>
                </c:pt>
                <c:pt idx="559">
                  <c:v>2163384.17</c:v>
                </c:pt>
                <c:pt idx="560">
                  <c:v>1821364.42</c:v>
                </c:pt>
                <c:pt idx="561">
                  <c:v>1792345.3</c:v>
                </c:pt>
                <c:pt idx="562">
                  <c:v>1767471.48</c:v>
                </c:pt>
                <c:pt idx="563">
                  <c:v>1840491.41</c:v>
                </c:pt>
                <c:pt idx="564">
                  <c:v>1805999.79</c:v>
                </c:pt>
                <c:pt idx="565">
                  <c:v>1939440.09</c:v>
                </c:pt>
                <c:pt idx="566">
                  <c:v>1880436.94</c:v>
                </c:pt>
                <c:pt idx="567">
                  <c:v>1708283.28</c:v>
                </c:pt>
                <c:pt idx="568">
                  <c:v>1758971.38</c:v>
                </c:pt>
                <c:pt idx="569">
                  <c:v>1713889.11</c:v>
                </c:pt>
                <c:pt idx="570">
                  <c:v>1528008.64</c:v>
                </c:pt>
                <c:pt idx="571">
                  <c:v>1574684.08</c:v>
                </c:pt>
                <c:pt idx="572">
                  <c:v>1426622.65</c:v>
                </c:pt>
                <c:pt idx="573">
                  <c:v>1331883.1599999999</c:v>
                </c:pt>
                <c:pt idx="574">
                  <c:v>1446210.26</c:v>
                </c:pt>
                <c:pt idx="575">
                  <c:v>1470308.32</c:v>
                </c:pt>
                <c:pt idx="576">
                  <c:v>1312329.78</c:v>
                </c:pt>
                <c:pt idx="577">
                  <c:v>1396322.19</c:v>
                </c:pt>
                <c:pt idx="578">
                  <c:v>1339570.8500000001</c:v>
                </c:pt>
                <c:pt idx="579">
                  <c:v>1302600.1399999999</c:v>
                </c:pt>
                <c:pt idx="580">
                  <c:v>1280156.47</c:v>
                </c:pt>
                <c:pt idx="581">
                  <c:v>1369634.92</c:v>
                </c:pt>
                <c:pt idx="582">
                  <c:v>1303914.27</c:v>
                </c:pt>
                <c:pt idx="583">
                  <c:v>1231428.46</c:v>
                </c:pt>
                <c:pt idx="584">
                  <c:v>1182490.46</c:v>
                </c:pt>
                <c:pt idx="585">
                  <c:v>1293472.8</c:v>
                </c:pt>
                <c:pt idx="586">
                  <c:v>1332759.1299999999</c:v>
                </c:pt>
                <c:pt idx="587">
                  <c:v>1281675.6000000001</c:v>
                </c:pt>
                <c:pt idx="588">
                  <c:v>1380522.64</c:v>
                </c:pt>
                <c:pt idx="589">
                  <c:v>1564516.43</c:v>
                </c:pt>
                <c:pt idx="590">
                  <c:v>1178905.44</c:v>
                </c:pt>
                <c:pt idx="591">
                  <c:v>1422546.05</c:v>
                </c:pt>
                <c:pt idx="592">
                  <c:v>1419236.9</c:v>
                </c:pt>
                <c:pt idx="593">
                  <c:v>1399456.99</c:v>
                </c:pt>
                <c:pt idx="594">
                  <c:v>1314557.31</c:v>
                </c:pt>
                <c:pt idx="595">
                  <c:v>1258674.1200000001</c:v>
                </c:pt>
                <c:pt idx="596">
                  <c:v>1327401.06</c:v>
                </c:pt>
                <c:pt idx="597">
                  <c:v>1331453.4099999999</c:v>
                </c:pt>
                <c:pt idx="598">
                  <c:v>1343637</c:v>
                </c:pt>
                <c:pt idx="599">
                  <c:v>1314626.75</c:v>
                </c:pt>
                <c:pt idx="600">
                  <c:v>1297472.06</c:v>
                </c:pt>
                <c:pt idx="601">
                  <c:v>1334627.96</c:v>
                </c:pt>
                <c:pt idx="602">
                  <c:v>1403198.94</c:v>
                </c:pt>
                <c:pt idx="603">
                  <c:v>1354188.43</c:v>
                </c:pt>
                <c:pt idx="604">
                  <c:v>1297792.4099999999</c:v>
                </c:pt>
                <c:pt idx="605">
                  <c:v>1249439.95</c:v>
                </c:pt>
                <c:pt idx="606">
                  <c:v>1346271.06</c:v>
                </c:pt>
                <c:pt idx="607">
                  <c:v>1458287.38</c:v>
                </c:pt>
                <c:pt idx="608">
                  <c:v>1366053.69</c:v>
                </c:pt>
                <c:pt idx="609">
                  <c:v>1399322.44</c:v>
                </c:pt>
                <c:pt idx="610">
                  <c:v>1646655.94</c:v>
                </c:pt>
                <c:pt idx="611">
                  <c:v>1283885.55</c:v>
                </c:pt>
                <c:pt idx="612">
                  <c:v>1376732.18</c:v>
                </c:pt>
                <c:pt idx="613">
                  <c:v>1574287.76</c:v>
                </c:pt>
                <c:pt idx="614">
                  <c:v>1438383.44</c:v>
                </c:pt>
                <c:pt idx="615">
                  <c:v>1413382.76</c:v>
                </c:pt>
                <c:pt idx="616">
                  <c:v>1596325.01</c:v>
                </c:pt>
                <c:pt idx="617">
                  <c:v>1370251.22</c:v>
                </c:pt>
                <c:pt idx="618">
                  <c:v>1300147.07</c:v>
                </c:pt>
                <c:pt idx="619">
                  <c:v>1361595.33</c:v>
                </c:pt>
                <c:pt idx="620">
                  <c:v>1414343.53</c:v>
                </c:pt>
                <c:pt idx="621">
                  <c:v>1461129.94</c:v>
                </c:pt>
                <c:pt idx="622">
                  <c:v>1399341.07</c:v>
                </c:pt>
                <c:pt idx="623">
                  <c:v>1388973.65</c:v>
                </c:pt>
                <c:pt idx="624">
                  <c:v>1304584.3999999999</c:v>
                </c:pt>
                <c:pt idx="625">
                  <c:v>1422794.26</c:v>
                </c:pt>
                <c:pt idx="626">
                  <c:v>1311965.0900000001</c:v>
                </c:pt>
                <c:pt idx="627">
                  <c:v>1100046.3700000001</c:v>
                </c:pt>
                <c:pt idx="628">
                  <c:v>1117863.33</c:v>
                </c:pt>
                <c:pt idx="629">
                  <c:v>1077018.27</c:v>
                </c:pt>
                <c:pt idx="630">
                  <c:v>985594.23</c:v>
                </c:pt>
                <c:pt idx="631">
                  <c:v>1011822.3</c:v>
                </c:pt>
                <c:pt idx="632">
                  <c:v>1041238.87</c:v>
                </c:pt>
                <c:pt idx="633">
                  <c:v>1043240.27</c:v>
                </c:pt>
                <c:pt idx="634">
                  <c:v>1049357.3600000001</c:v>
                </c:pt>
                <c:pt idx="635">
                  <c:v>1016039.71</c:v>
                </c:pt>
                <c:pt idx="636">
                  <c:v>951957.31</c:v>
                </c:pt>
                <c:pt idx="637">
                  <c:v>943506.28</c:v>
                </c:pt>
                <c:pt idx="638">
                  <c:v>967576.95</c:v>
                </c:pt>
                <c:pt idx="639">
                  <c:v>1075758.55</c:v>
                </c:pt>
                <c:pt idx="640">
                  <c:v>903119.03</c:v>
                </c:pt>
                <c:pt idx="641">
                  <c:v>850936.26</c:v>
                </c:pt>
                <c:pt idx="642">
                  <c:v>918335.68</c:v>
                </c:pt>
                <c:pt idx="643">
                  <c:v>929690.71</c:v>
                </c:pt>
                <c:pt idx="644">
                  <c:v>942475.24</c:v>
                </c:pt>
                <c:pt idx="645">
                  <c:v>1069533.17</c:v>
                </c:pt>
                <c:pt idx="646">
                  <c:v>1121934.1499999999</c:v>
                </c:pt>
                <c:pt idx="647">
                  <c:v>910110.24</c:v>
                </c:pt>
                <c:pt idx="648">
                  <c:v>1046068.17</c:v>
                </c:pt>
                <c:pt idx="649">
                  <c:v>1086421.57</c:v>
                </c:pt>
                <c:pt idx="650">
                  <c:v>1085248.21</c:v>
                </c:pt>
                <c:pt idx="651">
                  <c:v>997672.62</c:v>
                </c:pt>
                <c:pt idx="652">
                  <c:v>1005463.49</c:v>
                </c:pt>
                <c:pt idx="653">
                  <c:v>998362.05</c:v>
                </c:pt>
                <c:pt idx="654">
                  <c:v>1021154.48</c:v>
                </c:pt>
                <c:pt idx="655">
                  <c:v>970328.68</c:v>
                </c:pt>
                <c:pt idx="656">
                  <c:v>996937.95</c:v>
                </c:pt>
                <c:pt idx="657">
                  <c:v>961993.34</c:v>
                </c:pt>
                <c:pt idx="658">
                  <c:v>943717.38</c:v>
                </c:pt>
                <c:pt idx="659">
                  <c:v>988712.52</c:v>
                </c:pt>
                <c:pt idx="660">
                  <c:v>955913.68</c:v>
                </c:pt>
                <c:pt idx="661">
                  <c:v>1052051.45</c:v>
                </c:pt>
                <c:pt idx="662">
                  <c:v>922850.57</c:v>
                </c:pt>
                <c:pt idx="663">
                  <c:v>951244.66</c:v>
                </c:pt>
                <c:pt idx="664">
                  <c:v>1051944.79</c:v>
                </c:pt>
                <c:pt idx="665">
                  <c:v>1095091.53</c:v>
                </c:pt>
                <c:pt idx="666">
                  <c:v>1071383.1000000001</c:v>
                </c:pt>
                <c:pt idx="667">
                  <c:v>1189646.45</c:v>
                </c:pt>
                <c:pt idx="668">
                  <c:v>945823.65</c:v>
                </c:pt>
                <c:pt idx="669">
                  <c:v>1058767.95</c:v>
                </c:pt>
                <c:pt idx="670">
                  <c:v>1199330.8500000001</c:v>
                </c:pt>
                <c:pt idx="671">
                  <c:v>1147636.96</c:v>
                </c:pt>
                <c:pt idx="672">
                  <c:v>1113208.57</c:v>
                </c:pt>
                <c:pt idx="673">
                  <c:v>1128765.71</c:v>
                </c:pt>
                <c:pt idx="674">
                  <c:v>1073433.69</c:v>
                </c:pt>
                <c:pt idx="675">
                  <c:v>1041995.22</c:v>
                </c:pt>
                <c:pt idx="676">
                  <c:v>981345.2</c:v>
                </c:pt>
                <c:pt idx="677">
                  <c:v>1086231.47</c:v>
                </c:pt>
                <c:pt idx="678">
                  <c:v>1014898.78</c:v>
                </c:pt>
                <c:pt idx="679">
                  <c:v>958667.23</c:v>
                </c:pt>
                <c:pt idx="680">
                  <c:v>984689.9</c:v>
                </c:pt>
                <c:pt idx="681">
                  <c:v>955146.04</c:v>
                </c:pt>
                <c:pt idx="682">
                  <c:v>979825.92</c:v>
                </c:pt>
                <c:pt idx="683">
                  <c:v>934917.47</c:v>
                </c:pt>
                <c:pt idx="684">
                  <c:v>1967220.53</c:v>
                </c:pt>
                <c:pt idx="685">
                  <c:v>2030933.46</c:v>
                </c:pt>
                <c:pt idx="686">
                  <c:v>1939980.43</c:v>
                </c:pt>
                <c:pt idx="687">
                  <c:v>1840686.94</c:v>
                </c:pt>
                <c:pt idx="688">
                  <c:v>2142482.14</c:v>
                </c:pt>
                <c:pt idx="689">
                  <c:v>1898321.33</c:v>
                </c:pt>
                <c:pt idx="690">
                  <c:v>2005478.46</c:v>
                </c:pt>
                <c:pt idx="691">
                  <c:v>2022705.22</c:v>
                </c:pt>
                <c:pt idx="692">
                  <c:v>2037880.96</c:v>
                </c:pt>
                <c:pt idx="693">
                  <c:v>2018314.71</c:v>
                </c:pt>
                <c:pt idx="694">
                  <c:v>1870843.9</c:v>
                </c:pt>
                <c:pt idx="695">
                  <c:v>1969121.45</c:v>
                </c:pt>
                <c:pt idx="696">
                  <c:v>1911852.58</c:v>
                </c:pt>
                <c:pt idx="697">
                  <c:v>1772143.94</c:v>
                </c:pt>
                <c:pt idx="698">
                  <c:v>1765584.48</c:v>
                </c:pt>
                <c:pt idx="699">
                  <c:v>1871924.07</c:v>
                </c:pt>
                <c:pt idx="700">
                  <c:v>1854967.66</c:v>
                </c:pt>
                <c:pt idx="701">
                  <c:v>1939964.63</c:v>
                </c:pt>
                <c:pt idx="702">
                  <c:v>2083379.89</c:v>
                </c:pt>
                <c:pt idx="703">
                  <c:v>2461468.35</c:v>
                </c:pt>
                <c:pt idx="704">
                  <c:v>1744544.39</c:v>
                </c:pt>
                <c:pt idx="705">
                  <c:v>1848186.58</c:v>
                </c:pt>
                <c:pt idx="706">
                  <c:v>1944438.9</c:v>
                </c:pt>
                <c:pt idx="707">
                  <c:v>1894960.68</c:v>
                </c:pt>
                <c:pt idx="708">
                  <c:v>1852432.58</c:v>
                </c:pt>
                <c:pt idx="709">
                  <c:v>1864238.64</c:v>
                </c:pt>
                <c:pt idx="710">
                  <c:v>1887465.04</c:v>
                </c:pt>
                <c:pt idx="711">
                  <c:v>1986380.4</c:v>
                </c:pt>
                <c:pt idx="712">
                  <c:v>1935593.87</c:v>
                </c:pt>
                <c:pt idx="713">
                  <c:v>1997816.98</c:v>
                </c:pt>
                <c:pt idx="714">
                  <c:v>2048035.74</c:v>
                </c:pt>
                <c:pt idx="715">
                  <c:v>2021699.38</c:v>
                </c:pt>
                <c:pt idx="716">
                  <c:v>2076231.8</c:v>
                </c:pt>
                <c:pt idx="717">
                  <c:v>1970341.38</c:v>
                </c:pt>
                <c:pt idx="718">
                  <c:v>1953628.82</c:v>
                </c:pt>
                <c:pt idx="719">
                  <c:v>1872921.31</c:v>
                </c:pt>
                <c:pt idx="720">
                  <c:v>2067232.56</c:v>
                </c:pt>
                <c:pt idx="721">
                  <c:v>2036317.54</c:v>
                </c:pt>
                <c:pt idx="722">
                  <c:v>2111592.09</c:v>
                </c:pt>
                <c:pt idx="723">
                  <c:v>2051315.66</c:v>
                </c:pt>
                <c:pt idx="724">
                  <c:v>2462779.06</c:v>
                </c:pt>
                <c:pt idx="725">
                  <c:v>1865752.78</c:v>
                </c:pt>
                <c:pt idx="726">
                  <c:v>1927780.74</c:v>
                </c:pt>
                <c:pt idx="727">
                  <c:v>2069284.57</c:v>
                </c:pt>
                <c:pt idx="728">
                  <c:v>1969742.76</c:v>
                </c:pt>
                <c:pt idx="729">
                  <c:v>1986445.65</c:v>
                </c:pt>
                <c:pt idx="730">
                  <c:v>2271614.7599999998</c:v>
                </c:pt>
                <c:pt idx="731">
                  <c:v>1995994.51</c:v>
                </c:pt>
                <c:pt idx="732">
                  <c:v>2080764.17</c:v>
                </c:pt>
                <c:pt idx="733">
                  <c:v>2035431.39</c:v>
                </c:pt>
                <c:pt idx="734">
                  <c:v>2182437.9</c:v>
                </c:pt>
                <c:pt idx="735">
                  <c:v>2184980.35</c:v>
                </c:pt>
                <c:pt idx="736">
                  <c:v>2044148.23</c:v>
                </c:pt>
                <c:pt idx="737">
                  <c:v>2041019.92</c:v>
                </c:pt>
                <c:pt idx="738">
                  <c:v>2165796.31</c:v>
                </c:pt>
                <c:pt idx="739">
                  <c:v>2041918.74</c:v>
                </c:pt>
                <c:pt idx="740">
                  <c:v>1999079.44</c:v>
                </c:pt>
                <c:pt idx="741">
                  <c:v>2623469.9500000002</c:v>
                </c:pt>
                <c:pt idx="742">
                  <c:v>1704218.84</c:v>
                </c:pt>
                <c:pt idx="743">
                  <c:v>2237544.75</c:v>
                </c:pt>
                <c:pt idx="744">
                  <c:v>2156035.06</c:v>
                </c:pt>
                <c:pt idx="745">
                  <c:v>2495630.5099999998</c:v>
                </c:pt>
                <c:pt idx="746">
                  <c:v>2258781.2799999998</c:v>
                </c:pt>
                <c:pt idx="747">
                  <c:v>2370116.52</c:v>
                </c:pt>
                <c:pt idx="748">
                  <c:v>2363601.4700000002</c:v>
                </c:pt>
                <c:pt idx="749">
                  <c:v>2249570.04</c:v>
                </c:pt>
                <c:pt idx="750">
                  <c:v>2334788.42</c:v>
                </c:pt>
                <c:pt idx="751">
                  <c:v>2236209.13</c:v>
                </c:pt>
                <c:pt idx="752">
                  <c:v>2219813.5</c:v>
                </c:pt>
                <c:pt idx="753">
                  <c:v>2182563.66</c:v>
                </c:pt>
                <c:pt idx="754">
                  <c:v>2191767.7599999998</c:v>
                </c:pt>
                <c:pt idx="755">
                  <c:v>1855703.66</c:v>
                </c:pt>
                <c:pt idx="756">
                  <c:v>2091663.2</c:v>
                </c:pt>
                <c:pt idx="757">
                  <c:v>2078417.47</c:v>
                </c:pt>
                <c:pt idx="758">
                  <c:v>2092189.06</c:v>
                </c:pt>
                <c:pt idx="759">
                  <c:v>2258489.63</c:v>
                </c:pt>
                <c:pt idx="760">
                  <c:v>2600519.2599999998</c:v>
                </c:pt>
                <c:pt idx="761">
                  <c:v>1864746.1</c:v>
                </c:pt>
                <c:pt idx="762">
                  <c:v>1995891.87</c:v>
                </c:pt>
                <c:pt idx="763">
                  <c:v>1980405.03</c:v>
                </c:pt>
                <c:pt idx="764">
                  <c:v>2041215.61</c:v>
                </c:pt>
                <c:pt idx="765">
                  <c:v>1931104.67</c:v>
                </c:pt>
                <c:pt idx="766">
                  <c:v>1869110.55</c:v>
                </c:pt>
                <c:pt idx="767">
                  <c:v>2037798.88</c:v>
                </c:pt>
                <c:pt idx="768">
                  <c:v>2095599.93</c:v>
                </c:pt>
                <c:pt idx="769">
                  <c:v>2079899.47</c:v>
                </c:pt>
                <c:pt idx="770">
                  <c:v>2132446</c:v>
                </c:pt>
                <c:pt idx="771">
                  <c:v>2074668.19</c:v>
                </c:pt>
                <c:pt idx="772">
                  <c:v>2063401.06</c:v>
                </c:pt>
                <c:pt idx="773">
                  <c:v>2066020.69</c:v>
                </c:pt>
                <c:pt idx="774">
                  <c:v>1928773.82</c:v>
                </c:pt>
                <c:pt idx="775">
                  <c:v>1750891.47</c:v>
                </c:pt>
                <c:pt idx="776">
                  <c:v>2202742.9</c:v>
                </c:pt>
                <c:pt idx="777">
                  <c:v>2078796.76</c:v>
                </c:pt>
                <c:pt idx="778">
                  <c:v>2174056.71</c:v>
                </c:pt>
                <c:pt idx="779">
                  <c:v>2081534.65</c:v>
                </c:pt>
                <c:pt idx="780">
                  <c:v>2143080.5699999998</c:v>
                </c:pt>
                <c:pt idx="781">
                  <c:v>2470581.29</c:v>
                </c:pt>
                <c:pt idx="782">
                  <c:v>1859144.96</c:v>
                </c:pt>
                <c:pt idx="783">
                  <c:v>1877410.36</c:v>
                </c:pt>
                <c:pt idx="784">
                  <c:v>2077256.24</c:v>
                </c:pt>
                <c:pt idx="785">
                  <c:v>1926004.99</c:v>
                </c:pt>
                <c:pt idx="786">
                  <c:v>2020839.31</c:v>
                </c:pt>
                <c:pt idx="787">
                  <c:v>2376022.2599999998</c:v>
                </c:pt>
                <c:pt idx="788">
                  <c:v>1949354.29</c:v>
                </c:pt>
                <c:pt idx="789">
                  <c:v>1987531.05</c:v>
                </c:pt>
                <c:pt idx="790">
                  <c:v>2049485.49</c:v>
                </c:pt>
                <c:pt idx="791">
                  <c:v>2099615.88</c:v>
                </c:pt>
                <c:pt idx="792">
                  <c:v>1862128.95</c:v>
                </c:pt>
                <c:pt idx="793">
                  <c:v>1656886.46</c:v>
                </c:pt>
                <c:pt idx="794">
                  <c:v>1648570.03</c:v>
                </c:pt>
                <c:pt idx="795">
                  <c:v>1904512.34</c:v>
                </c:pt>
                <c:pt idx="796">
                  <c:v>1687592.16</c:v>
                </c:pt>
                <c:pt idx="797">
                  <c:v>1639585.61</c:v>
                </c:pt>
                <c:pt idx="798">
                  <c:v>652122.43999999994</c:v>
                </c:pt>
                <c:pt idx="799">
                  <c:v>682447.1</c:v>
                </c:pt>
                <c:pt idx="800">
                  <c:v>605325.43000000005</c:v>
                </c:pt>
                <c:pt idx="801">
                  <c:v>604173.59</c:v>
                </c:pt>
                <c:pt idx="802">
                  <c:v>718470.71</c:v>
                </c:pt>
                <c:pt idx="803">
                  <c:v>634605.77</c:v>
                </c:pt>
                <c:pt idx="804">
                  <c:v>661348.88</c:v>
                </c:pt>
                <c:pt idx="805">
                  <c:v>693192.5</c:v>
                </c:pt>
                <c:pt idx="806">
                  <c:v>619337.29</c:v>
                </c:pt>
                <c:pt idx="807">
                  <c:v>709337.11</c:v>
                </c:pt>
                <c:pt idx="808">
                  <c:v>691497.62</c:v>
                </c:pt>
                <c:pt idx="809">
                  <c:v>639651.24</c:v>
                </c:pt>
                <c:pt idx="810">
                  <c:v>638647.21</c:v>
                </c:pt>
                <c:pt idx="811">
                  <c:v>641965.19999999995</c:v>
                </c:pt>
                <c:pt idx="812">
                  <c:v>566945.94999999995</c:v>
                </c:pt>
                <c:pt idx="813">
                  <c:v>591603.79</c:v>
                </c:pt>
                <c:pt idx="814">
                  <c:v>612987.64</c:v>
                </c:pt>
                <c:pt idx="815">
                  <c:v>619639.74</c:v>
                </c:pt>
                <c:pt idx="816">
                  <c:v>754134.95</c:v>
                </c:pt>
                <c:pt idx="817">
                  <c:v>847294.04</c:v>
                </c:pt>
                <c:pt idx="818">
                  <c:v>509640.77</c:v>
                </c:pt>
                <c:pt idx="819">
                  <c:v>556550.85</c:v>
                </c:pt>
                <c:pt idx="820">
                  <c:v>582864.35</c:v>
                </c:pt>
                <c:pt idx="821">
                  <c:v>573374.49</c:v>
                </c:pt>
                <c:pt idx="822">
                  <c:v>537035.28</c:v>
                </c:pt>
                <c:pt idx="823">
                  <c:v>542556.05000000005</c:v>
                </c:pt>
                <c:pt idx="824">
                  <c:v>587370.81000000006</c:v>
                </c:pt>
                <c:pt idx="825">
                  <c:v>630522.67000000004</c:v>
                </c:pt>
                <c:pt idx="826">
                  <c:v>695396.19</c:v>
                </c:pt>
                <c:pt idx="827">
                  <c:v>642679.81000000006</c:v>
                </c:pt>
                <c:pt idx="828">
                  <c:v>674669.16</c:v>
                </c:pt>
                <c:pt idx="829">
                  <c:v>635118.48</c:v>
                </c:pt>
                <c:pt idx="830">
                  <c:v>607961.21</c:v>
                </c:pt>
                <c:pt idx="831">
                  <c:v>590836.37</c:v>
                </c:pt>
                <c:pt idx="832">
                  <c:v>649159.68000000005</c:v>
                </c:pt>
                <c:pt idx="833">
                  <c:v>607593.51</c:v>
                </c:pt>
                <c:pt idx="834">
                  <c:v>579068.88</c:v>
                </c:pt>
                <c:pt idx="835">
                  <c:v>615121.78</c:v>
                </c:pt>
                <c:pt idx="836">
                  <c:v>618949.81999999995</c:v>
                </c:pt>
                <c:pt idx="837">
                  <c:v>699028.66</c:v>
                </c:pt>
                <c:pt idx="838">
                  <c:v>764565.55</c:v>
                </c:pt>
                <c:pt idx="839">
                  <c:v>516087.65</c:v>
                </c:pt>
                <c:pt idx="840">
                  <c:v>523831.64</c:v>
                </c:pt>
                <c:pt idx="841">
                  <c:v>628218.22</c:v>
                </c:pt>
                <c:pt idx="842">
                  <c:v>541292.64</c:v>
                </c:pt>
                <c:pt idx="843">
                  <c:v>545120.67000000004</c:v>
                </c:pt>
                <c:pt idx="844">
                  <c:v>659950.36</c:v>
                </c:pt>
                <c:pt idx="845">
                  <c:v>577868.38</c:v>
                </c:pt>
                <c:pt idx="846">
                  <c:v>579539.94999999995</c:v>
                </c:pt>
                <c:pt idx="847">
                  <c:v>663971.26</c:v>
                </c:pt>
                <c:pt idx="848">
                  <c:v>611390.67000000004</c:v>
                </c:pt>
                <c:pt idx="849">
                  <c:v>678024.75</c:v>
                </c:pt>
                <c:pt idx="850">
                  <c:v>590739.62</c:v>
                </c:pt>
                <c:pt idx="851">
                  <c:v>590453.63</c:v>
                </c:pt>
                <c:pt idx="852">
                  <c:v>587259.81999999995</c:v>
                </c:pt>
                <c:pt idx="853">
                  <c:v>573498.64</c:v>
                </c:pt>
                <c:pt idx="854">
                  <c:v>551799.63</c:v>
                </c:pt>
                <c:pt idx="855">
                  <c:v>477409.3</c:v>
                </c:pt>
                <c:pt idx="856">
                  <c:v>472044.28</c:v>
                </c:pt>
                <c:pt idx="857">
                  <c:v>444181.85</c:v>
                </c:pt>
                <c:pt idx="858">
                  <c:v>445393.74</c:v>
                </c:pt>
                <c:pt idx="859">
                  <c:v>490503.69</c:v>
                </c:pt>
                <c:pt idx="860">
                  <c:v>424083.99</c:v>
                </c:pt>
                <c:pt idx="861">
                  <c:v>403217.22</c:v>
                </c:pt>
                <c:pt idx="862">
                  <c:v>516295.81</c:v>
                </c:pt>
                <c:pt idx="863">
                  <c:v>535587.31000000006</c:v>
                </c:pt>
                <c:pt idx="864">
                  <c:v>610641.42000000004</c:v>
                </c:pt>
                <c:pt idx="865">
                  <c:v>614253.32999999996</c:v>
                </c:pt>
                <c:pt idx="866">
                  <c:v>586936.44999999995</c:v>
                </c:pt>
                <c:pt idx="867">
                  <c:v>542087.89</c:v>
                </c:pt>
                <c:pt idx="868">
                  <c:v>537518.56999999995</c:v>
                </c:pt>
                <c:pt idx="869">
                  <c:v>463977.54</c:v>
                </c:pt>
                <c:pt idx="870">
                  <c:v>442894.2</c:v>
                </c:pt>
                <c:pt idx="871">
                  <c:v>446905.02</c:v>
                </c:pt>
                <c:pt idx="872">
                  <c:v>453632.76</c:v>
                </c:pt>
                <c:pt idx="873">
                  <c:v>512260.59</c:v>
                </c:pt>
                <c:pt idx="874">
                  <c:v>570103.64</c:v>
                </c:pt>
                <c:pt idx="875">
                  <c:v>573545.96</c:v>
                </c:pt>
                <c:pt idx="876">
                  <c:v>479263.15</c:v>
                </c:pt>
                <c:pt idx="877">
                  <c:v>466806.89</c:v>
                </c:pt>
                <c:pt idx="878">
                  <c:v>484829.07</c:v>
                </c:pt>
                <c:pt idx="879">
                  <c:v>457504.35</c:v>
                </c:pt>
                <c:pt idx="880">
                  <c:v>459756.11</c:v>
                </c:pt>
                <c:pt idx="881">
                  <c:v>439276.5</c:v>
                </c:pt>
                <c:pt idx="882">
                  <c:v>423805.22</c:v>
                </c:pt>
                <c:pt idx="883">
                  <c:v>531080.31000000006</c:v>
                </c:pt>
                <c:pt idx="884">
                  <c:v>600952.06000000006</c:v>
                </c:pt>
                <c:pt idx="885">
                  <c:v>608737.56000000006</c:v>
                </c:pt>
                <c:pt idx="886">
                  <c:v>634634.66</c:v>
                </c:pt>
                <c:pt idx="887">
                  <c:v>592981.32999999996</c:v>
                </c:pt>
                <c:pt idx="888">
                  <c:v>563884.47</c:v>
                </c:pt>
                <c:pt idx="889">
                  <c:v>580805.32999999996</c:v>
                </c:pt>
                <c:pt idx="890">
                  <c:v>574622.56000000006</c:v>
                </c:pt>
                <c:pt idx="891">
                  <c:v>482926.93</c:v>
                </c:pt>
                <c:pt idx="892">
                  <c:v>511059.95</c:v>
                </c:pt>
                <c:pt idx="893">
                  <c:v>513181.31</c:v>
                </c:pt>
                <c:pt idx="894">
                  <c:v>530492.84</c:v>
                </c:pt>
                <c:pt idx="895">
                  <c:v>574798.86</c:v>
                </c:pt>
                <c:pt idx="896">
                  <c:v>564538.06999999995</c:v>
                </c:pt>
                <c:pt idx="897">
                  <c:v>475905.1</c:v>
                </c:pt>
                <c:pt idx="898">
                  <c:v>473766.97</c:v>
                </c:pt>
                <c:pt idx="899">
                  <c:v>464189.09</c:v>
                </c:pt>
                <c:pt idx="900">
                  <c:v>495951.66</c:v>
                </c:pt>
                <c:pt idx="901">
                  <c:v>502662.07</c:v>
                </c:pt>
                <c:pt idx="902">
                  <c:v>426959.62</c:v>
                </c:pt>
                <c:pt idx="903">
                  <c:v>479855</c:v>
                </c:pt>
                <c:pt idx="904">
                  <c:v>532311.93000000005</c:v>
                </c:pt>
                <c:pt idx="905">
                  <c:v>603618.89</c:v>
                </c:pt>
                <c:pt idx="906">
                  <c:v>641763.53</c:v>
                </c:pt>
                <c:pt idx="907">
                  <c:v>584000.71</c:v>
                </c:pt>
                <c:pt idx="908">
                  <c:v>554036.84</c:v>
                </c:pt>
                <c:pt idx="909">
                  <c:v>537138.57999999996</c:v>
                </c:pt>
                <c:pt idx="910">
                  <c:v>471281.68</c:v>
                </c:pt>
                <c:pt idx="911">
                  <c:v>491817.19</c:v>
                </c:pt>
                <c:pt idx="912">
                  <c:v>789036.02</c:v>
                </c:pt>
                <c:pt idx="913">
                  <c:v>841951.91</c:v>
                </c:pt>
                <c:pt idx="914">
                  <c:v>783300.05</c:v>
                </c:pt>
                <c:pt idx="915">
                  <c:v>763961.82</c:v>
                </c:pt>
                <c:pt idx="916">
                  <c:v>848521.17</c:v>
                </c:pt>
                <c:pt idx="917">
                  <c:v>770228.02</c:v>
                </c:pt>
                <c:pt idx="918">
                  <c:v>843848.65</c:v>
                </c:pt>
                <c:pt idx="919">
                  <c:v>876902.87</c:v>
                </c:pt>
                <c:pt idx="920">
                  <c:v>845252.21</c:v>
                </c:pt>
                <c:pt idx="921">
                  <c:v>958875.37</c:v>
                </c:pt>
                <c:pt idx="922">
                  <c:v>836915.92</c:v>
                </c:pt>
                <c:pt idx="923">
                  <c:v>795301.17</c:v>
                </c:pt>
                <c:pt idx="924">
                  <c:v>834373.73</c:v>
                </c:pt>
                <c:pt idx="925">
                  <c:v>1200888.28</c:v>
                </c:pt>
                <c:pt idx="926">
                  <c:v>829207.27</c:v>
                </c:pt>
                <c:pt idx="927">
                  <c:v>827738.06</c:v>
                </c:pt>
                <c:pt idx="928">
                  <c:v>818434.49</c:v>
                </c:pt>
                <c:pt idx="929">
                  <c:v>855459.96</c:v>
                </c:pt>
                <c:pt idx="930">
                  <c:v>926573.81</c:v>
                </c:pt>
                <c:pt idx="931">
                  <c:v>962475.55</c:v>
                </c:pt>
                <c:pt idx="932">
                  <c:v>1083071.1399999999</c:v>
                </c:pt>
                <c:pt idx="933">
                  <c:v>816603.05</c:v>
                </c:pt>
                <c:pt idx="934">
                  <c:v>813211.46</c:v>
                </c:pt>
                <c:pt idx="935">
                  <c:v>816138.33</c:v>
                </c:pt>
                <c:pt idx="936">
                  <c:v>779602.36</c:v>
                </c:pt>
                <c:pt idx="937">
                  <c:v>795859.23</c:v>
                </c:pt>
                <c:pt idx="938">
                  <c:v>811855.72</c:v>
                </c:pt>
                <c:pt idx="939">
                  <c:v>882132.28</c:v>
                </c:pt>
                <c:pt idx="940">
                  <c:v>895020.48</c:v>
                </c:pt>
                <c:pt idx="941">
                  <c:v>881190.46</c:v>
                </c:pt>
                <c:pt idx="942">
                  <c:v>940554.34</c:v>
                </c:pt>
                <c:pt idx="943">
                  <c:v>915064.22</c:v>
                </c:pt>
                <c:pt idx="944">
                  <c:v>866184.92</c:v>
                </c:pt>
                <c:pt idx="945">
                  <c:v>800819.79</c:v>
                </c:pt>
                <c:pt idx="946">
                  <c:v>847380.07</c:v>
                </c:pt>
                <c:pt idx="947">
                  <c:v>1161900.18</c:v>
                </c:pt>
                <c:pt idx="948">
                  <c:v>918006.9</c:v>
                </c:pt>
                <c:pt idx="949">
                  <c:v>927657.63</c:v>
                </c:pt>
                <c:pt idx="950">
                  <c:v>914759.2</c:v>
                </c:pt>
                <c:pt idx="951">
                  <c:v>945267.68</c:v>
                </c:pt>
                <c:pt idx="952">
                  <c:v>976522.93</c:v>
                </c:pt>
                <c:pt idx="953">
                  <c:v>1198104.22</c:v>
                </c:pt>
                <c:pt idx="954">
                  <c:v>864852.85</c:v>
                </c:pt>
                <c:pt idx="955">
                  <c:v>880165.7</c:v>
                </c:pt>
                <c:pt idx="956">
                  <c:v>856178.47</c:v>
                </c:pt>
                <c:pt idx="957">
                  <c:v>860224.98</c:v>
                </c:pt>
                <c:pt idx="958">
                  <c:v>986922.62</c:v>
                </c:pt>
                <c:pt idx="959">
                  <c:v>930121.14</c:v>
                </c:pt>
                <c:pt idx="960">
                  <c:v>944100.3</c:v>
                </c:pt>
                <c:pt idx="961">
                  <c:v>938914.28</c:v>
                </c:pt>
                <c:pt idx="962">
                  <c:v>987990.24</c:v>
                </c:pt>
                <c:pt idx="963">
                  <c:v>1046782.52</c:v>
                </c:pt>
                <c:pt idx="964">
                  <c:v>877813.33</c:v>
                </c:pt>
                <c:pt idx="965">
                  <c:v>849074.04</c:v>
                </c:pt>
                <c:pt idx="966">
                  <c:v>1255633.29</c:v>
                </c:pt>
                <c:pt idx="967">
                  <c:v>952609.17</c:v>
                </c:pt>
                <c:pt idx="968">
                  <c:v>919878.34</c:v>
                </c:pt>
                <c:pt idx="969">
                  <c:v>1205307.5</c:v>
                </c:pt>
                <c:pt idx="970">
                  <c:v>1187880.7</c:v>
                </c:pt>
                <c:pt idx="971">
                  <c:v>1179738.5</c:v>
                </c:pt>
                <c:pt idx="972">
                  <c:v>1138800.32</c:v>
                </c:pt>
                <c:pt idx="973">
                  <c:v>1254107.8400000001</c:v>
                </c:pt>
                <c:pt idx="974">
                  <c:v>1174447.55</c:v>
                </c:pt>
                <c:pt idx="975">
                  <c:v>1222255.47</c:v>
                </c:pt>
                <c:pt idx="976">
                  <c:v>1271311.76</c:v>
                </c:pt>
                <c:pt idx="977">
                  <c:v>1173521.82</c:v>
                </c:pt>
                <c:pt idx="978">
                  <c:v>1257928.3500000001</c:v>
                </c:pt>
                <c:pt idx="979">
                  <c:v>1171391.4099999999</c:v>
                </c:pt>
                <c:pt idx="980">
                  <c:v>1166117.8500000001</c:v>
                </c:pt>
                <c:pt idx="981">
                  <c:v>1187359.77</c:v>
                </c:pt>
                <c:pt idx="982">
                  <c:v>1011201.12</c:v>
                </c:pt>
                <c:pt idx="983">
                  <c:v>948977.5</c:v>
                </c:pt>
                <c:pt idx="984">
                  <c:v>1107432.71</c:v>
                </c:pt>
                <c:pt idx="985">
                  <c:v>1089530.94</c:v>
                </c:pt>
                <c:pt idx="986">
                  <c:v>1081322.1200000001</c:v>
                </c:pt>
                <c:pt idx="987">
                  <c:v>1211026.1299999999</c:v>
                </c:pt>
                <c:pt idx="988">
                  <c:v>1416168.98</c:v>
                </c:pt>
                <c:pt idx="989">
                  <c:v>933960.3</c:v>
                </c:pt>
                <c:pt idx="990">
                  <c:v>1055841.24</c:v>
                </c:pt>
                <c:pt idx="991">
                  <c:v>1122053.58</c:v>
                </c:pt>
                <c:pt idx="992">
                  <c:v>1063310.6200000001</c:v>
                </c:pt>
                <c:pt idx="993">
                  <c:v>1002714.25</c:v>
                </c:pt>
                <c:pt idx="994">
                  <c:v>938083.17</c:v>
                </c:pt>
                <c:pt idx="995">
                  <c:v>1018541.3</c:v>
                </c:pt>
                <c:pt idx="996">
                  <c:v>1065427.3700000001</c:v>
                </c:pt>
                <c:pt idx="997">
                  <c:v>1178039</c:v>
                </c:pt>
                <c:pt idx="998">
                  <c:v>1044079.2</c:v>
                </c:pt>
                <c:pt idx="999">
                  <c:v>1087051.26</c:v>
                </c:pt>
                <c:pt idx="1000">
                  <c:v>1048802.6200000001</c:v>
                </c:pt>
                <c:pt idx="1001">
                  <c:v>1002806.39</c:v>
                </c:pt>
                <c:pt idx="1002">
                  <c:v>928470.83</c:v>
                </c:pt>
                <c:pt idx="1003">
                  <c:v>540922.93999999994</c:v>
                </c:pt>
                <c:pt idx="1004">
                  <c:v>951549.61</c:v>
                </c:pt>
                <c:pt idx="1005">
                  <c:v>1019741.1</c:v>
                </c:pt>
                <c:pt idx="1006">
                  <c:v>1100625.06</c:v>
                </c:pt>
                <c:pt idx="1007">
                  <c:v>1079931.6299999999</c:v>
                </c:pt>
                <c:pt idx="1008">
                  <c:v>1188047.6100000001</c:v>
                </c:pt>
                <c:pt idx="1009">
                  <c:v>1368471.23</c:v>
                </c:pt>
                <c:pt idx="1010">
                  <c:v>977286.07</c:v>
                </c:pt>
                <c:pt idx="1011">
                  <c:v>1049772.04</c:v>
                </c:pt>
                <c:pt idx="1012">
                  <c:v>1161615.51</c:v>
                </c:pt>
                <c:pt idx="1013">
                  <c:v>1047178.91</c:v>
                </c:pt>
                <c:pt idx="1014">
                  <c:v>1084894.47</c:v>
                </c:pt>
                <c:pt idx="1015">
                  <c:v>1200815.3</c:v>
                </c:pt>
                <c:pt idx="1016">
                  <c:v>1050027.8899999999</c:v>
                </c:pt>
                <c:pt idx="1017">
                  <c:v>1060433.1000000001</c:v>
                </c:pt>
                <c:pt idx="1018">
                  <c:v>1118313.7</c:v>
                </c:pt>
                <c:pt idx="1019">
                  <c:v>1110479.94</c:v>
                </c:pt>
                <c:pt idx="1020">
                  <c:v>1158247.31</c:v>
                </c:pt>
                <c:pt idx="1021">
                  <c:v>1052066.58</c:v>
                </c:pt>
                <c:pt idx="1022">
                  <c:v>967304.07</c:v>
                </c:pt>
                <c:pt idx="1023">
                  <c:v>1083521.24</c:v>
                </c:pt>
                <c:pt idx="1024">
                  <c:v>1092204.79</c:v>
                </c:pt>
                <c:pt idx="1025">
                  <c:v>1074079</c:v>
                </c:pt>
                <c:pt idx="1026">
                  <c:v>1507637.17</c:v>
                </c:pt>
                <c:pt idx="1027">
                  <c:v>1536549.95</c:v>
                </c:pt>
                <c:pt idx="1028">
                  <c:v>1495844.57</c:v>
                </c:pt>
                <c:pt idx="1029">
                  <c:v>1467889.2</c:v>
                </c:pt>
                <c:pt idx="1030">
                  <c:v>1642970.27</c:v>
                </c:pt>
                <c:pt idx="1031">
                  <c:v>1489613.32</c:v>
                </c:pt>
                <c:pt idx="1032">
                  <c:v>1566219.77</c:v>
                </c:pt>
                <c:pt idx="1033">
                  <c:v>1519013.49</c:v>
                </c:pt>
                <c:pt idx="1034">
                  <c:v>1410683.94</c:v>
                </c:pt>
                <c:pt idx="1035">
                  <c:v>1549018.68</c:v>
                </c:pt>
                <c:pt idx="1036">
                  <c:v>1577541.24</c:v>
                </c:pt>
                <c:pt idx="1037">
                  <c:v>1492060.89</c:v>
                </c:pt>
                <c:pt idx="1038">
                  <c:v>1623519.64</c:v>
                </c:pt>
                <c:pt idx="1039">
                  <c:v>1591453.39</c:v>
                </c:pt>
                <c:pt idx="1040">
                  <c:v>1379456.3</c:v>
                </c:pt>
                <c:pt idx="1041">
                  <c:v>1428960.72</c:v>
                </c:pt>
                <c:pt idx="1042">
                  <c:v>1435379.25</c:v>
                </c:pt>
                <c:pt idx="1043">
                  <c:v>1490235.86</c:v>
                </c:pt>
                <c:pt idx="1044">
                  <c:v>1615987.96</c:v>
                </c:pt>
                <c:pt idx="1045">
                  <c:v>1799070.98</c:v>
                </c:pt>
                <c:pt idx="1046">
                  <c:v>1224175.99</c:v>
                </c:pt>
                <c:pt idx="1047">
                  <c:v>1370562.11</c:v>
                </c:pt>
                <c:pt idx="1048">
                  <c:v>1430851.11</c:v>
                </c:pt>
                <c:pt idx="1049">
                  <c:v>1433569.44</c:v>
                </c:pt>
                <c:pt idx="1050">
                  <c:v>1351450.43</c:v>
                </c:pt>
                <c:pt idx="1051">
                  <c:v>1305950.22</c:v>
                </c:pt>
                <c:pt idx="1052">
                  <c:v>1419911.91</c:v>
                </c:pt>
                <c:pt idx="1053">
                  <c:v>1451953.95</c:v>
                </c:pt>
                <c:pt idx="1054">
                  <c:v>1457345.75</c:v>
                </c:pt>
                <c:pt idx="1055">
                  <c:v>1467473.63</c:v>
                </c:pt>
                <c:pt idx="1056">
                  <c:v>1462731.93</c:v>
                </c:pt>
                <c:pt idx="1057">
                  <c:v>1465489.75</c:v>
                </c:pt>
                <c:pt idx="1058">
                  <c:v>1408968.55</c:v>
                </c:pt>
                <c:pt idx="1059">
                  <c:v>1360969.45</c:v>
                </c:pt>
                <c:pt idx="1060">
                  <c:v>1609951.02</c:v>
                </c:pt>
                <c:pt idx="1061">
                  <c:v>1566712.79</c:v>
                </c:pt>
                <c:pt idx="1062">
                  <c:v>1461718.87</c:v>
                </c:pt>
                <c:pt idx="1063">
                  <c:v>1480289.64</c:v>
                </c:pt>
                <c:pt idx="1064">
                  <c:v>1502078.93</c:v>
                </c:pt>
                <c:pt idx="1065">
                  <c:v>1484708.38</c:v>
                </c:pt>
                <c:pt idx="1066">
                  <c:v>1713769.06</c:v>
                </c:pt>
                <c:pt idx="1067">
                  <c:v>1266570.3999999999</c:v>
                </c:pt>
                <c:pt idx="1068">
                  <c:v>1345311.65</c:v>
                </c:pt>
                <c:pt idx="1069">
                  <c:v>1499496.67</c:v>
                </c:pt>
                <c:pt idx="1070">
                  <c:v>1308977.05</c:v>
                </c:pt>
                <c:pt idx="1071">
                  <c:v>1358816.46</c:v>
                </c:pt>
                <c:pt idx="1072">
                  <c:v>1631737.68</c:v>
                </c:pt>
                <c:pt idx="1073">
                  <c:v>1405007.44</c:v>
                </c:pt>
                <c:pt idx="1074">
                  <c:v>1442873.22</c:v>
                </c:pt>
                <c:pt idx="1075">
                  <c:v>1450733.29</c:v>
                </c:pt>
                <c:pt idx="1076">
                  <c:v>1390122.11</c:v>
                </c:pt>
                <c:pt idx="1077">
                  <c:v>1557120.44</c:v>
                </c:pt>
                <c:pt idx="1078">
                  <c:v>1342123.78</c:v>
                </c:pt>
                <c:pt idx="1079">
                  <c:v>1408907.89</c:v>
                </c:pt>
                <c:pt idx="1080">
                  <c:v>1497073.82</c:v>
                </c:pt>
                <c:pt idx="1081">
                  <c:v>1408016.1</c:v>
                </c:pt>
                <c:pt idx="1082">
                  <c:v>1352809.5</c:v>
                </c:pt>
                <c:pt idx="1083">
                  <c:v>2401395.4700000002</c:v>
                </c:pt>
                <c:pt idx="1084">
                  <c:v>2109107.9</c:v>
                </c:pt>
                <c:pt idx="1085">
                  <c:v>2119213.7200000002</c:v>
                </c:pt>
                <c:pt idx="1086">
                  <c:v>2010974.84</c:v>
                </c:pt>
                <c:pt idx="1087">
                  <c:v>2405395.2200000002</c:v>
                </c:pt>
                <c:pt idx="1088">
                  <c:v>2007796.26</c:v>
                </c:pt>
                <c:pt idx="1089">
                  <c:v>2137202.38</c:v>
                </c:pt>
                <c:pt idx="1090">
                  <c:v>2203619.35</c:v>
                </c:pt>
                <c:pt idx="1091">
                  <c:v>2100489.79</c:v>
                </c:pt>
                <c:pt idx="1092">
                  <c:v>2143676.77</c:v>
                </c:pt>
                <c:pt idx="1093">
                  <c:v>2107285.85</c:v>
                </c:pt>
                <c:pt idx="1094">
                  <c:v>1910177.38</c:v>
                </c:pt>
                <c:pt idx="1095">
                  <c:v>2121561.41</c:v>
                </c:pt>
                <c:pt idx="1096">
                  <c:v>2014954.79</c:v>
                </c:pt>
                <c:pt idx="1097">
                  <c:v>1933719.21</c:v>
                </c:pt>
                <c:pt idx="1098">
                  <c:v>2060389.27</c:v>
                </c:pt>
                <c:pt idx="1099">
                  <c:v>2184316.64</c:v>
                </c:pt>
                <c:pt idx="1100">
                  <c:v>2187765.2799999998</c:v>
                </c:pt>
                <c:pt idx="1101">
                  <c:v>2416051.17</c:v>
                </c:pt>
                <c:pt idx="1102">
                  <c:v>2752122.08</c:v>
                </c:pt>
                <c:pt idx="1103">
                  <c:v>1843030.95</c:v>
                </c:pt>
                <c:pt idx="1104">
                  <c:v>2351143.0699999998</c:v>
                </c:pt>
                <c:pt idx="1105">
                  <c:v>2211388.14</c:v>
                </c:pt>
                <c:pt idx="1106">
                  <c:v>2143424.61</c:v>
                </c:pt>
                <c:pt idx="1107">
                  <c:v>1990932.77</c:v>
                </c:pt>
                <c:pt idx="1108">
                  <c:v>1927993.09</c:v>
                </c:pt>
                <c:pt idx="1109">
                  <c:v>2027056.39</c:v>
                </c:pt>
                <c:pt idx="1110">
                  <c:v>2090838.44</c:v>
                </c:pt>
                <c:pt idx="1111">
                  <c:v>2182246.69</c:v>
                </c:pt>
                <c:pt idx="1112">
                  <c:v>2135062.04</c:v>
                </c:pt>
                <c:pt idx="1113">
                  <c:v>2053165.41</c:v>
                </c:pt>
                <c:pt idx="1114">
                  <c:v>2123787.79</c:v>
                </c:pt>
                <c:pt idx="1115">
                  <c:v>2189353.63</c:v>
                </c:pt>
                <c:pt idx="1116">
                  <c:v>2052246.4</c:v>
                </c:pt>
                <c:pt idx="1117">
                  <c:v>2141765.98</c:v>
                </c:pt>
                <c:pt idx="1118">
                  <c:v>2050542.56</c:v>
                </c:pt>
                <c:pt idx="1119">
                  <c:v>2135982.79</c:v>
                </c:pt>
                <c:pt idx="1120">
                  <c:v>2284106.6</c:v>
                </c:pt>
                <c:pt idx="1121">
                  <c:v>2269975.85</c:v>
                </c:pt>
                <c:pt idx="1122">
                  <c:v>2298776.83</c:v>
                </c:pt>
                <c:pt idx="1123">
                  <c:v>2546123.7799999998</c:v>
                </c:pt>
                <c:pt idx="1124">
                  <c:v>1964701.94</c:v>
                </c:pt>
                <c:pt idx="1125">
                  <c:v>2203523.2000000002</c:v>
                </c:pt>
                <c:pt idx="1126">
                  <c:v>2462978.2799999998</c:v>
                </c:pt>
                <c:pt idx="1127">
                  <c:v>2148822.7599999998</c:v>
                </c:pt>
                <c:pt idx="1128">
                  <c:v>2139265.4</c:v>
                </c:pt>
                <c:pt idx="1129">
                  <c:v>2565259.92</c:v>
                </c:pt>
                <c:pt idx="1130">
                  <c:v>2163510.89</c:v>
                </c:pt>
                <c:pt idx="1131">
                  <c:v>2168097.11</c:v>
                </c:pt>
                <c:pt idx="1132">
                  <c:v>2143126.59</c:v>
                </c:pt>
                <c:pt idx="1133">
                  <c:v>2231962.13</c:v>
                </c:pt>
                <c:pt idx="1134">
                  <c:v>2358055.2999999998</c:v>
                </c:pt>
                <c:pt idx="1135">
                  <c:v>2094515.71</c:v>
                </c:pt>
                <c:pt idx="1136">
                  <c:v>2144245.39</c:v>
                </c:pt>
                <c:pt idx="1137">
                  <c:v>2080529.06</c:v>
                </c:pt>
                <c:pt idx="1138">
                  <c:v>2246411.89</c:v>
                </c:pt>
                <c:pt idx="1139">
                  <c:v>2162951.36</c:v>
                </c:pt>
                <c:pt idx="1140">
                  <c:v>798593.88</c:v>
                </c:pt>
                <c:pt idx="1141">
                  <c:v>809321.44</c:v>
                </c:pt>
                <c:pt idx="1142">
                  <c:v>747444.32</c:v>
                </c:pt>
                <c:pt idx="1143">
                  <c:v>712312.89</c:v>
                </c:pt>
                <c:pt idx="1144">
                  <c:v>753664.12</c:v>
                </c:pt>
                <c:pt idx="1145">
                  <c:v>751181.4</c:v>
                </c:pt>
                <c:pt idx="1146">
                  <c:v>744969.42</c:v>
                </c:pt>
                <c:pt idx="1147">
                  <c:v>806012.48</c:v>
                </c:pt>
                <c:pt idx="1148">
                  <c:v>784305.55</c:v>
                </c:pt>
                <c:pt idx="1149">
                  <c:v>711470.8</c:v>
                </c:pt>
                <c:pt idx="1150">
                  <c:v>714677.47</c:v>
                </c:pt>
                <c:pt idx="1151">
                  <c:v>739279.19</c:v>
                </c:pt>
                <c:pt idx="1152">
                  <c:v>727772.8</c:v>
                </c:pt>
                <c:pt idx="1153">
                  <c:v>674055.81</c:v>
                </c:pt>
                <c:pt idx="1154">
                  <c:v>677158.39</c:v>
                </c:pt>
                <c:pt idx="1155">
                  <c:v>680579.49</c:v>
                </c:pt>
                <c:pt idx="1156">
                  <c:v>719888.76</c:v>
                </c:pt>
                <c:pt idx="1157">
                  <c:v>735796.38</c:v>
                </c:pt>
                <c:pt idx="1158">
                  <c:v>829210.73</c:v>
                </c:pt>
                <c:pt idx="1159">
                  <c:v>943891.64</c:v>
                </c:pt>
                <c:pt idx="1160">
                  <c:v>629152.06000000006</c:v>
                </c:pt>
                <c:pt idx="1161">
                  <c:v>596218.24</c:v>
                </c:pt>
                <c:pt idx="1162">
                  <c:v>771908.51</c:v>
                </c:pt>
                <c:pt idx="1163">
                  <c:v>796277.72</c:v>
                </c:pt>
                <c:pt idx="1164">
                  <c:v>763479.9</c:v>
                </c:pt>
                <c:pt idx="1165">
                  <c:v>732056.37</c:v>
                </c:pt>
                <c:pt idx="1166">
                  <c:v>744782.89</c:v>
                </c:pt>
                <c:pt idx="1167">
                  <c:v>718898.33</c:v>
                </c:pt>
                <c:pt idx="1168">
                  <c:v>773878.58</c:v>
                </c:pt>
                <c:pt idx="1169">
                  <c:v>794397.89</c:v>
                </c:pt>
                <c:pt idx="1170">
                  <c:v>784639.12</c:v>
                </c:pt>
                <c:pt idx="1171">
                  <c:v>734099.4</c:v>
                </c:pt>
                <c:pt idx="1172">
                  <c:v>783614.89</c:v>
                </c:pt>
                <c:pt idx="1173">
                  <c:v>776933.37</c:v>
                </c:pt>
                <c:pt idx="1174">
                  <c:v>705557.8</c:v>
                </c:pt>
                <c:pt idx="1175">
                  <c:v>653989.65</c:v>
                </c:pt>
                <c:pt idx="1176">
                  <c:v>663452.46</c:v>
                </c:pt>
                <c:pt idx="1177">
                  <c:v>767358.37</c:v>
                </c:pt>
                <c:pt idx="1178">
                  <c:v>757369.87</c:v>
                </c:pt>
                <c:pt idx="1179">
                  <c:v>793184.25</c:v>
                </c:pt>
                <c:pt idx="1180">
                  <c:v>897747.13</c:v>
                </c:pt>
                <c:pt idx="1181">
                  <c:v>640181.86</c:v>
                </c:pt>
                <c:pt idx="1182">
                  <c:v>680725.43</c:v>
                </c:pt>
                <c:pt idx="1183">
                  <c:v>770652.79</c:v>
                </c:pt>
                <c:pt idx="1184">
                  <c:v>764385.4</c:v>
                </c:pt>
                <c:pt idx="1185">
                  <c:v>755084.4</c:v>
                </c:pt>
                <c:pt idx="1186">
                  <c:v>761956.58</c:v>
                </c:pt>
                <c:pt idx="1187">
                  <c:v>697645.32</c:v>
                </c:pt>
                <c:pt idx="1188">
                  <c:v>649945.54</c:v>
                </c:pt>
                <c:pt idx="1189">
                  <c:v>695439.83</c:v>
                </c:pt>
                <c:pt idx="1190">
                  <c:v>707895.72</c:v>
                </c:pt>
                <c:pt idx="1191">
                  <c:v>693013.59</c:v>
                </c:pt>
                <c:pt idx="1192">
                  <c:v>693785.85</c:v>
                </c:pt>
                <c:pt idx="1193">
                  <c:v>700272.01</c:v>
                </c:pt>
                <c:pt idx="1194">
                  <c:v>642827.29</c:v>
                </c:pt>
                <c:pt idx="1195">
                  <c:v>651768.91</c:v>
                </c:pt>
                <c:pt idx="1196">
                  <c:v>653043.43999999994</c:v>
                </c:pt>
                <c:pt idx="1197">
                  <c:v>1033017.37</c:v>
                </c:pt>
                <c:pt idx="1198">
                  <c:v>1022571.25</c:v>
                </c:pt>
                <c:pt idx="1199">
                  <c:v>1009201.24</c:v>
                </c:pt>
                <c:pt idx="1200">
                  <c:v>967187.37</c:v>
                </c:pt>
                <c:pt idx="1201">
                  <c:v>1177340.99</c:v>
                </c:pt>
                <c:pt idx="1202">
                  <c:v>1033171.07</c:v>
                </c:pt>
                <c:pt idx="1203">
                  <c:v>1052973.28</c:v>
                </c:pt>
                <c:pt idx="1204">
                  <c:v>1095539.1299999999</c:v>
                </c:pt>
                <c:pt idx="1205">
                  <c:v>1061196.47</c:v>
                </c:pt>
                <c:pt idx="1206">
                  <c:v>1120259.71</c:v>
                </c:pt>
                <c:pt idx="1207">
                  <c:v>1092654.26</c:v>
                </c:pt>
                <c:pt idx="1208">
                  <c:v>1010326.14</c:v>
                </c:pt>
                <c:pt idx="1209">
                  <c:v>1074535.8799999999</c:v>
                </c:pt>
                <c:pt idx="1210">
                  <c:v>924174.4</c:v>
                </c:pt>
                <c:pt idx="1211">
                  <c:v>905987.17</c:v>
                </c:pt>
                <c:pt idx="1212">
                  <c:v>1015051.62</c:v>
                </c:pt>
                <c:pt idx="1213">
                  <c:v>1006888.16</c:v>
                </c:pt>
                <c:pt idx="1214">
                  <c:v>1043698.64</c:v>
                </c:pt>
                <c:pt idx="1215">
                  <c:v>1230514.58</c:v>
                </c:pt>
                <c:pt idx="1216">
                  <c:v>1367202.84</c:v>
                </c:pt>
                <c:pt idx="1217">
                  <c:v>873954.7</c:v>
                </c:pt>
                <c:pt idx="1218">
                  <c:v>946060.98</c:v>
                </c:pt>
                <c:pt idx="1219">
                  <c:v>1009206.33</c:v>
                </c:pt>
                <c:pt idx="1220">
                  <c:v>997353.15</c:v>
                </c:pt>
                <c:pt idx="1221">
                  <c:v>944587.23</c:v>
                </c:pt>
                <c:pt idx="1222">
                  <c:v>951588.37</c:v>
                </c:pt>
                <c:pt idx="1223">
                  <c:v>969046.69</c:v>
                </c:pt>
                <c:pt idx="1224">
                  <c:v>1032076.06</c:v>
                </c:pt>
                <c:pt idx="1225">
                  <c:v>1125169.92</c:v>
                </c:pt>
                <c:pt idx="1226">
                  <c:v>1060868.49</c:v>
                </c:pt>
                <c:pt idx="1227">
                  <c:v>1077491.68</c:v>
                </c:pt>
                <c:pt idx="1228">
                  <c:v>1017050.65</c:v>
                </c:pt>
                <c:pt idx="1229">
                  <c:v>983232.96</c:v>
                </c:pt>
                <c:pt idx="1230">
                  <c:v>991779.2</c:v>
                </c:pt>
                <c:pt idx="1231">
                  <c:v>912762.76</c:v>
                </c:pt>
                <c:pt idx="1232">
                  <c:v>1004434.54</c:v>
                </c:pt>
                <c:pt idx="1233">
                  <c:v>993436.67</c:v>
                </c:pt>
                <c:pt idx="1234">
                  <c:v>1106575.5900000001</c:v>
                </c:pt>
                <c:pt idx="1235">
                  <c:v>1051740.29</c:v>
                </c:pt>
                <c:pt idx="1236">
                  <c:v>1167621.1399999999</c:v>
                </c:pt>
                <c:pt idx="1237">
                  <c:v>1308967.44</c:v>
                </c:pt>
                <c:pt idx="1238">
                  <c:v>895358.2</c:v>
                </c:pt>
                <c:pt idx="1239">
                  <c:v>958487.75</c:v>
                </c:pt>
                <c:pt idx="1240">
                  <c:v>1034448.07</c:v>
                </c:pt>
                <c:pt idx="1241">
                  <c:v>974866.65</c:v>
                </c:pt>
                <c:pt idx="1242">
                  <c:v>991127.01</c:v>
                </c:pt>
                <c:pt idx="1243">
                  <c:v>1197489.6599999999</c:v>
                </c:pt>
                <c:pt idx="1244">
                  <c:v>1005083.31</c:v>
                </c:pt>
                <c:pt idx="1245">
                  <c:v>997868.63</c:v>
                </c:pt>
                <c:pt idx="1246">
                  <c:v>1102857.3700000001</c:v>
                </c:pt>
                <c:pt idx="1247">
                  <c:v>1061134.3700000001</c:v>
                </c:pt>
                <c:pt idx="1248">
                  <c:v>1097786.1399999999</c:v>
                </c:pt>
                <c:pt idx="1249">
                  <c:v>1007257.83</c:v>
                </c:pt>
                <c:pt idx="1250">
                  <c:v>973812.79</c:v>
                </c:pt>
                <c:pt idx="1251">
                  <c:v>996628.8</c:v>
                </c:pt>
                <c:pt idx="1252">
                  <c:v>1009887.36</c:v>
                </c:pt>
                <c:pt idx="1253">
                  <c:v>1004039.84</c:v>
                </c:pt>
                <c:pt idx="1254">
                  <c:v>1364721.58</c:v>
                </c:pt>
                <c:pt idx="1255">
                  <c:v>1380892.08</c:v>
                </c:pt>
                <c:pt idx="1256">
                  <c:v>1311175.93</c:v>
                </c:pt>
                <c:pt idx="1257">
                  <c:v>1408082.96</c:v>
                </c:pt>
                <c:pt idx="1258">
                  <c:v>1556627.62</c:v>
                </c:pt>
                <c:pt idx="1259">
                  <c:v>1264434.7</c:v>
                </c:pt>
                <c:pt idx="1260">
                  <c:v>1365552.28</c:v>
                </c:pt>
                <c:pt idx="1261">
                  <c:v>1514435.51</c:v>
                </c:pt>
                <c:pt idx="1262">
                  <c:v>1439432.06</c:v>
                </c:pt>
                <c:pt idx="1263">
                  <c:v>1549113.18</c:v>
                </c:pt>
                <c:pt idx="1264">
                  <c:v>1417535.78</c:v>
                </c:pt>
                <c:pt idx="1265">
                  <c:v>1417013.07</c:v>
                </c:pt>
                <c:pt idx="1266">
                  <c:v>1405119.23</c:v>
                </c:pt>
                <c:pt idx="1267">
                  <c:v>1272842.8500000001</c:v>
                </c:pt>
                <c:pt idx="1268">
                  <c:v>1129909.44</c:v>
                </c:pt>
                <c:pt idx="1269">
                  <c:v>1179851.68</c:v>
                </c:pt>
                <c:pt idx="1270">
                  <c:v>1203119.96</c:v>
                </c:pt>
                <c:pt idx="1271">
                  <c:v>1387953.75</c:v>
                </c:pt>
                <c:pt idx="1272">
                  <c:v>1617025.41</c:v>
                </c:pt>
                <c:pt idx="1273">
                  <c:v>1872365.99</c:v>
                </c:pt>
                <c:pt idx="1274">
                  <c:v>1122034.48</c:v>
                </c:pt>
                <c:pt idx="1275">
                  <c:v>1159438.53</c:v>
                </c:pt>
                <c:pt idx="1276">
                  <c:v>1249786.3999999999</c:v>
                </c:pt>
                <c:pt idx="1277">
                  <c:v>1301185.28</c:v>
                </c:pt>
                <c:pt idx="1278">
                  <c:v>1042043.55</c:v>
                </c:pt>
                <c:pt idx="1279">
                  <c:v>1182694.95</c:v>
                </c:pt>
                <c:pt idx="1280">
                  <c:v>1248901.98</c:v>
                </c:pt>
                <c:pt idx="1281">
                  <c:v>1359921.13</c:v>
                </c:pt>
                <c:pt idx="1282">
                  <c:v>1562161.97</c:v>
                </c:pt>
                <c:pt idx="1283">
                  <c:v>1447028.06</c:v>
                </c:pt>
                <c:pt idx="1284">
                  <c:v>1492507.44</c:v>
                </c:pt>
                <c:pt idx="1285">
                  <c:v>1379488.05</c:v>
                </c:pt>
                <c:pt idx="1286">
                  <c:v>1416344.68</c:v>
                </c:pt>
                <c:pt idx="1287">
                  <c:v>1380952.05</c:v>
                </c:pt>
                <c:pt idx="1288">
                  <c:v>1464295.69</c:v>
                </c:pt>
                <c:pt idx="1289">
                  <c:v>1423289.9</c:v>
                </c:pt>
                <c:pt idx="1290">
                  <c:v>1463501.99</c:v>
                </c:pt>
                <c:pt idx="1291">
                  <c:v>1428436.33</c:v>
                </c:pt>
                <c:pt idx="1292">
                  <c:v>1436940.78</c:v>
                </c:pt>
                <c:pt idx="1293">
                  <c:v>1552886.59</c:v>
                </c:pt>
                <c:pt idx="1294">
                  <c:v>1841173.6</c:v>
                </c:pt>
                <c:pt idx="1295">
                  <c:v>1150662.55</c:v>
                </c:pt>
                <c:pt idx="1296">
                  <c:v>1261872.67</c:v>
                </c:pt>
                <c:pt idx="1297">
                  <c:v>1358444.07</c:v>
                </c:pt>
                <c:pt idx="1298">
                  <c:v>1322852.2</c:v>
                </c:pt>
                <c:pt idx="1299">
                  <c:v>1292724.8999999999</c:v>
                </c:pt>
                <c:pt idx="1300">
                  <c:v>1604605.69</c:v>
                </c:pt>
                <c:pt idx="1301">
                  <c:v>1317379.68</c:v>
                </c:pt>
                <c:pt idx="1302">
                  <c:v>1321914.3400000001</c:v>
                </c:pt>
                <c:pt idx="1303">
                  <c:v>1476144.34</c:v>
                </c:pt>
                <c:pt idx="1304">
                  <c:v>1568048.54</c:v>
                </c:pt>
                <c:pt idx="1305">
                  <c:v>1545370.16</c:v>
                </c:pt>
                <c:pt idx="1306">
                  <c:v>1416926.31</c:v>
                </c:pt>
                <c:pt idx="1307">
                  <c:v>1436311.76</c:v>
                </c:pt>
                <c:pt idx="1308">
                  <c:v>1427162.26</c:v>
                </c:pt>
                <c:pt idx="1309">
                  <c:v>1464616.59</c:v>
                </c:pt>
                <c:pt idx="1310">
                  <c:v>1412925.25</c:v>
                </c:pt>
                <c:pt idx="1311">
                  <c:v>1388725.63</c:v>
                </c:pt>
                <c:pt idx="1312">
                  <c:v>1414107.1</c:v>
                </c:pt>
                <c:pt idx="1313">
                  <c:v>1412387.37</c:v>
                </c:pt>
                <c:pt idx="1314">
                  <c:v>1309340.1599999999</c:v>
                </c:pt>
                <c:pt idx="1315">
                  <c:v>1478321.26</c:v>
                </c:pt>
                <c:pt idx="1316">
                  <c:v>1379579.63</c:v>
                </c:pt>
                <c:pt idx="1317">
                  <c:v>1409705.03</c:v>
                </c:pt>
                <c:pt idx="1318">
                  <c:v>1566668.91</c:v>
                </c:pt>
                <c:pt idx="1319">
                  <c:v>1375458.21</c:v>
                </c:pt>
                <c:pt idx="1320">
                  <c:v>1563387.94</c:v>
                </c:pt>
                <c:pt idx="1321">
                  <c:v>1665502.55</c:v>
                </c:pt>
                <c:pt idx="1322">
                  <c:v>1442819.28</c:v>
                </c:pt>
                <c:pt idx="1323">
                  <c:v>1366381.6</c:v>
                </c:pt>
                <c:pt idx="1324">
                  <c:v>1474498.59</c:v>
                </c:pt>
                <c:pt idx="1325">
                  <c:v>1215273.2</c:v>
                </c:pt>
                <c:pt idx="1326">
                  <c:v>1361944.94</c:v>
                </c:pt>
                <c:pt idx="1327">
                  <c:v>1285358.01</c:v>
                </c:pt>
                <c:pt idx="1328">
                  <c:v>1312877.01</c:v>
                </c:pt>
                <c:pt idx="1329">
                  <c:v>1413302.7</c:v>
                </c:pt>
                <c:pt idx="1330">
                  <c:v>1593012.75</c:v>
                </c:pt>
                <c:pt idx="1331">
                  <c:v>1178641.71</c:v>
                </c:pt>
                <c:pt idx="1332">
                  <c:v>1225182.04</c:v>
                </c:pt>
                <c:pt idx="1333">
                  <c:v>1341240.6200000001</c:v>
                </c:pt>
                <c:pt idx="1334">
                  <c:v>1346994.53</c:v>
                </c:pt>
                <c:pt idx="1335">
                  <c:v>1253218.7</c:v>
                </c:pt>
                <c:pt idx="1336">
                  <c:v>1163803.3</c:v>
                </c:pt>
                <c:pt idx="1337">
                  <c:v>1273670.32</c:v>
                </c:pt>
                <c:pt idx="1338">
                  <c:v>1339630.3500000001</c:v>
                </c:pt>
                <c:pt idx="1339">
                  <c:v>1554837.62</c:v>
                </c:pt>
                <c:pt idx="1340">
                  <c:v>1373841.91</c:v>
                </c:pt>
                <c:pt idx="1341">
                  <c:v>1445596.61</c:v>
                </c:pt>
                <c:pt idx="1342">
                  <c:v>1567340.07</c:v>
                </c:pt>
                <c:pt idx="1343">
                  <c:v>1417616.81</c:v>
                </c:pt>
                <c:pt idx="1344">
                  <c:v>1402818.01</c:v>
                </c:pt>
                <c:pt idx="1345">
                  <c:v>1196105.44</c:v>
                </c:pt>
                <c:pt idx="1346">
                  <c:v>1527455.19</c:v>
                </c:pt>
                <c:pt idx="1347">
                  <c:v>1405914.39</c:v>
                </c:pt>
                <c:pt idx="1348">
                  <c:v>1385860.38</c:v>
                </c:pt>
                <c:pt idx="1349">
                  <c:v>1425078.59</c:v>
                </c:pt>
                <c:pt idx="1350">
                  <c:v>1335647.1000000001</c:v>
                </c:pt>
                <c:pt idx="1351">
                  <c:v>1529615.54</c:v>
                </c:pt>
                <c:pt idx="1352">
                  <c:v>1251581.8899999999</c:v>
                </c:pt>
                <c:pt idx="1353">
                  <c:v>1249696.97</c:v>
                </c:pt>
                <c:pt idx="1354">
                  <c:v>1403460.87</c:v>
                </c:pt>
                <c:pt idx="1355">
                  <c:v>1213994.3899999999</c:v>
                </c:pt>
                <c:pt idx="1356">
                  <c:v>1325835.7</c:v>
                </c:pt>
                <c:pt idx="1357">
                  <c:v>1524734.29</c:v>
                </c:pt>
                <c:pt idx="1358">
                  <c:v>1306551.71</c:v>
                </c:pt>
                <c:pt idx="1359">
                  <c:v>1355391.79</c:v>
                </c:pt>
                <c:pt idx="1360">
                  <c:v>1467722.19</c:v>
                </c:pt>
                <c:pt idx="1361">
                  <c:v>1406313.13</c:v>
                </c:pt>
                <c:pt idx="1362">
                  <c:v>1645097.75</c:v>
                </c:pt>
                <c:pt idx="1363">
                  <c:v>1440374.13</c:v>
                </c:pt>
                <c:pt idx="1364">
                  <c:v>1497054.81</c:v>
                </c:pt>
                <c:pt idx="1365">
                  <c:v>1477134.75</c:v>
                </c:pt>
                <c:pt idx="1366">
                  <c:v>1416720.54</c:v>
                </c:pt>
                <c:pt idx="1367">
                  <c:v>1416301.17</c:v>
                </c:pt>
                <c:pt idx="1368">
                  <c:v>677231.63</c:v>
                </c:pt>
                <c:pt idx="1369">
                  <c:v>583364.02</c:v>
                </c:pt>
                <c:pt idx="1370">
                  <c:v>665750.06000000006</c:v>
                </c:pt>
                <c:pt idx="1371">
                  <c:v>660619.99</c:v>
                </c:pt>
                <c:pt idx="1372">
                  <c:v>822486.37</c:v>
                </c:pt>
                <c:pt idx="1373">
                  <c:v>712647.97</c:v>
                </c:pt>
                <c:pt idx="1374">
                  <c:v>724468.97</c:v>
                </c:pt>
                <c:pt idx="1375">
                  <c:v>764155.44</c:v>
                </c:pt>
                <c:pt idx="1376">
                  <c:v>737163.2</c:v>
                </c:pt>
                <c:pt idx="1377">
                  <c:v>759407.87</c:v>
                </c:pt>
                <c:pt idx="1378">
                  <c:v>719591.13</c:v>
                </c:pt>
                <c:pt idx="1379">
                  <c:v>699464.43</c:v>
                </c:pt>
                <c:pt idx="1380">
                  <c:v>685700.08</c:v>
                </c:pt>
                <c:pt idx="1381">
                  <c:v>655811.94999999995</c:v>
                </c:pt>
                <c:pt idx="1382">
                  <c:v>658640.14</c:v>
                </c:pt>
                <c:pt idx="1383">
                  <c:v>674283.86</c:v>
                </c:pt>
                <c:pt idx="1384">
                  <c:v>696314.53</c:v>
                </c:pt>
                <c:pt idx="1385">
                  <c:v>713250.08</c:v>
                </c:pt>
                <c:pt idx="1386">
                  <c:v>885572.96</c:v>
                </c:pt>
                <c:pt idx="1387">
                  <c:v>964729.18</c:v>
                </c:pt>
                <c:pt idx="1388">
                  <c:v>558794.63</c:v>
                </c:pt>
                <c:pt idx="1389">
                  <c:v>639830.44999999995</c:v>
                </c:pt>
                <c:pt idx="1390">
                  <c:v>615666.78</c:v>
                </c:pt>
                <c:pt idx="1391">
                  <c:v>640912.18000000005</c:v>
                </c:pt>
                <c:pt idx="1392">
                  <c:v>599828.39</c:v>
                </c:pt>
                <c:pt idx="1393">
                  <c:v>618377.79</c:v>
                </c:pt>
                <c:pt idx="1394">
                  <c:v>648606.13</c:v>
                </c:pt>
                <c:pt idx="1395">
                  <c:v>659446.55000000005</c:v>
                </c:pt>
                <c:pt idx="1396">
                  <c:v>737551.74</c:v>
                </c:pt>
                <c:pt idx="1397">
                  <c:v>740259.63</c:v>
                </c:pt>
                <c:pt idx="1398">
                  <c:v>706206.86</c:v>
                </c:pt>
                <c:pt idx="1399">
                  <c:v>698529.64</c:v>
                </c:pt>
                <c:pt idx="1400">
                  <c:v>679706.01</c:v>
                </c:pt>
                <c:pt idx="1401">
                  <c:v>667130.48</c:v>
                </c:pt>
                <c:pt idx="1402">
                  <c:v>699779</c:v>
                </c:pt>
                <c:pt idx="1403">
                  <c:v>673248.48</c:v>
                </c:pt>
                <c:pt idx="1404">
                  <c:v>671522.87</c:v>
                </c:pt>
                <c:pt idx="1405">
                  <c:v>718393.61</c:v>
                </c:pt>
                <c:pt idx="1406">
                  <c:v>719235.07</c:v>
                </c:pt>
                <c:pt idx="1407">
                  <c:v>878314.57</c:v>
                </c:pt>
                <c:pt idx="1408">
                  <c:v>916446.02</c:v>
                </c:pt>
                <c:pt idx="1409">
                  <c:v>636419.12</c:v>
                </c:pt>
                <c:pt idx="1410">
                  <c:v>642776.4</c:v>
                </c:pt>
                <c:pt idx="1411">
                  <c:v>658984.38</c:v>
                </c:pt>
                <c:pt idx="1412">
                  <c:v>643155.89</c:v>
                </c:pt>
                <c:pt idx="1413">
                  <c:v>643711.53</c:v>
                </c:pt>
                <c:pt idx="1414">
                  <c:v>791356.9</c:v>
                </c:pt>
                <c:pt idx="1415">
                  <c:v>696421.72</c:v>
                </c:pt>
                <c:pt idx="1416">
                  <c:v>739866.16</c:v>
                </c:pt>
                <c:pt idx="1417">
                  <c:v>694765.95</c:v>
                </c:pt>
                <c:pt idx="1418">
                  <c:v>730254.19</c:v>
                </c:pt>
                <c:pt idx="1419">
                  <c:v>753385.55</c:v>
                </c:pt>
                <c:pt idx="1420">
                  <c:v>709724.6</c:v>
                </c:pt>
                <c:pt idx="1421">
                  <c:v>710496.97</c:v>
                </c:pt>
                <c:pt idx="1422">
                  <c:v>671482.9</c:v>
                </c:pt>
                <c:pt idx="1423">
                  <c:v>699536.73</c:v>
                </c:pt>
                <c:pt idx="1424">
                  <c:v>697317.41</c:v>
                </c:pt>
                <c:pt idx="1425">
                  <c:v>1034119.21</c:v>
                </c:pt>
                <c:pt idx="1426">
                  <c:v>1015684.09</c:v>
                </c:pt>
                <c:pt idx="1427">
                  <c:v>1005669.58</c:v>
                </c:pt>
                <c:pt idx="1428">
                  <c:v>963382.09</c:v>
                </c:pt>
                <c:pt idx="1429">
                  <c:v>1029849.2</c:v>
                </c:pt>
                <c:pt idx="1430">
                  <c:v>1022293.81</c:v>
                </c:pt>
                <c:pt idx="1431">
                  <c:v>1074479.73</c:v>
                </c:pt>
                <c:pt idx="1432">
                  <c:v>1003202.66</c:v>
                </c:pt>
                <c:pt idx="1433">
                  <c:v>1073862.5900000001</c:v>
                </c:pt>
                <c:pt idx="1434">
                  <c:v>1078455.48</c:v>
                </c:pt>
                <c:pt idx="1435">
                  <c:v>1122356.53</c:v>
                </c:pt>
                <c:pt idx="1436">
                  <c:v>1125329.77</c:v>
                </c:pt>
                <c:pt idx="1437">
                  <c:v>1037549.71</c:v>
                </c:pt>
                <c:pt idx="1438">
                  <c:v>1042226.3</c:v>
                </c:pt>
                <c:pt idx="1439">
                  <c:v>923221.52</c:v>
                </c:pt>
                <c:pt idx="1440">
                  <c:v>1001069.52</c:v>
                </c:pt>
                <c:pt idx="1441">
                  <c:v>970224.51</c:v>
                </c:pt>
                <c:pt idx="1442">
                  <c:v>971193.01</c:v>
                </c:pt>
                <c:pt idx="1443">
                  <c:v>1016143.64</c:v>
                </c:pt>
                <c:pt idx="1444">
                  <c:v>1149612.04</c:v>
                </c:pt>
                <c:pt idx="1445">
                  <c:v>938149.21</c:v>
                </c:pt>
                <c:pt idx="1446">
                  <c:v>911807.02</c:v>
                </c:pt>
                <c:pt idx="1447">
                  <c:v>1010711.08</c:v>
                </c:pt>
                <c:pt idx="1448">
                  <c:v>945643.17</c:v>
                </c:pt>
                <c:pt idx="1449">
                  <c:v>946614.55</c:v>
                </c:pt>
                <c:pt idx="1450">
                  <c:v>849231.61</c:v>
                </c:pt>
                <c:pt idx="1451">
                  <c:v>985229.81</c:v>
                </c:pt>
                <c:pt idx="1452">
                  <c:v>1024778.23</c:v>
                </c:pt>
                <c:pt idx="1453">
                  <c:v>1054454.3999999999</c:v>
                </c:pt>
                <c:pt idx="1454">
                  <c:v>1094058.68</c:v>
                </c:pt>
                <c:pt idx="1455">
                  <c:v>1070119.0900000001</c:v>
                </c:pt>
                <c:pt idx="1456">
                  <c:v>1133807.03</c:v>
                </c:pt>
                <c:pt idx="1457">
                  <c:v>1107552.43</c:v>
                </c:pt>
                <c:pt idx="1458">
                  <c:v>1087644.5</c:v>
                </c:pt>
                <c:pt idx="1459">
                  <c:v>1040143.14</c:v>
                </c:pt>
                <c:pt idx="1460">
                  <c:v>1069710.97</c:v>
                </c:pt>
                <c:pt idx="1461">
                  <c:v>1130022.99</c:v>
                </c:pt>
                <c:pt idx="1462">
                  <c:v>988950.75</c:v>
                </c:pt>
                <c:pt idx="1463">
                  <c:v>1077640.1299999999</c:v>
                </c:pt>
                <c:pt idx="1464">
                  <c:v>1012498.49</c:v>
                </c:pt>
                <c:pt idx="1465">
                  <c:v>1148987.46</c:v>
                </c:pt>
                <c:pt idx="1466">
                  <c:v>971557.62</c:v>
                </c:pt>
                <c:pt idx="1467">
                  <c:v>939158.25</c:v>
                </c:pt>
                <c:pt idx="1468">
                  <c:v>1081005.6399999999</c:v>
                </c:pt>
                <c:pt idx="1469">
                  <c:v>955641.74</c:v>
                </c:pt>
                <c:pt idx="1470">
                  <c:v>1028569.01</c:v>
                </c:pt>
                <c:pt idx="1471">
                  <c:v>1116829.23</c:v>
                </c:pt>
                <c:pt idx="1472">
                  <c:v>946573.29</c:v>
                </c:pt>
                <c:pt idx="1473">
                  <c:v>1062548.73</c:v>
                </c:pt>
                <c:pt idx="1474">
                  <c:v>1015853.03</c:v>
                </c:pt>
                <c:pt idx="1475">
                  <c:v>1106176.83</c:v>
                </c:pt>
                <c:pt idx="1476">
                  <c:v>1180470.8</c:v>
                </c:pt>
                <c:pt idx="1477">
                  <c:v>1090915.0900000001</c:v>
                </c:pt>
                <c:pt idx="1478">
                  <c:v>1121476.51</c:v>
                </c:pt>
                <c:pt idx="1479">
                  <c:v>1081874.03</c:v>
                </c:pt>
                <c:pt idx="1480">
                  <c:v>1095504.26</c:v>
                </c:pt>
                <c:pt idx="1481">
                  <c:v>1044639.69</c:v>
                </c:pt>
                <c:pt idx="1482">
                  <c:v>1874289.79</c:v>
                </c:pt>
                <c:pt idx="1483">
                  <c:v>1745362.72</c:v>
                </c:pt>
                <c:pt idx="1484">
                  <c:v>1313729.72</c:v>
                </c:pt>
                <c:pt idx="1485">
                  <c:v>1925113.12</c:v>
                </c:pt>
                <c:pt idx="1486">
                  <c:v>2053952.97</c:v>
                </c:pt>
                <c:pt idx="1487">
                  <c:v>1955814.13</c:v>
                </c:pt>
                <c:pt idx="1488">
                  <c:v>1939458.84</c:v>
                </c:pt>
                <c:pt idx="1489">
                  <c:v>2073102.59</c:v>
                </c:pt>
                <c:pt idx="1490">
                  <c:v>1873812.93</c:v>
                </c:pt>
                <c:pt idx="1491">
                  <c:v>2024554.1</c:v>
                </c:pt>
                <c:pt idx="1492">
                  <c:v>2119163.0099999998</c:v>
                </c:pt>
                <c:pt idx="1493">
                  <c:v>1908036.68</c:v>
                </c:pt>
                <c:pt idx="1494">
                  <c:v>1908110.9</c:v>
                </c:pt>
                <c:pt idx="1495">
                  <c:v>1913494.81</c:v>
                </c:pt>
                <c:pt idx="1496">
                  <c:v>1543532.83</c:v>
                </c:pt>
                <c:pt idx="1497">
                  <c:v>1707662.87</c:v>
                </c:pt>
                <c:pt idx="1498">
                  <c:v>1686010.02</c:v>
                </c:pt>
                <c:pt idx="1499">
                  <c:v>1828010.25</c:v>
                </c:pt>
                <c:pt idx="1500">
                  <c:v>1884343.67</c:v>
                </c:pt>
                <c:pt idx="1501">
                  <c:v>2139733.6800000002</c:v>
                </c:pt>
                <c:pt idx="1502">
                  <c:v>1568159.48</c:v>
                </c:pt>
                <c:pt idx="1503">
                  <c:v>1628100.79</c:v>
                </c:pt>
                <c:pt idx="1504">
                  <c:v>1636224.77</c:v>
                </c:pt>
                <c:pt idx="1505">
                  <c:v>1656130.67</c:v>
                </c:pt>
                <c:pt idx="1506">
                  <c:v>1613259.77</c:v>
                </c:pt>
                <c:pt idx="1507">
                  <c:v>1628868.28</c:v>
                </c:pt>
                <c:pt idx="1508">
                  <c:v>1689844.18</c:v>
                </c:pt>
                <c:pt idx="1509">
                  <c:v>1757041.96</c:v>
                </c:pt>
                <c:pt idx="1510">
                  <c:v>2053708.01</c:v>
                </c:pt>
                <c:pt idx="1511">
                  <c:v>1817914.71</c:v>
                </c:pt>
                <c:pt idx="1512">
                  <c:v>1949983.93</c:v>
                </c:pt>
                <c:pt idx="1513">
                  <c:v>2000055.27</c:v>
                </c:pt>
                <c:pt idx="1514">
                  <c:v>1747289.53</c:v>
                </c:pt>
                <c:pt idx="1515">
                  <c:v>1758437.96</c:v>
                </c:pt>
                <c:pt idx="1516">
                  <c:v>1511717.53</c:v>
                </c:pt>
                <c:pt idx="1517">
                  <c:v>1911470.84</c:v>
                </c:pt>
                <c:pt idx="1518">
                  <c:v>1672339.27</c:v>
                </c:pt>
                <c:pt idx="1519">
                  <c:v>1621109.3</c:v>
                </c:pt>
                <c:pt idx="1520">
                  <c:v>1800728.07</c:v>
                </c:pt>
                <c:pt idx="1521">
                  <c:v>1806924.74</c:v>
                </c:pt>
                <c:pt idx="1522">
                  <c:v>2014665.98</c:v>
                </c:pt>
                <c:pt idx="1523">
                  <c:v>1535287.4</c:v>
                </c:pt>
                <c:pt idx="1524">
                  <c:v>1564246.02</c:v>
                </c:pt>
                <c:pt idx="1525">
                  <c:v>1651605.35</c:v>
                </c:pt>
                <c:pt idx="1526">
                  <c:v>1509323.09</c:v>
                </c:pt>
                <c:pt idx="1527">
                  <c:v>1607343.41</c:v>
                </c:pt>
                <c:pt idx="1528">
                  <c:v>1899013.34</c:v>
                </c:pt>
                <c:pt idx="1529">
                  <c:v>1669388.45</c:v>
                </c:pt>
                <c:pt idx="1530">
                  <c:v>1674306.31</c:v>
                </c:pt>
                <c:pt idx="1531">
                  <c:v>1900638.6</c:v>
                </c:pt>
                <c:pt idx="1532">
                  <c:v>1764756.31</c:v>
                </c:pt>
                <c:pt idx="1533">
                  <c:v>2062224.92</c:v>
                </c:pt>
                <c:pt idx="1534">
                  <c:v>1705810.84</c:v>
                </c:pt>
                <c:pt idx="1535">
                  <c:v>1720537.26</c:v>
                </c:pt>
                <c:pt idx="1536">
                  <c:v>1840955.23</c:v>
                </c:pt>
                <c:pt idx="1537">
                  <c:v>1591816.88</c:v>
                </c:pt>
                <c:pt idx="1538">
                  <c:v>1660081.29</c:v>
                </c:pt>
                <c:pt idx="1539">
                  <c:v>1672352.29</c:v>
                </c:pt>
                <c:pt idx="1540">
                  <c:v>1558968.49</c:v>
                </c:pt>
                <c:pt idx="1541">
                  <c:v>1608435.45</c:v>
                </c:pt>
                <c:pt idx="1542">
                  <c:v>1326877.1100000001</c:v>
                </c:pt>
                <c:pt idx="1543">
                  <c:v>1441559.4</c:v>
                </c:pt>
                <c:pt idx="1544">
                  <c:v>1382359.21</c:v>
                </c:pt>
                <c:pt idx="1545">
                  <c:v>1532893.22</c:v>
                </c:pt>
                <c:pt idx="1546">
                  <c:v>1543678.02</c:v>
                </c:pt>
                <c:pt idx="1547">
                  <c:v>1348995.17</c:v>
                </c:pt>
                <c:pt idx="1548">
                  <c:v>1399960.15</c:v>
                </c:pt>
                <c:pt idx="1549">
                  <c:v>1340293.8700000001</c:v>
                </c:pt>
                <c:pt idx="1550">
                  <c:v>1523101.38</c:v>
                </c:pt>
                <c:pt idx="1551">
                  <c:v>1523410.71</c:v>
                </c:pt>
                <c:pt idx="1552">
                  <c:v>1246062.17</c:v>
                </c:pt>
                <c:pt idx="1553">
                  <c:v>1203080.4099999999</c:v>
                </c:pt>
                <c:pt idx="1554">
                  <c:v>1334571.8700000001</c:v>
                </c:pt>
                <c:pt idx="1555">
                  <c:v>1501663.26</c:v>
                </c:pt>
                <c:pt idx="1556">
                  <c:v>1266460.45</c:v>
                </c:pt>
                <c:pt idx="1557">
                  <c:v>1447916.29</c:v>
                </c:pt>
                <c:pt idx="1558">
                  <c:v>1466164.49</c:v>
                </c:pt>
                <c:pt idx="1559">
                  <c:v>1402902.47</c:v>
                </c:pt>
                <c:pt idx="1560">
                  <c:v>1564897.32</c:v>
                </c:pt>
                <c:pt idx="1561">
                  <c:v>1397301.38</c:v>
                </c:pt>
                <c:pt idx="1562">
                  <c:v>1723736.91</c:v>
                </c:pt>
                <c:pt idx="1563">
                  <c:v>1380836.35</c:v>
                </c:pt>
                <c:pt idx="1564">
                  <c:v>1336838.4099999999</c:v>
                </c:pt>
                <c:pt idx="1565">
                  <c:v>1414713.5</c:v>
                </c:pt>
                <c:pt idx="1566">
                  <c:v>1515890.38</c:v>
                </c:pt>
                <c:pt idx="1567">
                  <c:v>1403779.25</c:v>
                </c:pt>
                <c:pt idx="1568">
                  <c:v>1339972.83</c:v>
                </c:pt>
                <c:pt idx="1569">
                  <c:v>1319054.57</c:v>
                </c:pt>
                <c:pt idx="1570">
                  <c:v>1459655.85</c:v>
                </c:pt>
                <c:pt idx="1571">
                  <c:v>1523870.89</c:v>
                </c:pt>
                <c:pt idx="1572">
                  <c:v>1218764.94</c:v>
                </c:pt>
                <c:pt idx="1573">
                  <c:v>1468871.49</c:v>
                </c:pt>
                <c:pt idx="1574">
                  <c:v>1310087</c:v>
                </c:pt>
                <c:pt idx="1575">
                  <c:v>1557314.58</c:v>
                </c:pt>
                <c:pt idx="1576">
                  <c:v>1576654.67</c:v>
                </c:pt>
                <c:pt idx="1577">
                  <c:v>1402654.95</c:v>
                </c:pt>
                <c:pt idx="1578">
                  <c:v>1368130.35</c:v>
                </c:pt>
                <c:pt idx="1579">
                  <c:v>1467024.3</c:v>
                </c:pt>
                <c:pt idx="1580">
                  <c:v>1466046.07</c:v>
                </c:pt>
                <c:pt idx="1581">
                  <c:v>1531599.44</c:v>
                </c:pt>
                <c:pt idx="1582">
                  <c:v>1572966.15</c:v>
                </c:pt>
                <c:pt idx="1583">
                  <c:v>1451740.57</c:v>
                </c:pt>
                <c:pt idx="1584">
                  <c:v>1680764.06</c:v>
                </c:pt>
                <c:pt idx="1585">
                  <c:v>1559592.79</c:v>
                </c:pt>
                <c:pt idx="1586">
                  <c:v>1450628.85</c:v>
                </c:pt>
                <c:pt idx="1587">
                  <c:v>1264575.18</c:v>
                </c:pt>
                <c:pt idx="1588">
                  <c:v>1245480.95</c:v>
                </c:pt>
                <c:pt idx="1589">
                  <c:v>1440687.69</c:v>
                </c:pt>
                <c:pt idx="1590">
                  <c:v>1500863.54</c:v>
                </c:pt>
                <c:pt idx="1591">
                  <c:v>1376520.1</c:v>
                </c:pt>
                <c:pt idx="1592">
                  <c:v>1269113.4099999999</c:v>
                </c:pt>
                <c:pt idx="1593">
                  <c:v>1469693.99</c:v>
                </c:pt>
                <c:pt idx="1594">
                  <c:v>1462941.03</c:v>
                </c:pt>
                <c:pt idx="1595">
                  <c:v>1205536.71</c:v>
                </c:pt>
                <c:pt idx="1596">
                  <c:v>538634.46</c:v>
                </c:pt>
                <c:pt idx="1597">
                  <c:v>529672.94999999995</c:v>
                </c:pt>
                <c:pt idx="1598">
                  <c:v>535087.91</c:v>
                </c:pt>
                <c:pt idx="1599">
                  <c:v>519042.49</c:v>
                </c:pt>
                <c:pt idx="1600">
                  <c:v>599629.25</c:v>
                </c:pt>
                <c:pt idx="1601">
                  <c:v>569937.23</c:v>
                </c:pt>
                <c:pt idx="1602">
                  <c:v>568497.35</c:v>
                </c:pt>
                <c:pt idx="1603">
                  <c:v>588017.66</c:v>
                </c:pt>
                <c:pt idx="1604">
                  <c:v>540716.57999999996</c:v>
                </c:pt>
                <c:pt idx="1605">
                  <c:v>581473.55000000005</c:v>
                </c:pt>
                <c:pt idx="1606">
                  <c:v>563449.43000000005</c:v>
                </c:pt>
                <c:pt idx="1607">
                  <c:v>519787.93</c:v>
                </c:pt>
                <c:pt idx="1608">
                  <c:v>579272.38</c:v>
                </c:pt>
                <c:pt idx="1609">
                  <c:v>491290.37</c:v>
                </c:pt>
                <c:pt idx="1610">
                  <c:v>474698.01</c:v>
                </c:pt>
                <c:pt idx="1611">
                  <c:v>530059.06000000006</c:v>
                </c:pt>
                <c:pt idx="1612">
                  <c:v>521002.97</c:v>
                </c:pt>
                <c:pt idx="1613">
                  <c:v>524450.69999999995</c:v>
                </c:pt>
                <c:pt idx="1614">
                  <c:v>642678.53</c:v>
                </c:pt>
                <c:pt idx="1615">
                  <c:v>713834.74</c:v>
                </c:pt>
                <c:pt idx="1616">
                  <c:v>455952.18</c:v>
                </c:pt>
                <c:pt idx="1617">
                  <c:v>504126.89</c:v>
                </c:pt>
                <c:pt idx="1618">
                  <c:v>550387.78</c:v>
                </c:pt>
                <c:pt idx="1619">
                  <c:v>536031.67000000004</c:v>
                </c:pt>
                <c:pt idx="1620">
                  <c:v>493430.45</c:v>
                </c:pt>
                <c:pt idx="1621">
                  <c:v>475615.26</c:v>
                </c:pt>
                <c:pt idx="1622">
                  <c:v>505304.33</c:v>
                </c:pt>
                <c:pt idx="1623">
                  <c:v>534372.53</c:v>
                </c:pt>
                <c:pt idx="1624">
                  <c:v>598251.56999999995</c:v>
                </c:pt>
                <c:pt idx="1625">
                  <c:v>558431.43999999994</c:v>
                </c:pt>
                <c:pt idx="1626">
                  <c:v>567114.6</c:v>
                </c:pt>
                <c:pt idx="1627">
                  <c:v>547586.06999999995</c:v>
                </c:pt>
                <c:pt idx="1628">
                  <c:v>503486.37</c:v>
                </c:pt>
                <c:pt idx="1629">
                  <c:v>471311.5</c:v>
                </c:pt>
                <c:pt idx="1630">
                  <c:v>497085.91</c:v>
                </c:pt>
                <c:pt idx="1631">
                  <c:v>505406.71999999997</c:v>
                </c:pt>
                <c:pt idx="1632">
                  <c:v>514993</c:v>
                </c:pt>
                <c:pt idx="1633">
                  <c:v>620735.72</c:v>
                </c:pt>
                <c:pt idx="1634">
                  <c:v>531600.62</c:v>
                </c:pt>
                <c:pt idx="1635">
                  <c:v>579874.22</c:v>
                </c:pt>
                <c:pt idx="1636">
                  <c:v>633240.53</c:v>
                </c:pt>
                <c:pt idx="1637">
                  <c:v>469773.85</c:v>
                </c:pt>
                <c:pt idx="1638">
                  <c:v>493159.35</c:v>
                </c:pt>
                <c:pt idx="1639">
                  <c:v>545840.05000000005</c:v>
                </c:pt>
                <c:pt idx="1640">
                  <c:v>500801.72</c:v>
                </c:pt>
                <c:pt idx="1641">
                  <c:v>504750.35</c:v>
                </c:pt>
                <c:pt idx="1642">
                  <c:v>633826.55000000005</c:v>
                </c:pt>
                <c:pt idx="1643">
                  <c:v>504963.84000000003</c:v>
                </c:pt>
                <c:pt idx="1644">
                  <c:v>529707.87</c:v>
                </c:pt>
                <c:pt idx="1645">
                  <c:v>576252.35</c:v>
                </c:pt>
                <c:pt idx="1646">
                  <c:v>554093.15</c:v>
                </c:pt>
                <c:pt idx="1647">
                  <c:v>578832.41</c:v>
                </c:pt>
                <c:pt idx="1648">
                  <c:v>504754.74</c:v>
                </c:pt>
                <c:pt idx="1649">
                  <c:v>518628.42</c:v>
                </c:pt>
                <c:pt idx="1650">
                  <c:v>540811.85</c:v>
                </c:pt>
                <c:pt idx="1651">
                  <c:v>520632.8</c:v>
                </c:pt>
                <c:pt idx="1652">
                  <c:v>513737</c:v>
                </c:pt>
                <c:pt idx="1653">
                  <c:v>465108.52</c:v>
                </c:pt>
                <c:pt idx="1654">
                  <c:v>497374.57</c:v>
                </c:pt>
                <c:pt idx="1655">
                  <c:v>472591.07</c:v>
                </c:pt>
                <c:pt idx="1656">
                  <c:v>468189.93</c:v>
                </c:pt>
                <c:pt idx="1657">
                  <c:v>457884.06</c:v>
                </c:pt>
                <c:pt idx="1658">
                  <c:v>454800.96</c:v>
                </c:pt>
                <c:pt idx="1659">
                  <c:v>457883.94</c:v>
                </c:pt>
                <c:pt idx="1660">
                  <c:v>458343.7</c:v>
                </c:pt>
                <c:pt idx="1661">
                  <c:v>445530.16</c:v>
                </c:pt>
                <c:pt idx="1662">
                  <c:v>450337.47</c:v>
                </c:pt>
                <c:pt idx="1663">
                  <c:v>436293.4</c:v>
                </c:pt>
                <c:pt idx="1664">
                  <c:v>441407.06</c:v>
                </c:pt>
                <c:pt idx="1665">
                  <c:v>461548.98</c:v>
                </c:pt>
                <c:pt idx="1666">
                  <c:v>455162.92</c:v>
                </c:pt>
                <c:pt idx="1667">
                  <c:v>445475.3</c:v>
                </c:pt>
                <c:pt idx="1668">
                  <c:v>462080.47</c:v>
                </c:pt>
                <c:pt idx="1669">
                  <c:v>484661.87</c:v>
                </c:pt>
                <c:pt idx="1670">
                  <c:v>431266.64</c:v>
                </c:pt>
                <c:pt idx="1671">
                  <c:v>407112.22</c:v>
                </c:pt>
                <c:pt idx="1672">
                  <c:v>428631.91</c:v>
                </c:pt>
                <c:pt idx="1673">
                  <c:v>451077.21</c:v>
                </c:pt>
                <c:pt idx="1674">
                  <c:v>490970.95</c:v>
                </c:pt>
                <c:pt idx="1675">
                  <c:v>470921.24</c:v>
                </c:pt>
                <c:pt idx="1676">
                  <c:v>443334.71</c:v>
                </c:pt>
                <c:pt idx="1677">
                  <c:v>438529.81</c:v>
                </c:pt>
                <c:pt idx="1678">
                  <c:v>437926.79</c:v>
                </c:pt>
                <c:pt idx="1679">
                  <c:v>443889.5</c:v>
                </c:pt>
                <c:pt idx="1680">
                  <c:v>438789.52</c:v>
                </c:pt>
                <c:pt idx="1681">
                  <c:v>432808.48</c:v>
                </c:pt>
                <c:pt idx="1682">
                  <c:v>424697.05</c:v>
                </c:pt>
                <c:pt idx="1683">
                  <c:v>428782.38</c:v>
                </c:pt>
                <c:pt idx="1684">
                  <c:v>419764.37</c:v>
                </c:pt>
                <c:pt idx="1685">
                  <c:v>431798.64</c:v>
                </c:pt>
                <c:pt idx="1686">
                  <c:v>412224.67</c:v>
                </c:pt>
                <c:pt idx="1687">
                  <c:v>369722.32</c:v>
                </c:pt>
                <c:pt idx="1688">
                  <c:v>370897.82</c:v>
                </c:pt>
                <c:pt idx="1689">
                  <c:v>417528.26</c:v>
                </c:pt>
                <c:pt idx="1690">
                  <c:v>432359.04</c:v>
                </c:pt>
                <c:pt idx="1691">
                  <c:v>409686.63</c:v>
                </c:pt>
                <c:pt idx="1692">
                  <c:v>412385.75</c:v>
                </c:pt>
                <c:pt idx="1693">
                  <c:v>436741.02</c:v>
                </c:pt>
                <c:pt idx="1694">
                  <c:v>457030.86</c:v>
                </c:pt>
                <c:pt idx="1695">
                  <c:v>434080.74</c:v>
                </c:pt>
                <c:pt idx="1696">
                  <c:v>451365.99</c:v>
                </c:pt>
                <c:pt idx="1697">
                  <c:v>438640.61</c:v>
                </c:pt>
                <c:pt idx="1698">
                  <c:v>446617.89</c:v>
                </c:pt>
                <c:pt idx="1699">
                  <c:v>461511.92</c:v>
                </c:pt>
                <c:pt idx="1700">
                  <c:v>454477.54</c:v>
                </c:pt>
                <c:pt idx="1701">
                  <c:v>436070.45</c:v>
                </c:pt>
                <c:pt idx="1702">
                  <c:v>427021.18</c:v>
                </c:pt>
                <c:pt idx="1703">
                  <c:v>437222.94</c:v>
                </c:pt>
                <c:pt idx="1704">
                  <c:v>440553.42</c:v>
                </c:pt>
                <c:pt idx="1705">
                  <c:v>425136.55</c:v>
                </c:pt>
                <c:pt idx="1706">
                  <c:v>430878.28</c:v>
                </c:pt>
                <c:pt idx="1707">
                  <c:v>433565.77</c:v>
                </c:pt>
                <c:pt idx="1708">
                  <c:v>446751.45</c:v>
                </c:pt>
                <c:pt idx="1709">
                  <c:v>434593.26</c:v>
                </c:pt>
                <c:pt idx="1710">
                  <c:v>1469252.05</c:v>
                </c:pt>
                <c:pt idx="1711">
                  <c:v>1543947.23</c:v>
                </c:pt>
                <c:pt idx="1712">
                  <c:v>1384870.51</c:v>
                </c:pt>
                <c:pt idx="1713">
                  <c:v>1366193.35</c:v>
                </c:pt>
                <c:pt idx="1714">
                  <c:v>1357600.68</c:v>
                </c:pt>
                <c:pt idx="1715">
                  <c:v>1395710.09</c:v>
                </c:pt>
                <c:pt idx="1716">
                  <c:v>1381796.8</c:v>
                </c:pt>
                <c:pt idx="1717">
                  <c:v>1427624.5</c:v>
                </c:pt>
                <c:pt idx="1718">
                  <c:v>1377092.33</c:v>
                </c:pt>
                <c:pt idx="1719">
                  <c:v>1311704.92</c:v>
                </c:pt>
                <c:pt idx="1720">
                  <c:v>1315118.3999999999</c:v>
                </c:pt>
                <c:pt idx="1721">
                  <c:v>1352401.08</c:v>
                </c:pt>
                <c:pt idx="1722">
                  <c:v>1302047.48</c:v>
                </c:pt>
                <c:pt idx="1723">
                  <c:v>1308179.02</c:v>
                </c:pt>
                <c:pt idx="1724">
                  <c:v>1213981.6399999999</c:v>
                </c:pt>
                <c:pt idx="1725">
                  <c:v>1300131.68</c:v>
                </c:pt>
                <c:pt idx="1726">
                  <c:v>1324455.72</c:v>
                </c:pt>
                <c:pt idx="1727">
                  <c:v>1352780.76</c:v>
                </c:pt>
                <c:pt idx="1728">
                  <c:v>1338716.3700000001</c:v>
                </c:pt>
                <c:pt idx="1729">
                  <c:v>1475685.1</c:v>
                </c:pt>
                <c:pt idx="1730">
                  <c:v>1311986.8700000001</c:v>
                </c:pt>
                <c:pt idx="1731">
                  <c:v>1443206.46</c:v>
                </c:pt>
                <c:pt idx="1732">
                  <c:v>1539230.32</c:v>
                </c:pt>
                <c:pt idx="1733">
                  <c:v>1412721.18</c:v>
                </c:pt>
                <c:pt idx="1734">
                  <c:v>1405572.93</c:v>
                </c:pt>
                <c:pt idx="1735">
                  <c:v>1344890.73</c:v>
                </c:pt>
                <c:pt idx="1736">
                  <c:v>1416790.17</c:v>
                </c:pt>
                <c:pt idx="1737">
                  <c:v>1388755.61</c:v>
                </c:pt>
                <c:pt idx="1738">
                  <c:v>1430348.1</c:v>
                </c:pt>
                <c:pt idx="1739">
                  <c:v>1425299.37</c:v>
                </c:pt>
                <c:pt idx="1740">
                  <c:v>1371889.27</c:v>
                </c:pt>
                <c:pt idx="1741">
                  <c:v>1423144.47</c:v>
                </c:pt>
                <c:pt idx="1742">
                  <c:v>1428993.33</c:v>
                </c:pt>
                <c:pt idx="1743">
                  <c:v>1443311.49</c:v>
                </c:pt>
                <c:pt idx="1744">
                  <c:v>1385769.03</c:v>
                </c:pt>
                <c:pt idx="1745">
                  <c:v>1376670.27</c:v>
                </c:pt>
                <c:pt idx="1746">
                  <c:v>1427383.24</c:v>
                </c:pt>
                <c:pt idx="1747">
                  <c:v>1426405.46</c:v>
                </c:pt>
                <c:pt idx="1748">
                  <c:v>1444783.64</c:v>
                </c:pt>
                <c:pt idx="1749">
                  <c:v>1388809.43</c:v>
                </c:pt>
                <c:pt idx="1750">
                  <c:v>1556798.94</c:v>
                </c:pt>
                <c:pt idx="1751">
                  <c:v>1401232.52</c:v>
                </c:pt>
                <c:pt idx="1752">
                  <c:v>1391479.91</c:v>
                </c:pt>
                <c:pt idx="1753">
                  <c:v>1527688.58</c:v>
                </c:pt>
                <c:pt idx="1754">
                  <c:v>1427881.22</c:v>
                </c:pt>
                <c:pt idx="1755">
                  <c:v>1439034.86</c:v>
                </c:pt>
                <c:pt idx="1756">
                  <c:v>1496169.81</c:v>
                </c:pt>
                <c:pt idx="1757">
                  <c:v>1391257.28</c:v>
                </c:pt>
                <c:pt idx="1758">
                  <c:v>1392938.06</c:v>
                </c:pt>
                <c:pt idx="1759">
                  <c:v>1404516.29</c:v>
                </c:pt>
                <c:pt idx="1760">
                  <c:v>1443285.79</c:v>
                </c:pt>
                <c:pt idx="1761">
                  <c:v>1458059.42</c:v>
                </c:pt>
                <c:pt idx="1762">
                  <c:v>1390174.63</c:v>
                </c:pt>
                <c:pt idx="1763">
                  <c:v>1386472.59</c:v>
                </c:pt>
                <c:pt idx="1764">
                  <c:v>1358111.62</c:v>
                </c:pt>
                <c:pt idx="1765">
                  <c:v>1363365.05</c:v>
                </c:pt>
                <c:pt idx="1766">
                  <c:v>1401113.42</c:v>
                </c:pt>
                <c:pt idx="1767">
                  <c:v>1087616.19</c:v>
                </c:pt>
                <c:pt idx="1768">
                  <c:v>1123566.1200000001</c:v>
                </c:pt>
                <c:pt idx="1769">
                  <c:v>1066566.74</c:v>
                </c:pt>
                <c:pt idx="1770">
                  <c:v>1093319.3700000001</c:v>
                </c:pt>
                <c:pt idx="1771">
                  <c:v>1131732.94</c:v>
                </c:pt>
                <c:pt idx="1772">
                  <c:v>1095889.22</c:v>
                </c:pt>
                <c:pt idx="1773">
                  <c:v>1133657.58</c:v>
                </c:pt>
                <c:pt idx="1774">
                  <c:v>1149234.96</c:v>
                </c:pt>
                <c:pt idx="1775">
                  <c:v>1192074.0900000001</c:v>
                </c:pt>
                <c:pt idx="1776">
                  <c:v>1187988.6399999999</c:v>
                </c:pt>
                <c:pt idx="1777">
                  <c:v>1077253.67</c:v>
                </c:pt>
                <c:pt idx="1778">
                  <c:v>1144552.0900000001</c:v>
                </c:pt>
                <c:pt idx="1779">
                  <c:v>1095932.51</c:v>
                </c:pt>
                <c:pt idx="1780">
                  <c:v>1028635.39</c:v>
                </c:pt>
                <c:pt idx="1781">
                  <c:v>1061089.56</c:v>
                </c:pt>
                <c:pt idx="1782">
                  <c:v>1085483.44</c:v>
                </c:pt>
                <c:pt idx="1783">
                  <c:v>1063056.21</c:v>
                </c:pt>
                <c:pt idx="1784">
                  <c:v>1141019.1100000001</c:v>
                </c:pt>
                <c:pt idx="1785">
                  <c:v>1200892.56</c:v>
                </c:pt>
                <c:pt idx="1786">
                  <c:v>1377322.73</c:v>
                </c:pt>
                <c:pt idx="1787">
                  <c:v>1046416.17</c:v>
                </c:pt>
                <c:pt idx="1788">
                  <c:v>1070457.8</c:v>
                </c:pt>
                <c:pt idx="1789">
                  <c:v>1124357.2</c:v>
                </c:pt>
                <c:pt idx="1790">
                  <c:v>1106847.6200000001</c:v>
                </c:pt>
                <c:pt idx="1791">
                  <c:v>1101458.21</c:v>
                </c:pt>
                <c:pt idx="1792">
                  <c:v>1051121.02</c:v>
                </c:pt>
                <c:pt idx="1793">
                  <c:v>1102975.5900000001</c:v>
                </c:pt>
                <c:pt idx="1794">
                  <c:v>1181793.55</c:v>
                </c:pt>
                <c:pt idx="1795">
                  <c:v>1167757</c:v>
                </c:pt>
                <c:pt idx="1796">
                  <c:v>1239741.3400000001</c:v>
                </c:pt>
                <c:pt idx="1797">
                  <c:v>1199845.29</c:v>
                </c:pt>
                <c:pt idx="1798">
                  <c:v>1110244.52</c:v>
                </c:pt>
                <c:pt idx="1799">
                  <c:v>1201694.1399999999</c:v>
                </c:pt>
                <c:pt idx="1800">
                  <c:v>1206795.74</c:v>
                </c:pt>
                <c:pt idx="1801">
                  <c:v>1152117.5</c:v>
                </c:pt>
                <c:pt idx="1802">
                  <c:v>1128237.3</c:v>
                </c:pt>
                <c:pt idx="1803">
                  <c:v>1149448.02</c:v>
                </c:pt>
                <c:pt idx="1804">
                  <c:v>1204628.28</c:v>
                </c:pt>
                <c:pt idx="1805">
                  <c:v>1182733</c:v>
                </c:pt>
                <c:pt idx="1806">
                  <c:v>1179773.8799999999</c:v>
                </c:pt>
                <c:pt idx="1807">
                  <c:v>1415746.91</c:v>
                </c:pt>
                <c:pt idx="1808">
                  <c:v>1099937.25</c:v>
                </c:pt>
                <c:pt idx="1809">
                  <c:v>1156826.31</c:v>
                </c:pt>
                <c:pt idx="1810">
                  <c:v>1129422.8600000001</c:v>
                </c:pt>
                <c:pt idx="1811">
                  <c:v>1153332.8899999999</c:v>
                </c:pt>
                <c:pt idx="1812">
                  <c:v>1124537.97</c:v>
                </c:pt>
                <c:pt idx="1813">
                  <c:v>1270577.01</c:v>
                </c:pt>
                <c:pt idx="1814">
                  <c:v>1187384.53</c:v>
                </c:pt>
                <c:pt idx="1815">
                  <c:v>1187051.07</c:v>
                </c:pt>
                <c:pt idx="1816">
                  <c:v>1157557.79</c:v>
                </c:pt>
                <c:pt idx="1817">
                  <c:v>1246322.44</c:v>
                </c:pt>
                <c:pt idx="1818">
                  <c:v>1214183.97</c:v>
                </c:pt>
                <c:pt idx="1819">
                  <c:v>1183571.3500000001</c:v>
                </c:pt>
                <c:pt idx="1820">
                  <c:v>1227469.2</c:v>
                </c:pt>
                <c:pt idx="1821">
                  <c:v>1126685.95</c:v>
                </c:pt>
                <c:pt idx="1822">
                  <c:v>1202775.24</c:v>
                </c:pt>
                <c:pt idx="1823">
                  <c:v>1176681.31</c:v>
                </c:pt>
                <c:pt idx="1824">
                  <c:v>274593.43</c:v>
                </c:pt>
                <c:pt idx="1825">
                  <c:v>294882.83</c:v>
                </c:pt>
                <c:pt idx="1826">
                  <c:v>291484.89</c:v>
                </c:pt>
                <c:pt idx="1827">
                  <c:v>312161</c:v>
                </c:pt>
                <c:pt idx="1828">
                  <c:v>274634.52</c:v>
                </c:pt>
                <c:pt idx="1829">
                  <c:v>325201.05</c:v>
                </c:pt>
                <c:pt idx="1830">
                  <c:v>326870.13</c:v>
                </c:pt>
                <c:pt idx="1831">
                  <c:v>285100</c:v>
                </c:pt>
                <c:pt idx="1832">
                  <c:v>310800.78999999998</c:v>
                </c:pt>
                <c:pt idx="1833">
                  <c:v>267495.76</c:v>
                </c:pt>
                <c:pt idx="1834">
                  <c:v>302423.93</c:v>
                </c:pt>
                <c:pt idx="1835">
                  <c:v>262789.95</c:v>
                </c:pt>
                <c:pt idx="1836">
                  <c:v>237405.82</c:v>
                </c:pt>
                <c:pt idx="1837">
                  <c:v>272834.88</c:v>
                </c:pt>
                <c:pt idx="1838">
                  <c:v>224294.39</c:v>
                </c:pt>
                <c:pt idx="1839">
                  <c:v>266484.19</c:v>
                </c:pt>
                <c:pt idx="1840">
                  <c:v>246124.61</c:v>
                </c:pt>
                <c:pt idx="1841">
                  <c:v>272803.94</c:v>
                </c:pt>
                <c:pt idx="1842">
                  <c:v>209986.25</c:v>
                </c:pt>
                <c:pt idx="1843">
                  <c:v>253050.1</c:v>
                </c:pt>
                <c:pt idx="1844">
                  <c:v>243948.82</c:v>
                </c:pt>
                <c:pt idx="1845">
                  <c:v>234218.03</c:v>
                </c:pt>
                <c:pt idx="1846">
                  <c:v>276198.74</c:v>
                </c:pt>
                <c:pt idx="1847">
                  <c:v>245435.8</c:v>
                </c:pt>
                <c:pt idx="1848">
                  <c:v>270921.44</c:v>
                </c:pt>
                <c:pt idx="1849">
                  <c:v>232769.09</c:v>
                </c:pt>
                <c:pt idx="1850">
                  <c:v>271924.73</c:v>
                </c:pt>
                <c:pt idx="1851">
                  <c:v>257031.19</c:v>
                </c:pt>
                <c:pt idx="1852">
                  <c:v>243477.03</c:v>
                </c:pt>
                <c:pt idx="1853">
                  <c:v>258427.39</c:v>
                </c:pt>
                <c:pt idx="1854">
                  <c:v>226702.36</c:v>
                </c:pt>
                <c:pt idx="1855">
                  <c:v>262717.71000000002</c:v>
                </c:pt>
                <c:pt idx="1856">
                  <c:v>242456.39</c:v>
                </c:pt>
                <c:pt idx="1857">
                  <c:v>274721.84999999998</c:v>
                </c:pt>
                <c:pt idx="1858">
                  <c:v>239198.36</c:v>
                </c:pt>
                <c:pt idx="1859">
                  <c:v>281842.28000000003</c:v>
                </c:pt>
                <c:pt idx="1860">
                  <c:v>262159.13</c:v>
                </c:pt>
                <c:pt idx="1861">
                  <c:v>236157.12</c:v>
                </c:pt>
                <c:pt idx="1862">
                  <c:v>271961.03999999998</c:v>
                </c:pt>
                <c:pt idx="1863">
                  <c:v>220060.35</c:v>
                </c:pt>
                <c:pt idx="1864">
                  <c:v>270373.05</c:v>
                </c:pt>
                <c:pt idx="1865">
                  <c:v>267058.08</c:v>
                </c:pt>
                <c:pt idx="1866">
                  <c:v>256091.32</c:v>
                </c:pt>
                <c:pt idx="1867">
                  <c:v>282552.58</c:v>
                </c:pt>
                <c:pt idx="1868">
                  <c:v>248051.53</c:v>
                </c:pt>
                <c:pt idx="1869">
                  <c:v>287346.28999999998</c:v>
                </c:pt>
                <c:pt idx="1870">
                  <c:v>275911.96999999997</c:v>
                </c:pt>
                <c:pt idx="1871">
                  <c:v>270497.51</c:v>
                </c:pt>
                <c:pt idx="1872">
                  <c:v>295841.84000000003</c:v>
                </c:pt>
                <c:pt idx="1873">
                  <c:v>261131.09</c:v>
                </c:pt>
                <c:pt idx="1874">
                  <c:v>286082.76</c:v>
                </c:pt>
                <c:pt idx="1875">
                  <c:v>273690.37</c:v>
                </c:pt>
                <c:pt idx="1876">
                  <c:v>258533.12</c:v>
                </c:pt>
                <c:pt idx="1877">
                  <c:v>297753.49</c:v>
                </c:pt>
                <c:pt idx="1878">
                  <c:v>286428.78000000003</c:v>
                </c:pt>
                <c:pt idx="1879">
                  <c:v>265444.90000000002</c:v>
                </c:pt>
                <c:pt idx="1880">
                  <c:v>291781.15000000002</c:v>
                </c:pt>
                <c:pt idx="1881">
                  <c:v>956228.96</c:v>
                </c:pt>
                <c:pt idx="1882">
                  <c:v>994610.99</c:v>
                </c:pt>
                <c:pt idx="1883">
                  <c:v>918295.79</c:v>
                </c:pt>
                <c:pt idx="1884">
                  <c:v>921247.88</c:v>
                </c:pt>
                <c:pt idx="1885">
                  <c:v>979428.66</c:v>
                </c:pt>
                <c:pt idx="1886">
                  <c:v>950684.2</c:v>
                </c:pt>
                <c:pt idx="1887">
                  <c:v>953495.48</c:v>
                </c:pt>
                <c:pt idx="1888">
                  <c:v>966187.51</c:v>
                </c:pt>
                <c:pt idx="1889">
                  <c:v>954681.56</c:v>
                </c:pt>
                <c:pt idx="1890">
                  <c:v>919229.36</c:v>
                </c:pt>
                <c:pt idx="1891">
                  <c:v>911210.81</c:v>
                </c:pt>
                <c:pt idx="1892">
                  <c:v>987435.35</c:v>
                </c:pt>
                <c:pt idx="1893">
                  <c:v>964356.74</c:v>
                </c:pt>
                <c:pt idx="1894">
                  <c:v>932240.96</c:v>
                </c:pt>
                <c:pt idx="1895">
                  <c:v>865709.11</c:v>
                </c:pt>
                <c:pt idx="1896">
                  <c:v>931710.67</c:v>
                </c:pt>
                <c:pt idx="1897">
                  <c:v>972292.31</c:v>
                </c:pt>
                <c:pt idx="1898">
                  <c:v>979730.78</c:v>
                </c:pt>
                <c:pt idx="1899">
                  <c:v>1001512.21</c:v>
                </c:pt>
                <c:pt idx="1900">
                  <c:v>1086661.02</c:v>
                </c:pt>
                <c:pt idx="1901">
                  <c:v>900646.94</c:v>
                </c:pt>
                <c:pt idx="1902">
                  <c:v>971932.87</c:v>
                </c:pt>
                <c:pt idx="1903">
                  <c:v>1015654.6</c:v>
                </c:pt>
                <c:pt idx="1904">
                  <c:v>963910.81</c:v>
                </c:pt>
                <c:pt idx="1905">
                  <c:v>943951.67</c:v>
                </c:pt>
                <c:pt idx="1906">
                  <c:v>884233.67</c:v>
                </c:pt>
                <c:pt idx="1907">
                  <c:v>975479.83</c:v>
                </c:pt>
                <c:pt idx="1908">
                  <c:v>965853.58</c:v>
                </c:pt>
                <c:pt idx="1909">
                  <c:v>947229.24</c:v>
                </c:pt>
                <c:pt idx="1910">
                  <c:v>943912.77</c:v>
                </c:pt>
                <c:pt idx="1911">
                  <c:v>911106.22</c:v>
                </c:pt>
                <c:pt idx="1912">
                  <c:v>926934.57</c:v>
                </c:pt>
                <c:pt idx="1913">
                  <c:v>942236.45</c:v>
                </c:pt>
                <c:pt idx="1914">
                  <c:v>956251.18</c:v>
                </c:pt>
                <c:pt idx="1915">
                  <c:v>926455.64</c:v>
                </c:pt>
                <c:pt idx="1916">
                  <c:v>930506.14</c:v>
                </c:pt>
                <c:pt idx="1917">
                  <c:v>954069.45</c:v>
                </c:pt>
                <c:pt idx="1918">
                  <c:v>992621.93</c:v>
                </c:pt>
                <c:pt idx="1919">
                  <c:v>991570.02</c:v>
                </c:pt>
                <c:pt idx="1920">
                  <c:v>988742.08</c:v>
                </c:pt>
                <c:pt idx="1921">
                  <c:v>1084243.9099999999</c:v>
                </c:pt>
                <c:pt idx="1922">
                  <c:v>953844.85</c:v>
                </c:pt>
                <c:pt idx="1923">
                  <c:v>939367.14</c:v>
                </c:pt>
                <c:pt idx="1924">
                  <c:v>1047658.09</c:v>
                </c:pt>
                <c:pt idx="1925">
                  <c:v>990263.7</c:v>
                </c:pt>
                <c:pt idx="1926">
                  <c:v>976393.43</c:v>
                </c:pt>
                <c:pt idx="1927">
                  <c:v>1091020.3700000001</c:v>
                </c:pt>
                <c:pt idx="1928">
                  <c:v>991104.4</c:v>
                </c:pt>
                <c:pt idx="1929">
                  <c:v>949625.52</c:v>
                </c:pt>
                <c:pt idx="1930">
                  <c:v>977062.44</c:v>
                </c:pt>
                <c:pt idx="1931">
                  <c:v>999511.29</c:v>
                </c:pt>
                <c:pt idx="1932">
                  <c:v>1007867.68</c:v>
                </c:pt>
                <c:pt idx="1933">
                  <c:v>973250.41</c:v>
                </c:pt>
                <c:pt idx="1934">
                  <c:v>1004523.59</c:v>
                </c:pt>
                <c:pt idx="1935">
                  <c:v>976415.56</c:v>
                </c:pt>
                <c:pt idx="1936">
                  <c:v>968896.68</c:v>
                </c:pt>
                <c:pt idx="1937">
                  <c:v>948613.39</c:v>
                </c:pt>
                <c:pt idx="1938">
                  <c:v>1230613.5</c:v>
                </c:pt>
                <c:pt idx="1939">
                  <c:v>1168815.31</c:v>
                </c:pt>
                <c:pt idx="1940">
                  <c:v>1162610.27</c:v>
                </c:pt>
                <c:pt idx="1941">
                  <c:v>1150344.3899999999</c:v>
                </c:pt>
                <c:pt idx="1942">
                  <c:v>1189556.47</c:v>
                </c:pt>
                <c:pt idx="1943">
                  <c:v>1198014.97</c:v>
                </c:pt>
                <c:pt idx="1944">
                  <c:v>1182099.8799999999</c:v>
                </c:pt>
                <c:pt idx="1945">
                  <c:v>1282378.71</c:v>
                </c:pt>
                <c:pt idx="1946">
                  <c:v>1160412.71</c:v>
                </c:pt>
                <c:pt idx="1947">
                  <c:v>1245827.08</c:v>
                </c:pt>
                <c:pt idx="1948">
                  <c:v>1268766.76</c:v>
                </c:pt>
                <c:pt idx="1949">
                  <c:v>1180183.3899999999</c:v>
                </c:pt>
                <c:pt idx="1950">
                  <c:v>948660.79</c:v>
                </c:pt>
                <c:pt idx="1951">
                  <c:v>961685.98</c:v>
                </c:pt>
                <c:pt idx="1952">
                  <c:v>771065.21</c:v>
                </c:pt>
                <c:pt idx="1953">
                  <c:v>874615.32</c:v>
                </c:pt>
                <c:pt idx="1954">
                  <c:v>843755.12</c:v>
                </c:pt>
                <c:pt idx="1955">
                  <c:v>870914.69</c:v>
                </c:pt>
                <c:pt idx="1956">
                  <c:v>982598.88</c:v>
                </c:pt>
                <c:pt idx="1957">
                  <c:v>1108580.19</c:v>
                </c:pt>
                <c:pt idx="1958">
                  <c:v>649289.75</c:v>
                </c:pt>
                <c:pt idx="1959">
                  <c:v>747577.05</c:v>
                </c:pt>
                <c:pt idx="1960">
                  <c:v>859258.17</c:v>
                </c:pt>
                <c:pt idx="1961">
                  <c:v>850448.54</c:v>
                </c:pt>
                <c:pt idx="1962">
                  <c:v>830601.39</c:v>
                </c:pt>
                <c:pt idx="1963">
                  <c:v>762620.94</c:v>
                </c:pt>
                <c:pt idx="1964">
                  <c:v>813352.41</c:v>
                </c:pt>
                <c:pt idx="1965">
                  <c:v>835181.18</c:v>
                </c:pt>
                <c:pt idx="1966">
                  <c:v>955466.84</c:v>
                </c:pt>
                <c:pt idx="1967">
                  <c:v>855130.21</c:v>
                </c:pt>
                <c:pt idx="1968">
                  <c:v>874453.88</c:v>
                </c:pt>
                <c:pt idx="1969">
                  <c:v>827717.85</c:v>
                </c:pt>
                <c:pt idx="1970">
                  <c:v>826820.71</c:v>
                </c:pt>
                <c:pt idx="1971">
                  <c:v>819911.89</c:v>
                </c:pt>
                <c:pt idx="1972">
                  <c:v>813486.55</c:v>
                </c:pt>
                <c:pt idx="1973">
                  <c:v>922440.64</c:v>
                </c:pt>
                <c:pt idx="1974">
                  <c:v>791637.53</c:v>
                </c:pt>
                <c:pt idx="1975">
                  <c:v>653468.75</c:v>
                </c:pt>
                <c:pt idx="1976">
                  <c:v>880576.33</c:v>
                </c:pt>
                <c:pt idx="1977">
                  <c:v>903606.03</c:v>
                </c:pt>
                <c:pt idx="1978">
                  <c:v>948964.99</c:v>
                </c:pt>
                <c:pt idx="1979">
                  <c:v>671708.09</c:v>
                </c:pt>
                <c:pt idx="1980">
                  <c:v>746901.03</c:v>
                </c:pt>
                <c:pt idx="1981">
                  <c:v>849779.14</c:v>
                </c:pt>
                <c:pt idx="1982">
                  <c:v>766571.1</c:v>
                </c:pt>
                <c:pt idx="1983">
                  <c:v>796351.35</c:v>
                </c:pt>
                <c:pt idx="1984">
                  <c:v>860293.46</c:v>
                </c:pt>
                <c:pt idx="1985">
                  <c:v>772036.6</c:v>
                </c:pt>
                <c:pt idx="1986">
                  <c:v>802383.63</c:v>
                </c:pt>
                <c:pt idx="1987">
                  <c:v>932195.52</c:v>
                </c:pt>
                <c:pt idx="1988">
                  <c:v>873415.01</c:v>
                </c:pt>
                <c:pt idx="1989">
                  <c:v>985479.64</c:v>
                </c:pt>
                <c:pt idx="1990">
                  <c:v>866216.36</c:v>
                </c:pt>
                <c:pt idx="1991">
                  <c:v>888368.8</c:v>
                </c:pt>
                <c:pt idx="1992">
                  <c:v>984833.35</c:v>
                </c:pt>
                <c:pt idx="1993">
                  <c:v>866064.4</c:v>
                </c:pt>
                <c:pt idx="1994">
                  <c:v>873643.14</c:v>
                </c:pt>
                <c:pt idx="1995">
                  <c:v>467546.74</c:v>
                </c:pt>
                <c:pt idx="1996">
                  <c:v>469563.7</c:v>
                </c:pt>
                <c:pt idx="1997">
                  <c:v>480203.43</c:v>
                </c:pt>
                <c:pt idx="1998">
                  <c:v>441434.2</c:v>
                </c:pt>
                <c:pt idx="1999">
                  <c:v>435972.82</c:v>
                </c:pt>
                <c:pt idx="2000">
                  <c:v>453016.91</c:v>
                </c:pt>
                <c:pt idx="2001">
                  <c:v>489372.02</c:v>
                </c:pt>
                <c:pt idx="2002">
                  <c:v>471088.88</c:v>
                </c:pt>
                <c:pt idx="2003">
                  <c:v>467711.18</c:v>
                </c:pt>
                <c:pt idx="2004">
                  <c:v>434252.15</c:v>
                </c:pt>
                <c:pt idx="2005">
                  <c:v>471713.59</c:v>
                </c:pt>
                <c:pt idx="2006">
                  <c:v>467442.94</c:v>
                </c:pt>
                <c:pt idx="2007">
                  <c:v>431294.45</c:v>
                </c:pt>
                <c:pt idx="2008">
                  <c:v>434471.38</c:v>
                </c:pt>
                <c:pt idx="2009">
                  <c:v>422169.47</c:v>
                </c:pt>
                <c:pt idx="2010">
                  <c:v>444351.61</c:v>
                </c:pt>
                <c:pt idx="2011">
                  <c:v>405860.37</c:v>
                </c:pt>
                <c:pt idx="2012">
                  <c:v>425804.79999999999</c:v>
                </c:pt>
                <c:pt idx="2013">
                  <c:v>360266.09</c:v>
                </c:pt>
                <c:pt idx="2014">
                  <c:v>404545.03</c:v>
                </c:pt>
                <c:pt idx="2015">
                  <c:v>384659.85</c:v>
                </c:pt>
                <c:pt idx="2016">
                  <c:v>417521.7</c:v>
                </c:pt>
                <c:pt idx="2017">
                  <c:v>401501.2</c:v>
                </c:pt>
                <c:pt idx="2018">
                  <c:v>402579.84</c:v>
                </c:pt>
                <c:pt idx="2019">
                  <c:v>407506.78</c:v>
                </c:pt>
                <c:pt idx="2020">
                  <c:v>385672.11</c:v>
                </c:pt>
                <c:pt idx="2021">
                  <c:v>428727.61</c:v>
                </c:pt>
                <c:pt idx="2022">
                  <c:v>393401.4</c:v>
                </c:pt>
                <c:pt idx="2023">
                  <c:v>373703.95</c:v>
                </c:pt>
                <c:pt idx="2024">
                  <c:v>374182.04</c:v>
                </c:pt>
                <c:pt idx="2025">
                  <c:v>354270.77</c:v>
                </c:pt>
                <c:pt idx="2026">
                  <c:v>377464.62</c:v>
                </c:pt>
                <c:pt idx="2027">
                  <c:v>381017.75</c:v>
                </c:pt>
                <c:pt idx="2028">
                  <c:v>380188.69</c:v>
                </c:pt>
                <c:pt idx="2029">
                  <c:v>350276.29</c:v>
                </c:pt>
                <c:pt idx="2030">
                  <c:v>352960.64</c:v>
                </c:pt>
                <c:pt idx="2031">
                  <c:v>346137.87</c:v>
                </c:pt>
                <c:pt idx="2032">
                  <c:v>313387.11</c:v>
                </c:pt>
                <c:pt idx="2033">
                  <c:v>328498.92</c:v>
                </c:pt>
                <c:pt idx="2034">
                  <c:v>293350.51</c:v>
                </c:pt>
                <c:pt idx="2035">
                  <c:v>312298.37</c:v>
                </c:pt>
                <c:pt idx="2036">
                  <c:v>329467.82</c:v>
                </c:pt>
                <c:pt idx="2037">
                  <c:v>310982.87</c:v>
                </c:pt>
                <c:pt idx="2038">
                  <c:v>335741.9</c:v>
                </c:pt>
                <c:pt idx="2039">
                  <c:v>315396.71999999997</c:v>
                </c:pt>
                <c:pt idx="2040">
                  <c:v>318674.93</c:v>
                </c:pt>
                <c:pt idx="2041">
                  <c:v>331026.11</c:v>
                </c:pt>
                <c:pt idx="2042">
                  <c:v>312467.52</c:v>
                </c:pt>
                <c:pt idx="2043">
                  <c:v>330518.34000000003</c:v>
                </c:pt>
                <c:pt idx="2044">
                  <c:v>306005.53000000003</c:v>
                </c:pt>
                <c:pt idx="2045">
                  <c:v>338273.38</c:v>
                </c:pt>
                <c:pt idx="2046">
                  <c:v>306578.89</c:v>
                </c:pt>
                <c:pt idx="2047">
                  <c:v>304989.96999999997</c:v>
                </c:pt>
                <c:pt idx="2048">
                  <c:v>298947.51</c:v>
                </c:pt>
                <c:pt idx="2049">
                  <c:v>293728.57</c:v>
                </c:pt>
                <c:pt idx="2050">
                  <c:v>277137.86</c:v>
                </c:pt>
                <c:pt idx="2051">
                  <c:v>300236.84999999998</c:v>
                </c:pt>
                <c:pt idx="2052">
                  <c:v>536006.73</c:v>
                </c:pt>
                <c:pt idx="2053">
                  <c:v>529852.69999999995</c:v>
                </c:pt>
                <c:pt idx="2054">
                  <c:v>519255.68</c:v>
                </c:pt>
                <c:pt idx="2055">
                  <c:v>513015.35</c:v>
                </c:pt>
                <c:pt idx="2056">
                  <c:v>540189.69999999995</c:v>
                </c:pt>
                <c:pt idx="2057">
                  <c:v>513327.55</c:v>
                </c:pt>
                <c:pt idx="2058">
                  <c:v>543234.77</c:v>
                </c:pt>
                <c:pt idx="2059">
                  <c:v>479195.02</c:v>
                </c:pt>
                <c:pt idx="2060">
                  <c:v>481915.11</c:v>
                </c:pt>
                <c:pt idx="2061">
                  <c:v>498292.53</c:v>
                </c:pt>
                <c:pt idx="2062">
                  <c:v>502456.04</c:v>
                </c:pt>
                <c:pt idx="2063">
                  <c:v>508576.62</c:v>
                </c:pt>
                <c:pt idx="2064">
                  <c:v>510427.53</c:v>
                </c:pt>
                <c:pt idx="2065">
                  <c:v>510296.07</c:v>
                </c:pt>
                <c:pt idx="2066">
                  <c:v>529877.93000000005</c:v>
                </c:pt>
                <c:pt idx="2067">
                  <c:v>524483.65</c:v>
                </c:pt>
                <c:pt idx="2068">
                  <c:v>539683.42000000004</c:v>
                </c:pt>
                <c:pt idx="2069">
                  <c:v>517546.69</c:v>
                </c:pt>
                <c:pt idx="2070">
                  <c:v>508213.14</c:v>
                </c:pt>
                <c:pt idx="2071">
                  <c:v>511207.52</c:v>
                </c:pt>
                <c:pt idx="2072">
                  <c:v>542464.02</c:v>
                </c:pt>
                <c:pt idx="2073">
                  <c:v>583835.18000000005</c:v>
                </c:pt>
                <c:pt idx="2074">
                  <c:v>522514.32</c:v>
                </c:pt>
                <c:pt idx="2075">
                  <c:v>527572.25</c:v>
                </c:pt>
                <c:pt idx="2076">
                  <c:v>505610.4</c:v>
                </c:pt>
                <c:pt idx="2077">
                  <c:v>534578.78</c:v>
                </c:pt>
                <c:pt idx="2078">
                  <c:v>543703.16</c:v>
                </c:pt>
                <c:pt idx="2079">
                  <c:v>547513.30000000005</c:v>
                </c:pt>
                <c:pt idx="2080">
                  <c:v>500381.23</c:v>
                </c:pt>
                <c:pt idx="2081">
                  <c:v>509647.25</c:v>
                </c:pt>
                <c:pt idx="2082">
                  <c:v>517021.3</c:v>
                </c:pt>
                <c:pt idx="2083">
                  <c:v>489059.93</c:v>
                </c:pt>
                <c:pt idx="2084">
                  <c:v>510787.46</c:v>
                </c:pt>
                <c:pt idx="2085">
                  <c:v>502504.39</c:v>
                </c:pt>
                <c:pt idx="2086">
                  <c:v>530367.82999999996</c:v>
                </c:pt>
                <c:pt idx="2087">
                  <c:v>506273.74</c:v>
                </c:pt>
                <c:pt idx="2088">
                  <c:v>522816.85</c:v>
                </c:pt>
                <c:pt idx="2089">
                  <c:v>555925.6</c:v>
                </c:pt>
                <c:pt idx="2090">
                  <c:v>501268.78</c:v>
                </c:pt>
                <c:pt idx="2091">
                  <c:v>527117.81000000006</c:v>
                </c:pt>
                <c:pt idx="2092">
                  <c:v>537224.52</c:v>
                </c:pt>
                <c:pt idx="2093">
                  <c:v>558343.56999999995</c:v>
                </c:pt>
                <c:pt idx="2094">
                  <c:v>555424.24</c:v>
                </c:pt>
                <c:pt idx="2095">
                  <c:v>527041.46</c:v>
                </c:pt>
                <c:pt idx="2096">
                  <c:v>525559.17000000004</c:v>
                </c:pt>
                <c:pt idx="2097">
                  <c:v>535937.25</c:v>
                </c:pt>
                <c:pt idx="2098">
                  <c:v>564848.78</c:v>
                </c:pt>
                <c:pt idx="2099">
                  <c:v>535311.64</c:v>
                </c:pt>
                <c:pt idx="2100">
                  <c:v>527983.04</c:v>
                </c:pt>
                <c:pt idx="2101">
                  <c:v>531811.85</c:v>
                </c:pt>
                <c:pt idx="2102">
                  <c:v>528940.78</c:v>
                </c:pt>
                <c:pt idx="2103">
                  <c:v>519498.32</c:v>
                </c:pt>
                <c:pt idx="2104">
                  <c:v>521959.28</c:v>
                </c:pt>
                <c:pt idx="2105">
                  <c:v>500964.59</c:v>
                </c:pt>
                <c:pt idx="2106">
                  <c:v>526838.14</c:v>
                </c:pt>
                <c:pt idx="2107">
                  <c:v>546122.37</c:v>
                </c:pt>
                <c:pt idx="2108">
                  <c:v>521810.75</c:v>
                </c:pt>
                <c:pt idx="2109">
                  <c:v>358496.14</c:v>
                </c:pt>
                <c:pt idx="2110">
                  <c:v>342214.9</c:v>
                </c:pt>
                <c:pt idx="2111">
                  <c:v>372239.89</c:v>
                </c:pt>
                <c:pt idx="2112">
                  <c:v>342023.92</c:v>
                </c:pt>
                <c:pt idx="2113">
                  <c:v>368929.55</c:v>
                </c:pt>
                <c:pt idx="2114">
                  <c:v>341630.46</c:v>
                </c:pt>
                <c:pt idx="2115">
                  <c:v>383657.44</c:v>
                </c:pt>
                <c:pt idx="2116">
                  <c:v>376184.88</c:v>
                </c:pt>
                <c:pt idx="2117">
                  <c:v>354828.65</c:v>
                </c:pt>
                <c:pt idx="2118">
                  <c:v>361181.48</c:v>
                </c:pt>
                <c:pt idx="2119">
                  <c:v>343850.34</c:v>
                </c:pt>
                <c:pt idx="2120">
                  <c:v>378574.44</c:v>
                </c:pt>
                <c:pt idx="2121">
                  <c:v>377096.55</c:v>
                </c:pt>
                <c:pt idx="2122">
                  <c:v>336227.69</c:v>
                </c:pt>
                <c:pt idx="2123">
                  <c:v>360256.58</c:v>
                </c:pt>
                <c:pt idx="2124">
                  <c:v>351271.36</c:v>
                </c:pt>
                <c:pt idx="2125">
                  <c:v>380870.09</c:v>
                </c:pt>
                <c:pt idx="2126">
                  <c:v>340147.20000000001</c:v>
                </c:pt>
                <c:pt idx="2127">
                  <c:v>351925.36</c:v>
                </c:pt>
                <c:pt idx="2128">
                  <c:v>355965.23</c:v>
                </c:pt>
                <c:pt idx="2129">
                  <c:v>386344.54</c:v>
                </c:pt>
                <c:pt idx="2130">
                  <c:v>402341.76</c:v>
                </c:pt>
                <c:pt idx="2131">
                  <c:v>377672.46</c:v>
                </c:pt>
                <c:pt idx="2132">
                  <c:v>405429.43</c:v>
                </c:pt>
                <c:pt idx="2133">
                  <c:v>357897.18</c:v>
                </c:pt>
                <c:pt idx="2134">
                  <c:v>382098.13</c:v>
                </c:pt>
                <c:pt idx="2135">
                  <c:v>392152.3</c:v>
                </c:pt>
                <c:pt idx="2136">
                  <c:v>422186.65</c:v>
                </c:pt>
                <c:pt idx="2137">
                  <c:v>396826.06</c:v>
                </c:pt>
                <c:pt idx="2138">
                  <c:v>381763.02</c:v>
                </c:pt>
                <c:pt idx="2139">
                  <c:v>387334.04</c:v>
                </c:pt>
                <c:pt idx="2140">
                  <c:v>399699.17</c:v>
                </c:pt>
                <c:pt idx="2141">
                  <c:v>437631.44</c:v>
                </c:pt>
                <c:pt idx="2142">
                  <c:v>387844.05</c:v>
                </c:pt>
                <c:pt idx="2143">
                  <c:v>416953.51</c:v>
                </c:pt>
                <c:pt idx="2144">
                  <c:v>397771.68</c:v>
                </c:pt>
                <c:pt idx="2145">
                  <c:v>449516.29</c:v>
                </c:pt>
                <c:pt idx="2146">
                  <c:v>436970.1</c:v>
                </c:pt>
                <c:pt idx="2147">
                  <c:v>411116.95</c:v>
                </c:pt>
                <c:pt idx="2148">
                  <c:v>411252.02</c:v>
                </c:pt>
                <c:pt idx="2149">
                  <c:v>435401.64</c:v>
                </c:pt>
                <c:pt idx="2150">
                  <c:v>478483.20000000001</c:v>
                </c:pt>
                <c:pt idx="2151">
                  <c:v>457711.68</c:v>
                </c:pt>
                <c:pt idx="2152">
                  <c:v>469787.38</c:v>
                </c:pt>
                <c:pt idx="2153">
                  <c:v>471115.38</c:v>
                </c:pt>
                <c:pt idx="2154">
                  <c:v>452792.53</c:v>
                </c:pt>
                <c:pt idx="2155">
                  <c:v>499267.66</c:v>
                </c:pt>
                <c:pt idx="2156">
                  <c:v>491755.69</c:v>
                </c:pt>
                <c:pt idx="2157">
                  <c:v>429914.6</c:v>
                </c:pt>
                <c:pt idx="2158">
                  <c:v>435579.7</c:v>
                </c:pt>
                <c:pt idx="2159">
                  <c:v>448110.25</c:v>
                </c:pt>
                <c:pt idx="2160">
                  <c:v>471086.22</c:v>
                </c:pt>
                <c:pt idx="2161">
                  <c:v>469311.17</c:v>
                </c:pt>
                <c:pt idx="2162">
                  <c:v>436690.13</c:v>
                </c:pt>
                <c:pt idx="2163">
                  <c:v>490274.82</c:v>
                </c:pt>
                <c:pt idx="2164">
                  <c:v>458479.01</c:v>
                </c:pt>
                <c:pt idx="2165">
                  <c:v>437320.66</c:v>
                </c:pt>
                <c:pt idx="2166">
                  <c:v>1230596.8</c:v>
                </c:pt>
                <c:pt idx="2167">
                  <c:v>1266229.07</c:v>
                </c:pt>
                <c:pt idx="2168">
                  <c:v>1266254.21</c:v>
                </c:pt>
                <c:pt idx="2169">
                  <c:v>1244391.83</c:v>
                </c:pt>
                <c:pt idx="2170">
                  <c:v>1463942.62</c:v>
                </c:pt>
                <c:pt idx="2171">
                  <c:v>1327035.27</c:v>
                </c:pt>
                <c:pt idx="2172">
                  <c:v>1355704.21</c:v>
                </c:pt>
                <c:pt idx="2173">
                  <c:v>1512207.95</c:v>
                </c:pt>
                <c:pt idx="2174">
                  <c:v>1371405.33</c:v>
                </c:pt>
                <c:pt idx="2175">
                  <c:v>1352547.7</c:v>
                </c:pt>
                <c:pt idx="2176">
                  <c:v>1330473.47</c:v>
                </c:pt>
                <c:pt idx="2177">
                  <c:v>1409989.67</c:v>
                </c:pt>
                <c:pt idx="2178">
                  <c:v>1345167.61</c:v>
                </c:pt>
                <c:pt idx="2179">
                  <c:v>1279666.47</c:v>
                </c:pt>
                <c:pt idx="2180">
                  <c:v>1219583.9099999999</c:v>
                </c:pt>
                <c:pt idx="2181">
                  <c:v>1286598.5900000001</c:v>
                </c:pt>
                <c:pt idx="2182">
                  <c:v>1293707.19</c:v>
                </c:pt>
                <c:pt idx="2183">
                  <c:v>1291398.71</c:v>
                </c:pt>
                <c:pt idx="2184">
                  <c:v>1431910.98</c:v>
                </c:pt>
                <c:pt idx="2185">
                  <c:v>1630564.48</c:v>
                </c:pt>
                <c:pt idx="2186">
                  <c:v>1224475.1200000001</c:v>
                </c:pt>
                <c:pt idx="2187">
                  <c:v>1343773.94</c:v>
                </c:pt>
                <c:pt idx="2188">
                  <c:v>1227893.8899999999</c:v>
                </c:pt>
                <c:pt idx="2189">
                  <c:v>1316385.43</c:v>
                </c:pt>
                <c:pt idx="2190">
                  <c:v>1283716.81</c:v>
                </c:pt>
                <c:pt idx="2191">
                  <c:v>1316849.3600000001</c:v>
                </c:pt>
                <c:pt idx="2192">
                  <c:v>1350646.16</c:v>
                </c:pt>
                <c:pt idx="2193">
                  <c:v>1370920.87</c:v>
                </c:pt>
                <c:pt idx="2194">
                  <c:v>1541745.59</c:v>
                </c:pt>
                <c:pt idx="2195">
                  <c:v>1442092.08</c:v>
                </c:pt>
                <c:pt idx="2196">
                  <c:v>1429829.36</c:v>
                </c:pt>
                <c:pt idx="2197">
                  <c:v>1414564.53</c:v>
                </c:pt>
                <c:pt idx="2198">
                  <c:v>1518790.89</c:v>
                </c:pt>
                <c:pt idx="2199">
                  <c:v>1514055.97</c:v>
                </c:pt>
                <c:pt idx="2200">
                  <c:v>1465089.85</c:v>
                </c:pt>
                <c:pt idx="2201">
                  <c:v>1429345.86</c:v>
                </c:pt>
                <c:pt idx="2202">
                  <c:v>1443884.39</c:v>
                </c:pt>
                <c:pt idx="2203">
                  <c:v>1553629.59</c:v>
                </c:pt>
                <c:pt idx="2204">
                  <c:v>1456957.38</c:v>
                </c:pt>
                <c:pt idx="2205">
                  <c:v>1632894.58</c:v>
                </c:pt>
                <c:pt idx="2206">
                  <c:v>1781528.77</c:v>
                </c:pt>
                <c:pt idx="2207">
                  <c:v>1478537.93</c:v>
                </c:pt>
                <c:pt idx="2208">
                  <c:v>1396150.15</c:v>
                </c:pt>
                <c:pt idx="2209">
                  <c:v>1442988.44</c:v>
                </c:pt>
                <c:pt idx="2210">
                  <c:v>1453047.02</c:v>
                </c:pt>
                <c:pt idx="2211">
                  <c:v>1470764.35</c:v>
                </c:pt>
                <c:pt idx="2212">
                  <c:v>1764847.94</c:v>
                </c:pt>
                <c:pt idx="2213">
                  <c:v>1512227.34</c:v>
                </c:pt>
                <c:pt idx="2214">
                  <c:v>1470792.41</c:v>
                </c:pt>
                <c:pt idx="2215">
                  <c:v>1640476.77</c:v>
                </c:pt>
                <c:pt idx="2216">
                  <c:v>1623442.24</c:v>
                </c:pt>
                <c:pt idx="2217">
                  <c:v>1659221.99</c:v>
                </c:pt>
                <c:pt idx="2218">
                  <c:v>1608277.74</c:v>
                </c:pt>
                <c:pt idx="2219">
                  <c:v>1641867.92</c:v>
                </c:pt>
                <c:pt idx="2220">
                  <c:v>1609811.75</c:v>
                </c:pt>
                <c:pt idx="2221">
                  <c:v>1574408.67</c:v>
                </c:pt>
                <c:pt idx="2222">
                  <c:v>1494417.07</c:v>
                </c:pt>
                <c:pt idx="2223">
                  <c:v>1001943.8</c:v>
                </c:pt>
                <c:pt idx="2224">
                  <c:v>955338.29</c:v>
                </c:pt>
                <c:pt idx="2225">
                  <c:v>990152.28</c:v>
                </c:pt>
                <c:pt idx="2226">
                  <c:v>899352.4</c:v>
                </c:pt>
                <c:pt idx="2227">
                  <c:v>1041202.13</c:v>
                </c:pt>
                <c:pt idx="2228">
                  <c:v>919839.19</c:v>
                </c:pt>
                <c:pt idx="2229">
                  <c:v>1009797.06</c:v>
                </c:pt>
                <c:pt idx="2230">
                  <c:v>1052429.03</c:v>
                </c:pt>
                <c:pt idx="2231">
                  <c:v>1007574.67</c:v>
                </c:pt>
                <c:pt idx="2232">
                  <c:v>1087578.78</c:v>
                </c:pt>
                <c:pt idx="2233">
                  <c:v>1058250.9099999999</c:v>
                </c:pt>
                <c:pt idx="2234">
                  <c:v>1057295.8700000001</c:v>
                </c:pt>
                <c:pt idx="2235">
                  <c:v>976453.34</c:v>
                </c:pt>
                <c:pt idx="2236">
                  <c:v>967310.82</c:v>
                </c:pt>
                <c:pt idx="2237">
                  <c:v>891152.33</c:v>
                </c:pt>
                <c:pt idx="2238">
                  <c:v>972405.38</c:v>
                </c:pt>
                <c:pt idx="2239">
                  <c:v>968270.66</c:v>
                </c:pt>
                <c:pt idx="2240">
                  <c:v>935481.32</c:v>
                </c:pt>
                <c:pt idx="2241">
                  <c:v>1000582.06</c:v>
                </c:pt>
                <c:pt idx="2242">
                  <c:v>1111215.72</c:v>
                </c:pt>
                <c:pt idx="2243">
                  <c:v>894280.19</c:v>
                </c:pt>
                <c:pt idx="2244">
                  <c:v>904261.65</c:v>
                </c:pt>
                <c:pt idx="2245">
                  <c:v>931939.52</c:v>
                </c:pt>
                <c:pt idx="2246">
                  <c:v>977070.62</c:v>
                </c:pt>
                <c:pt idx="2247">
                  <c:v>860255.58</c:v>
                </c:pt>
                <c:pt idx="2248">
                  <c:v>841889.08</c:v>
                </c:pt>
                <c:pt idx="2249">
                  <c:v>947753.32</c:v>
                </c:pt>
                <c:pt idx="2250">
                  <c:v>1016752.55</c:v>
                </c:pt>
                <c:pt idx="2251">
                  <c:v>1075687.74</c:v>
                </c:pt>
                <c:pt idx="2252">
                  <c:v>984336.04</c:v>
                </c:pt>
                <c:pt idx="2253">
                  <c:v>1048866.3</c:v>
                </c:pt>
                <c:pt idx="2254">
                  <c:v>1107366.06</c:v>
                </c:pt>
                <c:pt idx="2255">
                  <c:v>1063818.2</c:v>
                </c:pt>
                <c:pt idx="2256">
                  <c:v>955506.95</c:v>
                </c:pt>
                <c:pt idx="2257">
                  <c:v>957298.26</c:v>
                </c:pt>
                <c:pt idx="2258">
                  <c:v>1021391.99</c:v>
                </c:pt>
                <c:pt idx="2259">
                  <c:v>1070389.98</c:v>
                </c:pt>
                <c:pt idx="2260">
                  <c:v>1011321.18</c:v>
                </c:pt>
                <c:pt idx="2261">
                  <c:v>1037687.07</c:v>
                </c:pt>
                <c:pt idx="2262">
                  <c:v>1059676.6200000001</c:v>
                </c:pt>
                <c:pt idx="2263">
                  <c:v>1158708.98</c:v>
                </c:pt>
                <c:pt idx="2264">
                  <c:v>954576.86</c:v>
                </c:pt>
                <c:pt idx="2265">
                  <c:v>979552.34</c:v>
                </c:pt>
                <c:pt idx="2266">
                  <c:v>999785.48</c:v>
                </c:pt>
                <c:pt idx="2267">
                  <c:v>927732.02</c:v>
                </c:pt>
                <c:pt idx="2268">
                  <c:v>954233.87</c:v>
                </c:pt>
                <c:pt idx="2269">
                  <c:v>1132064.23</c:v>
                </c:pt>
                <c:pt idx="2270">
                  <c:v>993311.59</c:v>
                </c:pt>
                <c:pt idx="2271">
                  <c:v>967729.35</c:v>
                </c:pt>
                <c:pt idx="2272">
                  <c:v>1037464.27</c:v>
                </c:pt>
                <c:pt idx="2273">
                  <c:v>1079386.8799999999</c:v>
                </c:pt>
                <c:pt idx="2274">
                  <c:v>1182901.56</c:v>
                </c:pt>
                <c:pt idx="2275">
                  <c:v>1068346.76</c:v>
                </c:pt>
                <c:pt idx="2276">
                  <c:v>1007906.43</c:v>
                </c:pt>
                <c:pt idx="2277">
                  <c:v>1088248.3999999999</c:v>
                </c:pt>
                <c:pt idx="2278">
                  <c:v>1069112</c:v>
                </c:pt>
                <c:pt idx="2279">
                  <c:v>982523.26</c:v>
                </c:pt>
                <c:pt idx="2280">
                  <c:v>1086533.18</c:v>
                </c:pt>
                <c:pt idx="2281">
                  <c:v>1075656.3400000001</c:v>
                </c:pt>
                <c:pt idx="2282">
                  <c:v>1063557.49</c:v>
                </c:pt>
                <c:pt idx="2283">
                  <c:v>1023997.71</c:v>
                </c:pt>
                <c:pt idx="2284">
                  <c:v>1168826.3899999999</c:v>
                </c:pt>
                <c:pt idx="2285">
                  <c:v>1082158.21</c:v>
                </c:pt>
                <c:pt idx="2286">
                  <c:v>1175738.22</c:v>
                </c:pt>
                <c:pt idx="2287">
                  <c:v>1305068.1000000001</c:v>
                </c:pt>
                <c:pt idx="2288">
                  <c:v>1217199.3899999999</c:v>
                </c:pt>
                <c:pt idx="2289">
                  <c:v>1273279.79</c:v>
                </c:pt>
                <c:pt idx="2290">
                  <c:v>1176079.5900000001</c:v>
                </c:pt>
                <c:pt idx="2291">
                  <c:v>1338132.72</c:v>
                </c:pt>
                <c:pt idx="2292">
                  <c:v>1223355.5</c:v>
                </c:pt>
                <c:pt idx="2293">
                  <c:v>1172672.27</c:v>
                </c:pt>
                <c:pt idx="2294">
                  <c:v>1109216.3500000001</c:v>
                </c:pt>
                <c:pt idx="2295">
                  <c:v>1162042.24</c:v>
                </c:pt>
                <c:pt idx="2296">
                  <c:v>1163878.49</c:v>
                </c:pt>
                <c:pt idx="2297">
                  <c:v>1175326.23</c:v>
                </c:pt>
                <c:pt idx="2298">
                  <c:v>1220115.75</c:v>
                </c:pt>
                <c:pt idx="2299">
                  <c:v>1434908.13</c:v>
                </c:pt>
                <c:pt idx="2300">
                  <c:v>1153596.53</c:v>
                </c:pt>
                <c:pt idx="2301">
                  <c:v>1179420.5</c:v>
                </c:pt>
                <c:pt idx="2302">
                  <c:v>1150003.3600000001</c:v>
                </c:pt>
                <c:pt idx="2303">
                  <c:v>1229257.7</c:v>
                </c:pt>
                <c:pt idx="2304">
                  <c:v>1159089.6000000001</c:v>
                </c:pt>
                <c:pt idx="2305">
                  <c:v>1179125.48</c:v>
                </c:pt>
                <c:pt idx="2306">
                  <c:v>1206252.1200000001</c:v>
                </c:pt>
                <c:pt idx="2307">
                  <c:v>1244956.9099999999</c:v>
                </c:pt>
                <c:pt idx="2308">
                  <c:v>1297584.95</c:v>
                </c:pt>
                <c:pt idx="2309">
                  <c:v>1311690.1100000001</c:v>
                </c:pt>
                <c:pt idx="2310">
                  <c:v>1333347.78</c:v>
                </c:pt>
                <c:pt idx="2311">
                  <c:v>1338862.58</c:v>
                </c:pt>
                <c:pt idx="2312">
                  <c:v>1402233.69</c:v>
                </c:pt>
                <c:pt idx="2313">
                  <c:v>1356689.88</c:v>
                </c:pt>
                <c:pt idx="2314">
                  <c:v>1283849.3799999999</c:v>
                </c:pt>
                <c:pt idx="2315">
                  <c:v>1280958.97</c:v>
                </c:pt>
                <c:pt idx="2316">
                  <c:v>1277882.77</c:v>
                </c:pt>
                <c:pt idx="2317">
                  <c:v>1315684.8600000001</c:v>
                </c:pt>
                <c:pt idx="2318">
                  <c:v>1302499.23</c:v>
                </c:pt>
                <c:pt idx="2319">
                  <c:v>1292436.23</c:v>
                </c:pt>
                <c:pt idx="2320">
                  <c:v>1548661.45</c:v>
                </c:pt>
                <c:pt idx="2321">
                  <c:v>1208191.6100000001</c:v>
                </c:pt>
                <c:pt idx="2322">
                  <c:v>1208825.6000000001</c:v>
                </c:pt>
                <c:pt idx="2323">
                  <c:v>1238844.56</c:v>
                </c:pt>
                <c:pt idx="2324">
                  <c:v>1239813.26</c:v>
                </c:pt>
                <c:pt idx="2325">
                  <c:v>1243814.77</c:v>
                </c:pt>
                <c:pt idx="2326">
                  <c:v>1460234.31</c:v>
                </c:pt>
                <c:pt idx="2327">
                  <c:v>1359770.73</c:v>
                </c:pt>
                <c:pt idx="2328">
                  <c:v>1353285.1</c:v>
                </c:pt>
                <c:pt idx="2329">
                  <c:v>1374891.36</c:v>
                </c:pt>
                <c:pt idx="2330">
                  <c:v>1436383.84</c:v>
                </c:pt>
                <c:pt idx="2331">
                  <c:v>1456300.89</c:v>
                </c:pt>
                <c:pt idx="2332">
                  <c:v>1439607.35</c:v>
                </c:pt>
                <c:pt idx="2333">
                  <c:v>1504545.94</c:v>
                </c:pt>
                <c:pt idx="2334">
                  <c:v>1392143.82</c:v>
                </c:pt>
                <c:pt idx="2335">
                  <c:v>1400160.95</c:v>
                </c:pt>
                <c:pt idx="2336">
                  <c:v>1409544.97</c:v>
                </c:pt>
                <c:pt idx="2337">
                  <c:v>543384.01</c:v>
                </c:pt>
                <c:pt idx="2338">
                  <c:v>575709.96</c:v>
                </c:pt>
                <c:pt idx="2339">
                  <c:v>554972.42000000004</c:v>
                </c:pt>
                <c:pt idx="2340">
                  <c:v>588363.62</c:v>
                </c:pt>
                <c:pt idx="2341">
                  <c:v>505907.41</c:v>
                </c:pt>
                <c:pt idx="2342">
                  <c:v>582552.26</c:v>
                </c:pt>
                <c:pt idx="2343">
                  <c:v>582846.22</c:v>
                </c:pt>
                <c:pt idx="2344">
                  <c:v>556046.12</c:v>
                </c:pt>
                <c:pt idx="2345">
                  <c:v>607218.6</c:v>
                </c:pt>
                <c:pt idx="2346">
                  <c:v>507168.8</c:v>
                </c:pt>
                <c:pt idx="2347">
                  <c:v>570069.48</c:v>
                </c:pt>
                <c:pt idx="2348">
                  <c:v>579544.21</c:v>
                </c:pt>
                <c:pt idx="2349">
                  <c:v>524658.06000000006</c:v>
                </c:pt>
                <c:pt idx="2350">
                  <c:v>589091.04</c:v>
                </c:pt>
                <c:pt idx="2351">
                  <c:v>481523.93</c:v>
                </c:pt>
                <c:pt idx="2352">
                  <c:v>599759.44999999995</c:v>
                </c:pt>
                <c:pt idx="2353">
                  <c:v>565390.4</c:v>
                </c:pt>
                <c:pt idx="2354">
                  <c:v>588592.61</c:v>
                </c:pt>
                <c:pt idx="2355">
                  <c:v>500250.8</c:v>
                </c:pt>
                <c:pt idx="2356">
                  <c:v>585175.24</c:v>
                </c:pt>
                <c:pt idx="2357">
                  <c:v>592947.75</c:v>
                </c:pt>
                <c:pt idx="2358">
                  <c:v>586886.16</c:v>
                </c:pt>
                <c:pt idx="2359">
                  <c:v>628063.88</c:v>
                </c:pt>
                <c:pt idx="2360">
                  <c:v>570879.04</c:v>
                </c:pt>
                <c:pt idx="2361">
                  <c:v>607294.56000000006</c:v>
                </c:pt>
                <c:pt idx="2362">
                  <c:v>508432.17</c:v>
                </c:pt>
                <c:pt idx="2363">
                  <c:v>620087.35</c:v>
                </c:pt>
                <c:pt idx="2364">
                  <c:v>612337.35</c:v>
                </c:pt>
                <c:pt idx="2365">
                  <c:v>545109.30000000005</c:v>
                </c:pt>
                <c:pt idx="2366">
                  <c:v>616701.99</c:v>
                </c:pt>
                <c:pt idx="2367">
                  <c:v>506343.83</c:v>
                </c:pt>
                <c:pt idx="2368">
                  <c:v>593234.27</c:v>
                </c:pt>
                <c:pt idx="2369">
                  <c:v>572603.32999999996</c:v>
                </c:pt>
                <c:pt idx="2370">
                  <c:v>603147.26</c:v>
                </c:pt>
                <c:pt idx="2371">
                  <c:v>537124.76</c:v>
                </c:pt>
                <c:pt idx="2372">
                  <c:v>608390.93999999994</c:v>
                </c:pt>
                <c:pt idx="2373">
                  <c:v>649111.23</c:v>
                </c:pt>
                <c:pt idx="2374">
                  <c:v>597667.21</c:v>
                </c:pt>
                <c:pt idx="2375">
                  <c:v>643125.29</c:v>
                </c:pt>
                <c:pt idx="2376">
                  <c:v>511883.36</c:v>
                </c:pt>
                <c:pt idx="2377">
                  <c:v>619133.48</c:v>
                </c:pt>
                <c:pt idx="2378">
                  <c:v>636372.37</c:v>
                </c:pt>
                <c:pt idx="2379">
                  <c:v>588448.21</c:v>
                </c:pt>
                <c:pt idx="2380">
                  <c:v>674919.45</c:v>
                </c:pt>
                <c:pt idx="2381">
                  <c:v>585895.34</c:v>
                </c:pt>
                <c:pt idx="2382">
                  <c:v>659816.15</c:v>
                </c:pt>
                <c:pt idx="2383">
                  <c:v>652312.11</c:v>
                </c:pt>
                <c:pt idx="2384">
                  <c:v>609274.89</c:v>
                </c:pt>
                <c:pt idx="2385">
                  <c:v>643603.68999999994</c:v>
                </c:pt>
                <c:pt idx="2386">
                  <c:v>521953.78</c:v>
                </c:pt>
                <c:pt idx="2387">
                  <c:v>642671.48</c:v>
                </c:pt>
                <c:pt idx="2388">
                  <c:v>618702.09</c:v>
                </c:pt>
                <c:pt idx="2389">
                  <c:v>573084.71</c:v>
                </c:pt>
                <c:pt idx="2390">
                  <c:v>576620.31000000006</c:v>
                </c:pt>
                <c:pt idx="2391">
                  <c:v>617405.35</c:v>
                </c:pt>
                <c:pt idx="2392">
                  <c:v>593162.53</c:v>
                </c:pt>
                <c:pt idx="2393">
                  <c:v>612379.9</c:v>
                </c:pt>
                <c:pt idx="2394">
                  <c:v>647029.28</c:v>
                </c:pt>
                <c:pt idx="2395">
                  <c:v>682918.99</c:v>
                </c:pt>
                <c:pt idx="2396">
                  <c:v>658600.05000000005</c:v>
                </c:pt>
                <c:pt idx="2397">
                  <c:v>645386.93999999994</c:v>
                </c:pt>
                <c:pt idx="2398">
                  <c:v>650102.80000000005</c:v>
                </c:pt>
                <c:pt idx="2399">
                  <c:v>693058.34</c:v>
                </c:pt>
                <c:pt idx="2400">
                  <c:v>691498.6</c:v>
                </c:pt>
                <c:pt idx="2401">
                  <c:v>682012.53</c:v>
                </c:pt>
                <c:pt idx="2402">
                  <c:v>684023.95</c:v>
                </c:pt>
                <c:pt idx="2403">
                  <c:v>667353.79</c:v>
                </c:pt>
                <c:pt idx="2404">
                  <c:v>718748.33</c:v>
                </c:pt>
                <c:pt idx="2405">
                  <c:v>698536.06</c:v>
                </c:pt>
                <c:pt idx="2406">
                  <c:v>689326.91</c:v>
                </c:pt>
                <c:pt idx="2407">
                  <c:v>722120.04</c:v>
                </c:pt>
                <c:pt idx="2408">
                  <c:v>657108.77</c:v>
                </c:pt>
                <c:pt idx="2409">
                  <c:v>713332.54</c:v>
                </c:pt>
                <c:pt idx="2410">
                  <c:v>605960.19999999995</c:v>
                </c:pt>
                <c:pt idx="2411">
                  <c:v>595421.23</c:v>
                </c:pt>
                <c:pt idx="2412">
                  <c:v>557543.62</c:v>
                </c:pt>
                <c:pt idx="2413">
                  <c:v>598679.02</c:v>
                </c:pt>
                <c:pt idx="2414">
                  <c:v>611796.61</c:v>
                </c:pt>
                <c:pt idx="2415">
                  <c:v>651521.77</c:v>
                </c:pt>
                <c:pt idx="2416">
                  <c:v>635650.98</c:v>
                </c:pt>
                <c:pt idx="2417">
                  <c:v>616345.25</c:v>
                </c:pt>
                <c:pt idx="2418">
                  <c:v>629026.75</c:v>
                </c:pt>
                <c:pt idx="2419">
                  <c:v>611585.54</c:v>
                </c:pt>
                <c:pt idx="2420">
                  <c:v>650418.75</c:v>
                </c:pt>
                <c:pt idx="2421">
                  <c:v>649148.74</c:v>
                </c:pt>
                <c:pt idx="2422">
                  <c:v>630972.15</c:v>
                </c:pt>
                <c:pt idx="2423">
                  <c:v>643041.71</c:v>
                </c:pt>
                <c:pt idx="2424">
                  <c:v>586781.78</c:v>
                </c:pt>
                <c:pt idx="2425">
                  <c:v>651147.82999999996</c:v>
                </c:pt>
                <c:pt idx="2426">
                  <c:v>605956.59</c:v>
                </c:pt>
                <c:pt idx="2427">
                  <c:v>595626.56000000006</c:v>
                </c:pt>
                <c:pt idx="2428">
                  <c:v>594224.9</c:v>
                </c:pt>
                <c:pt idx="2429">
                  <c:v>649128.23</c:v>
                </c:pt>
                <c:pt idx="2430">
                  <c:v>642828.62</c:v>
                </c:pt>
                <c:pt idx="2431">
                  <c:v>641905.37</c:v>
                </c:pt>
                <c:pt idx="2432">
                  <c:v>615975.5</c:v>
                </c:pt>
                <c:pt idx="2433">
                  <c:v>585028.26</c:v>
                </c:pt>
                <c:pt idx="2434">
                  <c:v>617898.06999999995</c:v>
                </c:pt>
                <c:pt idx="2435">
                  <c:v>670993.01</c:v>
                </c:pt>
                <c:pt idx="2436">
                  <c:v>629176.71</c:v>
                </c:pt>
                <c:pt idx="2437">
                  <c:v>662198.65</c:v>
                </c:pt>
                <c:pt idx="2438">
                  <c:v>693249.98</c:v>
                </c:pt>
                <c:pt idx="2439">
                  <c:v>636677.67000000004</c:v>
                </c:pt>
                <c:pt idx="2440">
                  <c:v>658468.27</c:v>
                </c:pt>
                <c:pt idx="2441">
                  <c:v>637964.19999999995</c:v>
                </c:pt>
                <c:pt idx="2442">
                  <c:v>640159.04</c:v>
                </c:pt>
                <c:pt idx="2443">
                  <c:v>605078.62</c:v>
                </c:pt>
                <c:pt idx="2444">
                  <c:v>643032.51</c:v>
                </c:pt>
                <c:pt idx="2445">
                  <c:v>645618.59</c:v>
                </c:pt>
                <c:pt idx="2446">
                  <c:v>614378.93999999994</c:v>
                </c:pt>
                <c:pt idx="2447">
                  <c:v>643558.78</c:v>
                </c:pt>
                <c:pt idx="2448">
                  <c:v>663814.18000000005</c:v>
                </c:pt>
                <c:pt idx="2449">
                  <c:v>642614.89</c:v>
                </c:pt>
                <c:pt idx="2450">
                  <c:v>619369.72</c:v>
                </c:pt>
                <c:pt idx="2451">
                  <c:v>281090.95</c:v>
                </c:pt>
                <c:pt idx="2452">
                  <c:v>286857.13</c:v>
                </c:pt>
                <c:pt idx="2453">
                  <c:v>284617.27</c:v>
                </c:pt>
                <c:pt idx="2454">
                  <c:v>272190.83</c:v>
                </c:pt>
                <c:pt idx="2455">
                  <c:v>286197.5</c:v>
                </c:pt>
                <c:pt idx="2456">
                  <c:v>257361.3</c:v>
                </c:pt>
                <c:pt idx="2457">
                  <c:v>285379.86</c:v>
                </c:pt>
                <c:pt idx="2458">
                  <c:v>282351.82</c:v>
                </c:pt>
                <c:pt idx="2459">
                  <c:v>296818.2</c:v>
                </c:pt>
                <c:pt idx="2460">
                  <c:v>300628.19</c:v>
                </c:pt>
                <c:pt idx="2461">
                  <c:v>280472.78000000003</c:v>
                </c:pt>
                <c:pt idx="2462">
                  <c:v>296804.49</c:v>
                </c:pt>
                <c:pt idx="2463">
                  <c:v>295880.12</c:v>
                </c:pt>
                <c:pt idx="2464">
                  <c:v>283455.13</c:v>
                </c:pt>
                <c:pt idx="2465">
                  <c:v>300152.45</c:v>
                </c:pt>
                <c:pt idx="2466">
                  <c:v>279524.44</c:v>
                </c:pt>
                <c:pt idx="2467">
                  <c:v>270516.84000000003</c:v>
                </c:pt>
                <c:pt idx="2468">
                  <c:v>281909.78999999998</c:v>
                </c:pt>
                <c:pt idx="2469">
                  <c:v>264214.12</c:v>
                </c:pt>
                <c:pt idx="2470">
                  <c:v>278253.28000000003</c:v>
                </c:pt>
                <c:pt idx="2471">
                  <c:v>288320.38</c:v>
                </c:pt>
                <c:pt idx="2472">
                  <c:v>293953.08</c:v>
                </c:pt>
                <c:pt idx="2473">
                  <c:v>307486.73</c:v>
                </c:pt>
                <c:pt idx="2474">
                  <c:v>293984.53999999998</c:v>
                </c:pt>
                <c:pt idx="2475">
                  <c:v>284496.14</c:v>
                </c:pt>
                <c:pt idx="2476">
                  <c:v>281514.26</c:v>
                </c:pt>
                <c:pt idx="2477">
                  <c:v>292498.61</c:v>
                </c:pt>
                <c:pt idx="2478">
                  <c:v>299354.67</c:v>
                </c:pt>
                <c:pt idx="2479">
                  <c:v>308950.03999999998</c:v>
                </c:pt>
                <c:pt idx="2480">
                  <c:v>308770.42</c:v>
                </c:pt>
                <c:pt idx="2481">
                  <c:v>315273.08</c:v>
                </c:pt>
                <c:pt idx="2482">
                  <c:v>295339.01</c:v>
                </c:pt>
                <c:pt idx="2483">
                  <c:v>298080.45</c:v>
                </c:pt>
                <c:pt idx="2484">
                  <c:v>290399.65999999997</c:v>
                </c:pt>
                <c:pt idx="2485">
                  <c:v>309543.52</c:v>
                </c:pt>
                <c:pt idx="2486">
                  <c:v>295811.25</c:v>
                </c:pt>
                <c:pt idx="2487">
                  <c:v>312577.36</c:v>
                </c:pt>
                <c:pt idx="2488">
                  <c:v>307126.34000000003</c:v>
                </c:pt>
                <c:pt idx="2489">
                  <c:v>312233.56</c:v>
                </c:pt>
                <c:pt idx="2490">
                  <c:v>284309.34000000003</c:v>
                </c:pt>
                <c:pt idx="2491">
                  <c:v>304300.90999999997</c:v>
                </c:pt>
                <c:pt idx="2492">
                  <c:v>325327.93</c:v>
                </c:pt>
                <c:pt idx="2493">
                  <c:v>325986.05</c:v>
                </c:pt>
                <c:pt idx="2494">
                  <c:v>325377.96999999997</c:v>
                </c:pt>
                <c:pt idx="2495">
                  <c:v>316687.21999999997</c:v>
                </c:pt>
                <c:pt idx="2496">
                  <c:v>303438.24</c:v>
                </c:pt>
                <c:pt idx="2497">
                  <c:v>320021.09999999998</c:v>
                </c:pt>
                <c:pt idx="2498">
                  <c:v>326053.28000000003</c:v>
                </c:pt>
                <c:pt idx="2499">
                  <c:v>341381.08</c:v>
                </c:pt>
                <c:pt idx="2500">
                  <c:v>323410.94</c:v>
                </c:pt>
                <c:pt idx="2501">
                  <c:v>340238.38</c:v>
                </c:pt>
                <c:pt idx="2502">
                  <c:v>358461.58</c:v>
                </c:pt>
                <c:pt idx="2503">
                  <c:v>342385.38</c:v>
                </c:pt>
                <c:pt idx="2504">
                  <c:v>333594.81</c:v>
                </c:pt>
                <c:pt idx="2505">
                  <c:v>338737.33</c:v>
                </c:pt>
                <c:pt idx="2506">
                  <c:v>337390.44</c:v>
                </c:pt>
                <c:pt idx="2507">
                  <c:v>337796.13</c:v>
                </c:pt>
                <c:pt idx="2508">
                  <c:v>890689.51</c:v>
                </c:pt>
                <c:pt idx="2509">
                  <c:v>656988.64</c:v>
                </c:pt>
                <c:pt idx="2510">
                  <c:v>777951.22</c:v>
                </c:pt>
                <c:pt idx="2511">
                  <c:v>765687.42</c:v>
                </c:pt>
                <c:pt idx="2512">
                  <c:v>877235.96</c:v>
                </c:pt>
                <c:pt idx="2513">
                  <c:v>833782.7</c:v>
                </c:pt>
                <c:pt idx="2514">
                  <c:v>812190.76</c:v>
                </c:pt>
                <c:pt idx="2515">
                  <c:v>837548.62</c:v>
                </c:pt>
                <c:pt idx="2516">
                  <c:v>794698.77</c:v>
                </c:pt>
                <c:pt idx="2517">
                  <c:v>800147.84</c:v>
                </c:pt>
                <c:pt idx="2518">
                  <c:v>787062</c:v>
                </c:pt>
                <c:pt idx="2519">
                  <c:v>746517.32</c:v>
                </c:pt>
                <c:pt idx="2520">
                  <c:v>790144.7</c:v>
                </c:pt>
                <c:pt idx="2521">
                  <c:v>721460.22</c:v>
                </c:pt>
                <c:pt idx="2522">
                  <c:v>690007.76</c:v>
                </c:pt>
                <c:pt idx="2523">
                  <c:v>745782.1</c:v>
                </c:pt>
                <c:pt idx="2524">
                  <c:v>764014.06</c:v>
                </c:pt>
                <c:pt idx="2525">
                  <c:v>765648.93</c:v>
                </c:pt>
                <c:pt idx="2526">
                  <c:v>879244.9</c:v>
                </c:pt>
                <c:pt idx="2527">
                  <c:v>1002364.34</c:v>
                </c:pt>
                <c:pt idx="2528">
                  <c:v>680254.35</c:v>
                </c:pt>
                <c:pt idx="2529">
                  <c:v>759442.33</c:v>
                </c:pt>
                <c:pt idx="2530">
                  <c:v>766456</c:v>
                </c:pt>
                <c:pt idx="2531">
                  <c:v>761880.36</c:v>
                </c:pt>
                <c:pt idx="2532">
                  <c:v>714014.73</c:v>
                </c:pt>
                <c:pt idx="2533">
                  <c:v>712425.76</c:v>
                </c:pt>
                <c:pt idx="2534">
                  <c:v>750182.71</c:v>
                </c:pt>
                <c:pt idx="2535">
                  <c:v>810150.64</c:v>
                </c:pt>
                <c:pt idx="2536">
                  <c:v>877423.45</c:v>
                </c:pt>
                <c:pt idx="2537">
                  <c:v>814395.17</c:v>
                </c:pt>
                <c:pt idx="2538">
                  <c:v>791495.25</c:v>
                </c:pt>
                <c:pt idx="2539">
                  <c:v>768718.11</c:v>
                </c:pt>
                <c:pt idx="2540">
                  <c:v>765996.92</c:v>
                </c:pt>
                <c:pt idx="2541">
                  <c:v>724180.89</c:v>
                </c:pt>
                <c:pt idx="2542">
                  <c:v>726482.39</c:v>
                </c:pt>
                <c:pt idx="2543">
                  <c:v>746129.56</c:v>
                </c:pt>
                <c:pt idx="2544">
                  <c:v>753447.05</c:v>
                </c:pt>
                <c:pt idx="2545">
                  <c:v>833429.22</c:v>
                </c:pt>
                <c:pt idx="2546">
                  <c:v>808624.82</c:v>
                </c:pt>
                <c:pt idx="2547">
                  <c:v>875699.81</c:v>
                </c:pt>
                <c:pt idx="2548">
                  <c:v>957155.31</c:v>
                </c:pt>
                <c:pt idx="2549">
                  <c:v>714081.05</c:v>
                </c:pt>
                <c:pt idx="2550">
                  <c:v>757330.95</c:v>
                </c:pt>
                <c:pt idx="2551">
                  <c:v>803657.12</c:v>
                </c:pt>
                <c:pt idx="2552">
                  <c:v>782796.01</c:v>
                </c:pt>
                <c:pt idx="2553">
                  <c:v>776968.87</c:v>
                </c:pt>
                <c:pt idx="2554">
                  <c:v>899479.43</c:v>
                </c:pt>
                <c:pt idx="2555">
                  <c:v>782300.68</c:v>
                </c:pt>
                <c:pt idx="2556">
                  <c:v>770487.37</c:v>
                </c:pt>
                <c:pt idx="2557">
                  <c:v>837144.63</c:v>
                </c:pt>
                <c:pt idx="2558">
                  <c:v>795133</c:v>
                </c:pt>
                <c:pt idx="2559">
                  <c:v>843361.1</c:v>
                </c:pt>
                <c:pt idx="2560">
                  <c:v>725729.51</c:v>
                </c:pt>
                <c:pt idx="2561">
                  <c:v>733037.32</c:v>
                </c:pt>
                <c:pt idx="2562">
                  <c:v>766512.66</c:v>
                </c:pt>
                <c:pt idx="2563">
                  <c:v>733455.07</c:v>
                </c:pt>
                <c:pt idx="2564">
                  <c:v>734464.36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C-40D3-99B9-0DADAE603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346367"/>
        <c:axId val="626175328"/>
      </c:scatterChart>
      <c:valAx>
        <c:axId val="1017346367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175328"/>
        <c:crosses val="autoZero"/>
        <c:crossBetween val="midCat"/>
      </c:valAx>
      <c:valAx>
        <c:axId val="6261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34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Vendas 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Diagnóstica!$AD$1</c:f>
              <c:strCache>
                <c:ptCount val="1"/>
                <c:pt idx="0">
                  <c:v>Soma de Weekly_Sales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trendline>
            <c:spPr>
              <a:ln w="47625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Diagnóstica!$AC$2:$AC$4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Diagnóstica!$AD$2:$AD$4</c:f>
              <c:numCache>
                <c:formatCode>"R$"\ #,##0.00</c:formatCode>
                <c:ptCount val="3"/>
                <c:pt idx="0">
                  <c:v>957867839.53000093</c:v>
                </c:pt>
                <c:pt idx="1">
                  <c:v>991658991.79999995</c:v>
                </c:pt>
                <c:pt idx="2">
                  <c:v>769044726.67999995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D-448B-8057-54E6F0C1D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723135"/>
        <c:axId val="111723615"/>
      </c:barChart>
      <c:catAx>
        <c:axId val="1117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3615"/>
        <c:crosses val="autoZero"/>
        <c:auto val="1"/>
        <c:lblAlgn val="ctr"/>
        <c:lblOffset val="100"/>
        <c:noMultiLvlLbl val="0"/>
      </c:catAx>
      <c:valAx>
        <c:axId val="11172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Diagnóstica!$AC$8:$AC$19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Diagnóstica!$AD$8:$AD$19</c:f>
              <c:numCache>
                <c:formatCode>"R$"\ #,##0.00</c:formatCode>
                <c:ptCount val="12"/>
                <c:pt idx="0">
                  <c:v>181559036.28000015</c:v>
                </c:pt>
                <c:pt idx="1">
                  <c:v>240969530.48999986</c:v>
                </c:pt>
                <c:pt idx="2">
                  <c:v>239446787.31999996</c:v>
                </c:pt>
                <c:pt idx="3">
                  <c:v>239102000.21000001</c:v>
                </c:pt>
                <c:pt idx="4">
                  <c:v>237986298.96999991</c:v>
                </c:pt>
                <c:pt idx="5">
                  <c:v>244777717.1100001</c:v>
                </c:pt>
                <c:pt idx="6">
                  <c:v>186820778.95999998</c:v>
                </c:pt>
                <c:pt idx="7">
                  <c:v>188500876.59000003</c:v>
                </c:pt>
                <c:pt idx="8">
                  <c:v>245069649.15000004</c:v>
                </c:pt>
                <c:pt idx="9">
                  <c:v>246383761.85000005</c:v>
                </c:pt>
                <c:pt idx="10">
                  <c:v>235190162.64999986</c:v>
                </c:pt>
                <c:pt idx="11">
                  <c:v>232764958.4299998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B-451B-9B8C-1394A62DA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42815"/>
        <c:axId val="122539455"/>
      </c:lineChart>
      <c:catAx>
        <c:axId val="1225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39455"/>
        <c:crosses val="autoZero"/>
        <c:auto val="1"/>
        <c:lblAlgn val="ctr"/>
        <c:lblOffset val="100"/>
        <c:noMultiLvlLbl val="0"/>
      </c:catAx>
      <c:valAx>
        <c:axId val="1225394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4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Vendas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Diagnóstica!$AC$25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Diagnóstica!$AD$25</c:f>
              <c:numCache>
                <c:formatCode>"R$"\ #,##0.00</c:formatCode>
                <c:ptCount val="1"/>
                <c:pt idx="0">
                  <c:v>91305173.030000016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E-4B32-A401-D4E8198F4EDA}"/>
            </c:ext>
          </c:extLst>
        </c:ser>
        <c:ser>
          <c:idx val="1"/>
          <c:order val="1"/>
          <c:tx>
            <c:strRef>
              <c:f>Diagnóstica!$AC$26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Diagnóstica!$AD$26</c:f>
              <c:numCache>
                <c:formatCode>"R$"\ #,##0.00</c:formatCode>
                <c:ptCount val="1"/>
                <c:pt idx="0">
                  <c:v>111261408.29000002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E-4B32-A401-D4E8198F4EDA}"/>
            </c:ext>
          </c:extLst>
        </c:ser>
        <c:ser>
          <c:idx val="2"/>
          <c:order val="2"/>
          <c:tx>
            <c:strRef>
              <c:f>Diagnóstica!$AC$27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Diagnóstica!$AD$27</c:f>
              <c:numCache>
                <c:formatCode>"R$"\ #,##0.00</c:formatCode>
                <c:ptCount val="1"/>
                <c:pt idx="0">
                  <c:v>23548991.5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EE-4B32-A401-D4E8198F4EDA}"/>
            </c:ext>
          </c:extLst>
        </c:ser>
        <c:ser>
          <c:idx val="3"/>
          <c:order val="3"/>
          <c:tx>
            <c:strRef>
              <c:f>Diagnóstica!$AC$28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Diagnóstica!$AD$28</c:f>
              <c:numCache>
                <c:formatCode>"R$"\ #,##0.00</c:formatCode>
                <c:ptCount val="1"/>
                <c:pt idx="0">
                  <c:v>119047758.56999999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EE-4B32-A401-D4E8198F4EDA}"/>
            </c:ext>
          </c:extLst>
        </c:ser>
        <c:ser>
          <c:idx val="4"/>
          <c:order val="4"/>
          <c:tx>
            <c:strRef>
              <c:f>Diagnóstica!$AC$29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Diagnóstica!$AD$29</c:f>
              <c:numCache>
                <c:formatCode>"R$"\ #,##0.00</c:formatCode>
                <c:ptCount val="1"/>
                <c:pt idx="0">
                  <c:v>18493210.620000001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EE-4B32-A401-D4E8198F4EDA}"/>
            </c:ext>
          </c:extLst>
        </c:ser>
        <c:ser>
          <c:idx val="5"/>
          <c:order val="5"/>
          <c:tx>
            <c:strRef>
              <c:f>Diagnóstica!$AC$30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Diagnóstica!$AD$30</c:f>
              <c:numCache>
                <c:formatCode>"R$"\ #,##0.00</c:formatCode>
                <c:ptCount val="1"/>
                <c:pt idx="0">
                  <c:v>90568529.220000044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EE-4B32-A401-D4E8198F4EDA}"/>
            </c:ext>
          </c:extLst>
        </c:ser>
        <c:ser>
          <c:idx val="6"/>
          <c:order val="6"/>
          <c:tx>
            <c:strRef>
              <c:f>Diagnóstica!$AC$31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Diagnóstica!$AD$31</c:f>
              <c:numCache>
                <c:formatCode>"R$"\ #,##0.00</c:formatCode>
                <c:ptCount val="1"/>
                <c:pt idx="0">
                  <c:v>32341729.079999994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EE-4B32-A401-D4E8198F4EDA}"/>
            </c:ext>
          </c:extLst>
        </c:ser>
        <c:ser>
          <c:idx val="7"/>
          <c:order val="7"/>
          <c:tx>
            <c:strRef>
              <c:f>Diagnóstica!$AC$32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Diagnóstica!$AD$32</c:f>
              <c:numCache>
                <c:formatCode>"R$"\ #,##0.00</c:formatCode>
                <c:ptCount val="1"/>
                <c:pt idx="0">
                  <c:v>52619595.950000003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EE-4B32-A401-D4E8198F4EDA}"/>
            </c:ext>
          </c:extLst>
        </c:ser>
        <c:ser>
          <c:idx val="8"/>
          <c:order val="8"/>
          <c:tx>
            <c:strRef>
              <c:f>Diagnóstica!$AC$33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Diagnóstica!$AD$33</c:f>
              <c:numCache>
                <c:formatCode>"R$"\ #,##0.00</c:formatCode>
                <c:ptCount val="1"/>
                <c:pt idx="0">
                  <c:v>31487839.230000004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EE-4B32-A401-D4E8198F4EDA}"/>
            </c:ext>
          </c:extLst>
        </c:ser>
        <c:ser>
          <c:idx val="9"/>
          <c:order val="9"/>
          <c:tx>
            <c:strRef>
              <c:f>Diagnóstica!$AC$34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Diagnóstica!$AD$34</c:f>
              <c:numCache>
                <c:formatCode>"R$"\ #,##0.00</c:formatCode>
                <c:ptCount val="1"/>
                <c:pt idx="0">
                  <c:v>108599830.23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EE-4B32-A401-D4E8198F4EDA}"/>
            </c:ext>
          </c:extLst>
        </c:ser>
        <c:ser>
          <c:idx val="10"/>
          <c:order val="10"/>
          <c:tx>
            <c:strRef>
              <c:f>Diagnóstica!$AC$35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Diagnóstica!$AD$35</c:f>
              <c:numCache>
                <c:formatCode>"R$"\ #,##0.00</c:formatCode>
                <c:ptCount val="1"/>
                <c:pt idx="0">
                  <c:v>78231038.799999997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EE-4B32-A401-D4E8198F4EDA}"/>
            </c:ext>
          </c:extLst>
        </c:ser>
        <c:ser>
          <c:idx val="11"/>
          <c:order val="11"/>
          <c:tx>
            <c:strRef>
              <c:f>Diagnóstica!$AC$36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Diagnóstica!$AD$36</c:f>
              <c:numCache>
                <c:formatCode>"R$"\ #,##0.00</c:formatCode>
                <c:ptCount val="1"/>
                <c:pt idx="0">
                  <c:v>58024045.580000006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2EE-4B32-A401-D4E8198F4EDA}"/>
            </c:ext>
          </c:extLst>
        </c:ser>
        <c:ser>
          <c:idx val="12"/>
          <c:order val="12"/>
          <c:tx>
            <c:strRef>
              <c:f>Diagnóstica!$AC$37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Diagnóstica!$AD$37</c:f>
              <c:numCache>
                <c:formatCode>"R$"\ #,##0.00</c:formatCode>
                <c:ptCount val="1"/>
                <c:pt idx="0">
                  <c:v>113895600.75000001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EE-4B32-A401-D4E8198F4EDA}"/>
            </c:ext>
          </c:extLst>
        </c:ser>
        <c:ser>
          <c:idx val="13"/>
          <c:order val="13"/>
          <c:tx>
            <c:strRef>
              <c:f>Diagnóstica!$AC$38</c:f>
              <c:strCache>
                <c:ptCount val="1"/>
                <c:pt idx="0">
                  <c:v>14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Diagnóstica!$AD$38</c:f>
              <c:numCache>
                <c:formatCode>"R$"\ #,##0.00</c:formatCode>
                <c:ptCount val="1"/>
                <c:pt idx="0">
                  <c:v>118285799.76999997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2EE-4B32-A401-D4E8198F4EDA}"/>
            </c:ext>
          </c:extLst>
        </c:ser>
        <c:ser>
          <c:idx val="14"/>
          <c:order val="14"/>
          <c:tx>
            <c:strRef>
              <c:f>Diagnóstica!$AC$39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Diagnóstica!$AD$39</c:f>
              <c:numCache>
                <c:formatCode>"R$"\ #,##0.00</c:formatCode>
                <c:ptCount val="1"/>
                <c:pt idx="0">
                  <c:v>35503840.100000009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2EE-4B32-A401-D4E8198F4EDA}"/>
            </c:ext>
          </c:extLst>
        </c:ser>
        <c:ser>
          <c:idx val="15"/>
          <c:order val="15"/>
          <c:tx>
            <c:strRef>
              <c:f>Diagnóstica!$AC$40</c:f>
              <c:strCache>
                <c:ptCount val="1"/>
                <c:pt idx="0">
                  <c:v>16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Diagnóstica!$AD$40</c:f>
              <c:numCache>
                <c:formatCode>"R$"\ #,##0.00</c:formatCode>
                <c:ptCount val="1"/>
                <c:pt idx="0">
                  <c:v>29374670.950000003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2EE-4B32-A401-D4E8198F4EDA}"/>
            </c:ext>
          </c:extLst>
        </c:ser>
        <c:ser>
          <c:idx val="16"/>
          <c:order val="16"/>
          <c:tx>
            <c:strRef>
              <c:f>Diagnóstica!$AC$41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Diagnóstica!$AD$41</c:f>
              <c:numCache>
                <c:formatCode>"R$"\ #,##0.00</c:formatCode>
                <c:ptCount val="1"/>
                <c:pt idx="0">
                  <c:v>51347414.190000005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2EE-4B32-A401-D4E8198F4EDA}"/>
            </c:ext>
          </c:extLst>
        </c:ser>
        <c:ser>
          <c:idx val="17"/>
          <c:order val="17"/>
          <c:tx>
            <c:strRef>
              <c:f>Diagnóstica!$AC$42</c:f>
              <c:strCache>
                <c:ptCount val="1"/>
                <c:pt idx="0">
                  <c:v>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Diagnóstica!$AD$42</c:f>
              <c:numCache>
                <c:formatCode>"R$"\ #,##0.00</c:formatCode>
                <c:ptCount val="1"/>
                <c:pt idx="0">
                  <c:v>62482538.569999993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2EE-4B32-A401-D4E8198F4EDA}"/>
            </c:ext>
          </c:extLst>
        </c:ser>
        <c:ser>
          <c:idx val="18"/>
          <c:order val="18"/>
          <c:tx>
            <c:strRef>
              <c:f>Diagnóstica!$AC$43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Diagnóstica!$AD$43</c:f>
              <c:numCache>
                <c:formatCode>"R$"\ #,##0.00</c:formatCode>
                <c:ptCount val="1"/>
                <c:pt idx="0">
                  <c:v>83715436.999999985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2EE-4B32-A401-D4E8198F4EDA}"/>
            </c:ext>
          </c:extLst>
        </c:ser>
        <c:ser>
          <c:idx val="19"/>
          <c:order val="19"/>
          <c:tx>
            <c:strRef>
              <c:f>Diagnóstica!$AC$44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Diagnóstica!$AD$44</c:f>
              <c:numCache>
                <c:formatCode>"R$"\ #,##0.00</c:formatCode>
                <c:ptCount val="1"/>
                <c:pt idx="0">
                  <c:v>123654115.52000001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2EE-4B32-A401-D4E8198F4EDA}"/>
            </c:ext>
          </c:extLst>
        </c:ser>
        <c:ser>
          <c:idx val="20"/>
          <c:order val="20"/>
          <c:tx>
            <c:strRef>
              <c:f>Diagnóstica!$AC$45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Diagnóstica!$AD$45</c:f>
              <c:numCache>
                <c:formatCode>"R$"\ #,##0.00</c:formatCode>
                <c:ptCount val="1"/>
                <c:pt idx="0">
                  <c:v>41859207.719999991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2EE-4B32-A401-D4E8198F4EDA}"/>
            </c:ext>
          </c:extLst>
        </c:ser>
        <c:ser>
          <c:idx val="21"/>
          <c:order val="21"/>
          <c:tx>
            <c:strRef>
              <c:f>Diagnóstica!$AC$46</c:f>
              <c:strCache>
                <c:ptCount val="1"/>
                <c:pt idx="0">
                  <c:v>22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Diagnóstica!$AD$46</c:f>
              <c:numCache>
                <c:formatCode>"R$"\ #,##0.00</c:formatCode>
                <c:ptCount val="1"/>
                <c:pt idx="0">
                  <c:v>59076630.18999999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2EE-4B32-A401-D4E8198F4EDA}"/>
            </c:ext>
          </c:extLst>
        </c:ser>
        <c:ser>
          <c:idx val="22"/>
          <c:order val="22"/>
          <c:tx>
            <c:strRef>
              <c:f>Diagnóstica!$AC$47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Diagnóstica!$AD$47</c:f>
              <c:numCache>
                <c:formatCode>"R$"\ #,##0.00</c:formatCode>
                <c:ptCount val="1"/>
                <c:pt idx="0">
                  <c:v>79390179.800000027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2EE-4B32-A401-D4E8198F4EDA}"/>
            </c:ext>
          </c:extLst>
        </c:ser>
        <c:ser>
          <c:idx val="23"/>
          <c:order val="23"/>
          <c:tx>
            <c:strRef>
              <c:f>Diagnóstica!$AC$48</c:f>
              <c:strCache>
                <c:ptCount val="1"/>
                <c:pt idx="0">
                  <c:v>24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Diagnóstica!$AD$48</c:f>
              <c:numCache>
                <c:formatCode>"R$"\ #,##0.00</c:formatCode>
                <c:ptCount val="1"/>
                <c:pt idx="0">
                  <c:v>79516727.180000007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2EE-4B32-A401-D4E8198F4EDA}"/>
            </c:ext>
          </c:extLst>
        </c:ser>
        <c:ser>
          <c:idx val="24"/>
          <c:order val="24"/>
          <c:tx>
            <c:strRef>
              <c:f>Diagnóstica!$AC$49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Diagnóstica!$AD$49</c:f>
              <c:numCache>
                <c:formatCode>"R$"\ #,##0.00</c:formatCode>
                <c:ptCount val="1"/>
                <c:pt idx="0">
                  <c:v>40068097.139999986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2EE-4B32-A401-D4E8198F4EDA}"/>
            </c:ext>
          </c:extLst>
        </c:ser>
        <c:ser>
          <c:idx val="25"/>
          <c:order val="25"/>
          <c:tx>
            <c:strRef>
              <c:f>Diagnóstica!$AC$50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Diagnóstica!$AD$50</c:f>
              <c:numCache>
                <c:formatCode>"R$"\ #,##0.00</c:formatCode>
                <c:ptCount val="1"/>
                <c:pt idx="0">
                  <c:v>59126473.479999997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2EE-4B32-A401-D4E8198F4EDA}"/>
            </c:ext>
          </c:extLst>
        </c:ser>
        <c:ser>
          <c:idx val="26"/>
          <c:order val="26"/>
          <c:tx>
            <c:strRef>
              <c:f>Diagnóstica!$AC$51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Diagnóstica!$AD$51</c:f>
              <c:numCache>
                <c:formatCode>"R$"\ #,##0.00</c:formatCode>
                <c:ptCount val="1"/>
                <c:pt idx="0">
                  <c:v>101618599.37000003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2EE-4B32-A401-D4E8198F4EDA}"/>
            </c:ext>
          </c:extLst>
        </c:ser>
        <c:ser>
          <c:idx val="27"/>
          <c:order val="27"/>
          <c:tx>
            <c:strRef>
              <c:f>Diagnóstica!$AC$52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Diagnóstica!$AD$52</c:f>
              <c:numCache>
                <c:formatCode>"R$"\ #,##0.00</c:formatCode>
                <c:ptCount val="1"/>
                <c:pt idx="0">
                  <c:v>81770506.329999983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2EE-4B32-A401-D4E8198F4EDA}"/>
            </c:ext>
          </c:extLst>
        </c:ser>
        <c:ser>
          <c:idx val="28"/>
          <c:order val="28"/>
          <c:tx>
            <c:strRef>
              <c:f>Diagnóstica!$AC$53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Diagnóstica!$AD$53</c:f>
              <c:numCache>
                <c:formatCode>"R$"\ #,##0.00</c:formatCode>
                <c:ptCount val="1"/>
                <c:pt idx="0">
                  <c:v>30806139.210000005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2EE-4B32-A401-D4E8198F4EDA}"/>
            </c:ext>
          </c:extLst>
        </c:ser>
        <c:ser>
          <c:idx val="29"/>
          <c:order val="29"/>
          <c:tx>
            <c:strRef>
              <c:f>Diagnóstica!$AC$54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Diagnóstica!$AD$54</c:f>
              <c:numCache>
                <c:formatCode>"R$"\ #,##0.00</c:formatCode>
                <c:ptCount val="1"/>
                <c:pt idx="0">
                  <c:v>25152040.160000004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2EE-4B32-A401-D4E8198F4EDA}"/>
            </c:ext>
          </c:extLst>
        </c:ser>
        <c:ser>
          <c:idx val="30"/>
          <c:order val="30"/>
          <c:tx>
            <c:strRef>
              <c:f>Diagnóstica!$AC$55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shade val="51000"/>
                    <a:satMod val="130000"/>
                  </a:schemeClr>
                </a:gs>
                <a:gs pos="80000">
                  <a:schemeClr val="accent1">
                    <a:lumMod val="50000"/>
                    <a:shade val="93000"/>
                    <a:satMod val="130000"/>
                  </a:schemeClr>
                </a:gs>
                <a:gs pos="100000">
                  <a:schemeClr val="accent1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Diagnóstica!$AD$55</c:f>
              <c:numCache>
                <c:formatCode>"R$"\ #,##0.00</c:formatCode>
                <c:ptCount val="1"/>
                <c:pt idx="0">
                  <c:v>79764831.070000023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2EE-4B32-A401-D4E8198F4EDA}"/>
            </c:ext>
          </c:extLst>
        </c:ser>
        <c:ser>
          <c:idx val="31"/>
          <c:order val="31"/>
          <c:tx>
            <c:strRef>
              <c:f>Diagnóstica!$AC$56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shade val="51000"/>
                    <a:satMod val="130000"/>
                  </a:schemeClr>
                </a:gs>
                <a:gs pos="80000">
                  <a:schemeClr val="accent2">
                    <a:lumMod val="50000"/>
                    <a:shade val="93000"/>
                    <a:satMod val="130000"/>
                  </a:schemeClr>
                </a:gs>
                <a:gs pos="100000">
                  <a:schemeClr val="accent2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Diagnóstica!$AD$56</c:f>
              <c:numCache>
                <c:formatCode>"R$"\ #,##0.00</c:formatCode>
                <c:ptCount val="1"/>
                <c:pt idx="0">
                  <c:v>65705390.340000018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2EE-4B32-A401-D4E8198F4EDA}"/>
            </c:ext>
          </c:extLst>
        </c:ser>
        <c:ser>
          <c:idx val="32"/>
          <c:order val="32"/>
          <c:tx>
            <c:strRef>
              <c:f>Diagnóstica!$AC$57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shade val="51000"/>
                    <a:satMod val="130000"/>
                  </a:schemeClr>
                </a:gs>
                <a:gs pos="80000">
                  <a:schemeClr val="accent3">
                    <a:lumMod val="50000"/>
                    <a:shade val="93000"/>
                    <a:satMod val="130000"/>
                  </a:schemeClr>
                </a:gs>
                <a:gs pos="100000">
                  <a:schemeClr val="accent3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Diagnóstica!$AD$57</c:f>
              <c:numCache>
                <c:formatCode>"R$"\ #,##0.00</c:formatCode>
                <c:ptCount val="1"/>
                <c:pt idx="0">
                  <c:v>15238321.139999999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2EE-4B32-A401-D4E8198F4EDA}"/>
            </c:ext>
          </c:extLst>
        </c:ser>
        <c:ser>
          <c:idx val="33"/>
          <c:order val="33"/>
          <c:tx>
            <c:strRef>
              <c:f>Diagnóstica!$AC$58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shade val="51000"/>
                    <a:satMod val="130000"/>
                  </a:schemeClr>
                </a:gs>
                <a:gs pos="80000">
                  <a:schemeClr val="accent4">
                    <a:lumMod val="50000"/>
                    <a:shade val="93000"/>
                    <a:satMod val="130000"/>
                  </a:schemeClr>
                </a:gs>
                <a:gs pos="100000">
                  <a:schemeClr val="accent4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Diagnóstica!$AD$58</c:f>
              <c:numCache>
                <c:formatCode>"R$"\ #,##0.00</c:formatCode>
                <c:ptCount val="1"/>
                <c:pt idx="0">
                  <c:v>55059912.460000008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2EE-4B32-A401-D4E8198F4EDA}"/>
            </c:ext>
          </c:extLst>
        </c:ser>
        <c:ser>
          <c:idx val="34"/>
          <c:order val="34"/>
          <c:tx>
            <c:strRef>
              <c:f>Diagnóstica!$AC$59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shade val="51000"/>
                    <a:satMod val="130000"/>
                  </a:schemeClr>
                </a:gs>
                <a:gs pos="80000">
                  <a:schemeClr val="accent5">
                    <a:lumMod val="50000"/>
                    <a:shade val="93000"/>
                    <a:satMod val="130000"/>
                  </a:schemeClr>
                </a:gs>
                <a:gs pos="100000">
                  <a:schemeClr val="accent5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Diagnóstica!$AD$59</c:f>
              <c:numCache>
                <c:formatCode>"R$"\ #,##0.00</c:formatCode>
                <c:ptCount val="1"/>
                <c:pt idx="0">
                  <c:v>52739751.870000027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2EE-4B32-A401-D4E8198F4EDA}"/>
            </c:ext>
          </c:extLst>
        </c:ser>
        <c:ser>
          <c:idx val="35"/>
          <c:order val="35"/>
          <c:tx>
            <c:strRef>
              <c:f>Diagnóstica!$AC$60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shade val="51000"/>
                    <a:satMod val="130000"/>
                  </a:schemeClr>
                </a:gs>
                <a:gs pos="80000">
                  <a:schemeClr val="accent6">
                    <a:lumMod val="50000"/>
                    <a:shade val="93000"/>
                    <a:satMod val="130000"/>
                  </a:schemeClr>
                </a:gs>
                <a:gs pos="100000">
                  <a:schemeClr val="accent6">
                    <a:lumMod val="5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Diagnóstica!$AD$60</c:f>
              <c:numCache>
                <c:formatCode>"R$"\ #,##0.00</c:formatCode>
                <c:ptCount val="1"/>
                <c:pt idx="0">
                  <c:v>21647564.54999999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2EE-4B32-A401-D4E8198F4EDA}"/>
            </c:ext>
          </c:extLst>
        </c:ser>
        <c:ser>
          <c:idx val="36"/>
          <c:order val="36"/>
          <c:tx>
            <c:strRef>
              <c:f>Diagnóstica!$AC$61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1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1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Diagnóstica!$AD$61</c:f>
              <c:numCache>
                <c:formatCode>"R$"\ #,##0.00</c:formatCode>
                <c:ptCount val="1"/>
                <c:pt idx="0">
                  <c:v>29863637.080000009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2EE-4B32-A401-D4E8198F4EDA}"/>
            </c:ext>
          </c:extLst>
        </c:ser>
        <c:ser>
          <c:idx val="37"/>
          <c:order val="37"/>
          <c:tx>
            <c:strRef>
              <c:f>Diagnóstica!$AC$62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2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2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Diagnóstica!$AD$62</c:f>
              <c:numCache>
                <c:formatCode>"R$"\ #,##0.00</c:formatCode>
                <c:ptCount val="1"/>
                <c:pt idx="0">
                  <c:v>23051454.650000002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2EE-4B32-A401-D4E8198F4EDA}"/>
            </c:ext>
          </c:extLst>
        </c:ser>
        <c:ser>
          <c:idx val="38"/>
          <c:order val="38"/>
          <c:tx>
            <c:strRef>
              <c:f>Diagnóstica!$AC$63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3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3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Diagnóstica!$AD$63</c:f>
              <c:numCache>
                <c:formatCode>"R$"\ #,##0.00</c:formatCode>
                <c:ptCount val="1"/>
                <c:pt idx="0">
                  <c:v>81809726.219999984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2EE-4B32-A401-D4E8198F4EDA}"/>
            </c:ext>
          </c:extLst>
        </c:ser>
        <c:ser>
          <c:idx val="39"/>
          <c:order val="39"/>
          <c:tx>
            <c:strRef>
              <c:f>Diagnóstica!$AC$64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4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4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Diagnóstica!$AD$64</c:f>
              <c:numCache>
                <c:formatCode>"R$"\ #,##0.00</c:formatCode>
                <c:ptCount val="1"/>
                <c:pt idx="0">
                  <c:v>57254759.219999991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2EE-4B32-A401-D4E8198F4EDA}"/>
            </c:ext>
          </c:extLst>
        </c:ser>
        <c:ser>
          <c:idx val="40"/>
          <c:order val="40"/>
          <c:tx>
            <c:strRef>
              <c:f>Diagnóstica!$AC$65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5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5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Diagnóstica!$AD$65</c:f>
              <c:numCache>
                <c:formatCode>"R$"\ #,##0.00</c:formatCode>
                <c:ptCount val="1"/>
                <c:pt idx="0">
                  <c:v>72218185.230000004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2EE-4B32-A401-D4E8198F4EDA}"/>
            </c:ext>
          </c:extLst>
        </c:ser>
        <c:ser>
          <c:idx val="41"/>
          <c:order val="41"/>
          <c:tx>
            <c:strRef>
              <c:f>Diagnóstica!$AC$66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shade val="51000"/>
                    <a:satMod val="130000"/>
                  </a:schemeClr>
                </a:gs>
                <a:gs pos="80000">
                  <a:schemeClr val="accent6">
                    <a:lumMod val="70000"/>
                    <a:lumOff val="30000"/>
                    <a:shade val="93000"/>
                    <a:satMod val="130000"/>
                  </a:schemeClr>
                </a:gs>
                <a:gs pos="100000">
                  <a:schemeClr val="accent6">
                    <a:lumMod val="70000"/>
                    <a:lumOff val="3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Diagnóstica!$AD$66</c:f>
              <c:numCache>
                <c:formatCode>"R$"\ #,##0.00</c:formatCode>
                <c:ptCount val="1"/>
                <c:pt idx="0">
                  <c:v>33325351.510000005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2EE-4B32-A401-D4E8198F4EDA}"/>
            </c:ext>
          </c:extLst>
        </c:ser>
        <c:ser>
          <c:idx val="42"/>
          <c:order val="42"/>
          <c:tx>
            <c:strRef>
              <c:f>Diagnóstica!$AC$67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shade val="51000"/>
                    <a:satMod val="130000"/>
                  </a:schemeClr>
                </a:gs>
                <a:gs pos="80000">
                  <a:schemeClr val="accent1">
                    <a:lumMod val="70000"/>
                    <a:shade val="93000"/>
                    <a:satMod val="130000"/>
                  </a:schemeClr>
                </a:gs>
                <a:gs pos="100000">
                  <a:schemeClr val="accent1">
                    <a:lumMod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Diagnóstica!$AD$67</c:f>
              <c:numCache>
                <c:formatCode>"R$"\ #,##0.00</c:formatCode>
                <c:ptCount val="1"/>
                <c:pt idx="0">
                  <c:v>36681125.710000001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2EE-4B32-A401-D4E8198F4EDA}"/>
            </c:ext>
          </c:extLst>
        </c:ser>
        <c:ser>
          <c:idx val="43"/>
          <c:order val="43"/>
          <c:tx>
            <c:strRef>
              <c:f>Diagnóstica!$AC$68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shade val="51000"/>
                    <a:satMod val="130000"/>
                  </a:schemeClr>
                </a:gs>
                <a:gs pos="80000">
                  <a:schemeClr val="accent2">
                    <a:lumMod val="70000"/>
                    <a:shade val="93000"/>
                    <a:satMod val="130000"/>
                  </a:schemeClr>
                </a:gs>
                <a:gs pos="100000">
                  <a:schemeClr val="accent2">
                    <a:lumMod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Diagnóstica!$AD$68</c:f>
              <c:numCache>
                <c:formatCode>"R$"\ #,##0.00</c:formatCode>
                <c:ptCount val="1"/>
                <c:pt idx="0">
                  <c:v>17245287.700000003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2EE-4B32-A401-D4E8198F4EDA}"/>
            </c:ext>
          </c:extLst>
        </c:ser>
        <c:ser>
          <c:idx val="44"/>
          <c:order val="44"/>
          <c:tx>
            <c:strRef>
              <c:f>Diagnóstica!$AC$69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shade val="51000"/>
                    <a:satMod val="130000"/>
                  </a:schemeClr>
                </a:gs>
                <a:gs pos="80000">
                  <a:schemeClr val="accent3">
                    <a:lumMod val="70000"/>
                    <a:shade val="93000"/>
                    <a:satMod val="130000"/>
                  </a:schemeClr>
                </a:gs>
                <a:gs pos="100000">
                  <a:schemeClr val="accent3">
                    <a:lumMod val="7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Diagnóstica!$AD$24</c:f>
              <c:strCache>
                <c:ptCount val="1"/>
                <c:pt idx="0">
                  <c:v>Soma de Weekly_Sales</c:v>
                </c:pt>
              </c:strCache>
            </c:strRef>
          </c:cat>
          <c:val>
            <c:numRef>
              <c:f>Diagnóstica!$AD$69</c:f>
              <c:numCache>
                <c:formatCode>"R$"\ #,##0.00</c:formatCode>
                <c:ptCount val="1"/>
                <c:pt idx="0">
                  <c:v>44793091.729999989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2EE-4B32-A401-D4E8198F4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563007"/>
        <c:axId val="145562527"/>
      </c:barChart>
      <c:catAx>
        <c:axId val="14556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562527"/>
        <c:crosses val="autoZero"/>
        <c:auto val="1"/>
        <c:lblAlgn val="ctr"/>
        <c:lblOffset val="100"/>
        <c:noMultiLvlLbl val="0"/>
      </c:catAx>
      <c:valAx>
        <c:axId val="14556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56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Mês vs Participação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Diagnóstica!$AC$7</c:f>
              <c:strCache>
                <c:ptCount val="1"/>
                <c:pt idx="0">
                  <c:v>Mês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Diagnóstica!$AC$8:$AC$19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E-43A3-B137-1F90A0BA66FC}"/>
            </c:ext>
          </c:extLst>
        </c:ser>
        <c:ser>
          <c:idx val="1"/>
          <c:order val="1"/>
          <c:tx>
            <c:strRef>
              <c:f>Diagnóstica!$AE$7</c:f>
              <c:strCache>
                <c:ptCount val="1"/>
                <c:pt idx="0">
                  <c:v>Participação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Diagnóstica!$AE$8:$AE$19</c:f>
              <c:numCache>
                <c:formatCode>0%</c:formatCode>
                <c:ptCount val="12"/>
                <c:pt idx="0">
                  <c:v>6.678471852067111E-2</c:v>
                </c:pt>
                <c:pt idx="1">
                  <c:v>8.863828865567551E-2</c:v>
                </c:pt>
                <c:pt idx="2">
                  <c:v>8.8078162450605318E-2</c:v>
                </c:pt>
                <c:pt idx="3">
                  <c:v>8.7951335879134701E-2</c:v>
                </c:pt>
                <c:pt idx="4">
                  <c:v>8.7540936073136288E-2</c:v>
                </c:pt>
                <c:pt idx="5">
                  <c:v>9.0039092915831842E-2</c:v>
                </c:pt>
                <c:pt idx="6">
                  <c:v>6.872019918311556E-2</c:v>
                </c:pt>
                <c:pt idx="7">
                  <c:v>6.9338206689686363E-2</c:v>
                </c:pt>
                <c:pt idx="8">
                  <c:v>9.0146477265947544E-2</c:v>
                </c:pt>
                <c:pt idx="9">
                  <c:v>9.0629860789963351E-2</c:v>
                </c:pt>
                <c:pt idx="10">
                  <c:v>8.6512404632879916E-2</c:v>
                </c:pt>
                <c:pt idx="11">
                  <c:v>8.5620316943352509E-2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E-43A3-B137-1F90A0BA6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056207"/>
        <c:axId val="460055727"/>
      </c:lineChart>
      <c:catAx>
        <c:axId val="46005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055727"/>
        <c:crosses val="autoZero"/>
        <c:auto val="1"/>
        <c:lblAlgn val="ctr"/>
        <c:lblOffset val="100"/>
        <c:noMultiLvlLbl val="0"/>
      </c:catAx>
      <c:valAx>
        <c:axId val="4600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05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Pareto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Diagnóstica!$N$73</c:f>
              <c:strCache>
                <c:ptCount val="1"/>
                <c:pt idx="0">
                  <c:v>Vendas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Diagnóstica!$M$74:$M$118</c:f>
              <c:strCache>
                <c:ptCount val="45"/>
                <c:pt idx="0">
                  <c:v>Loja 20</c:v>
                </c:pt>
                <c:pt idx="1">
                  <c:v>Loja 4</c:v>
                </c:pt>
                <c:pt idx="2">
                  <c:v>Loja14</c:v>
                </c:pt>
                <c:pt idx="3">
                  <c:v>Loja 13</c:v>
                </c:pt>
                <c:pt idx="4">
                  <c:v>Loja 2</c:v>
                </c:pt>
                <c:pt idx="5">
                  <c:v>Loja 10</c:v>
                </c:pt>
                <c:pt idx="6">
                  <c:v>Loja 27</c:v>
                </c:pt>
                <c:pt idx="7">
                  <c:v>Loja 1</c:v>
                </c:pt>
                <c:pt idx="8">
                  <c:v>Loja 6</c:v>
                </c:pt>
                <c:pt idx="9">
                  <c:v>Loja 19</c:v>
                </c:pt>
                <c:pt idx="10">
                  <c:v>Loja 39</c:v>
                </c:pt>
                <c:pt idx="11">
                  <c:v>Loja 28</c:v>
                </c:pt>
                <c:pt idx="12">
                  <c:v>Loja 31</c:v>
                </c:pt>
                <c:pt idx="13">
                  <c:v>Loja 24</c:v>
                </c:pt>
                <c:pt idx="14">
                  <c:v>Loja 23</c:v>
                </c:pt>
                <c:pt idx="15">
                  <c:v>Loja 11</c:v>
                </c:pt>
                <c:pt idx="16">
                  <c:v>Loja 41</c:v>
                </c:pt>
                <c:pt idx="17">
                  <c:v>Loja 32</c:v>
                </c:pt>
                <c:pt idx="18">
                  <c:v>Loja 18</c:v>
                </c:pt>
                <c:pt idx="19">
                  <c:v>Loja 26</c:v>
                </c:pt>
                <c:pt idx="20">
                  <c:v>Loja 22</c:v>
                </c:pt>
                <c:pt idx="21">
                  <c:v>Loja 12</c:v>
                </c:pt>
                <c:pt idx="22">
                  <c:v>Loja 40</c:v>
                </c:pt>
                <c:pt idx="23">
                  <c:v>Loja 34</c:v>
                </c:pt>
                <c:pt idx="24">
                  <c:v>Loja 35</c:v>
                </c:pt>
                <c:pt idx="25">
                  <c:v>Loja 8</c:v>
                </c:pt>
                <c:pt idx="26">
                  <c:v>Loja 17</c:v>
                </c:pt>
                <c:pt idx="27">
                  <c:v>Loja 45</c:v>
                </c:pt>
                <c:pt idx="28">
                  <c:v>Loja 21</c:v>
                </c:pt>
                <c:pt idx="29">
                  <c:v>Loja 25</c:v>
                </c:pt>
                <c:pt idx="30">
                  <c:v>Loja 43</c:v>
                </c:pt>
                <c:pt idx="31">
                  <c:v>Loja 15</c:v>
                </c:pt>
                <c:pt idx="32">
                  <c:v>Loja 42</c:v>
                </c:pt>
                <c:pt idx="33">
                  <c:v>Loja 7</c:v>
                </c:pt>
                <c:pt idx="34">
                  <c:v>Loja 9</c:v>
                </c:pt>
                <c:pt idx="35">
                  <c:v>Loja 29</c:v>
                </c:pt>
                <c:pt idx="36">
                  <c:v>Loja 37</c:v>
                </c:pt>
                <c:pt idx="37">
                  <c:v>Loja 16</c:v>
                </c:pt>
                <c:pt idx="38">
                  <c:v>Loja 30</c:v>
                </c:pt>
                <c:pt idx="39">
                  <c:v>Loja 3</c:v>
                </c:pt>
                <c:pt idx="40">
                  <c:v>Loja 38</c:v>
                </c:pt>
                <c:pt idx="41">
                  <c:v>Loja 36</c:v>
                </c:pt>
                <c:pt idx="42">
                  <c:v>Loja 5</c:v>
                </c:pt>
                <c:pt idx="43">
                  <c:v>Loja 44</c:v>
                </c:pt>
                <c:pt idx="44">
                  <c:v>Loja 33</c:v>
                </c:pt>
              </c:strCache>
            </c:strRef>
          </c:cat>
          <c:val>
            <c:numRef>
              <c:f>Diagnóstica!$N$74:$N$118</c:f>
              <c:numCache>
                <c:formatCode>"R$"\ #,##0.00</c:formatCode>
                <c:ptCount val="45"/>
                <c:pt idx="0">
                  <c:v>123654115.52000001</c:v>
                </c:pt>
                <c:pt idx="1">
                  <c:v>119047758.56999999</c:v>
                </c:pt>
                <c:pt idx="2">
                  <c:v>118285799.76999997</c:v>
                </c:pt>
                <c:pt idx="3">
                  <c:v>113895600.75000001</c:v>
                </c:pt>
                <c:pt idx="4">
                  <c:v>111261408.29000002</c:v>
                </c:pt>
                <c:pt idx="5">
                  <c:v>108599830.23</c:v>
                </c:pt>
                <c:pt idx="6">
                  <c:v>101618599.37000003</c:v>
                </c:pt>
                <c:pt idx="7">
                  <c:v>91305173.030000016</c:v>
                </c:pt>
                <c:pt idx="8">
                  <c:v>90568529.220000044</c:v>
                </c:pt>
                <c:pt idx="9">
                  <c:v>83715436.999999985</c:v>
                </c:pt>
                <c:pt idx="10">
                  <c:v>81809726.219999984</c:v>
                </c:pt>
                <c:pt idx="11">
                  <c:v>81770506.329999983</c:v>
                </c:pt>
                <c:pt idx="12">
                  <c:v>79764831.070000023</c:v>
                </c:pt>
                <c:pt idx="13">
                  <c:v>79516727.180000007</c:v>
                </c:pt>
                <c:pt idx="14">
                  <c:v>79390179.800000027</c:v>
                </c:pt>
                <c:pt idx="15">
                  <c:v>78231038.799999997</c:v>
                </c:pt>
                <c:pt idx="16">
                  <c:v>72218185.230000004</c:v>
                </c:pt>
                <c:pt idx="17">
                  <c:v>65705390.340000018</c:v>
                </c:pt>
                <c:pt idx="18">
                  <c:v>62482538.569999993</c:v>
                </c:pt>
                <c:pt idx="19">
                  <c:v>59126473.479999997</c:v>
                </c:pt>
                <c:pt idx="20">
                  <c:v>59076630.18999999</c:v>
                </c:pt>
                <c:pt idx="21">
                  <c:v>58024045.580000006</c:v>
                </c:pt>
                <c:pt idx="22">
                  <c:v>57254759.219999991</c:v>
                </c:pt>
                <c:pt idx="23">
                  <c:v>55059912.460000008</c:v>
                </c:pt>
                <c:pt idx="24">
                  <c:v>52739751.870000027</c:v>
                </c:pt>
                <c:pt idx="25">
                  <c:v>52619595.950000003</c:v>
                </c:pt>
                <c:pt idx="26">
                  <c:v>51347414.190000005</c:v>
                </c:pt>
                <c:pt idx="27">
                  <c:v>44793091.729999989</c:v>
                </c:pt>
                <c:pt idx="28">
                  <c:v>41859207.719999991</c:v>
                </c:pt>
                <c:pt idx="29">
                  <c:v>40068097.139999986</c:v>
                </c:pt>
                <c:pt idx="30">
                  <c:v>36681125.710000001</c:v>
                </c:pt>
                <c:pt idx="31">
                  <c:v>35503840.100000009</c:v>
                </c:pt>
                <c:pt idx="32">
                  <c:v>33325351.510000005</c:v>
                </c:pt>
                <c:pt idx="33">
                  <c:v>32341729.079999994</c:v>
                </c:pt>
                <c:pt idx="34">
                  <c:v>31487839.230000004</c:v>
                </c:pt>
                <c:pt idx="35">
                  <c:v>30806139.210000005</c:v>
                </c:pt>
                <c:pt idx="36">
                  <c:v>29863637.080000009</c:v>
                </c:pt>
                <c:pt idx="37">
                  <c:v>29374670.950000003</c:v>
                </c:pt>
                <c:pt idx="38">
                  <c:v>25152040.160000004</c:v>
                </c:pt>
                <c:pt idx="39">
                  <c:v>23548991.5</c:v>
                </c:pt>
                <c:pt idx="40">
                  <c:v>23051454.650000002</c:v>
                </c:pt>
                <c:pt idx="41">
                  <c:v>21647564.54999999</c:v>
                </c:pt>
                <c:pt idx="42">
                  <c:v>18493210.620000001</c:v>
                </c:pt>
                <c:pt idx="43">
                  <c:v>17245287.700000003</c:v>
                </c:pt>
                <c:pt idx="44">
                  <c:v>15238321.139999999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5-4174-8EF1-36F63BE16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5115375"/>
        <c:axId val="1525109615"/>
      </c:barChart>
      <c:barChart>
        <c:barDir val="col"/>
        <c:grouping val="clustered"/>
        <c:varyColors val="0"/>
        <c:ser>
          <c:idx val="1"/>
          <c:order val="1"/>
          <c:tx>
            <c:strRef>
              <c:f>Diagnóstica!$P$73</c:f>
              <c:strCache>
                <c:ptCount val="1"/>
                <c:pt idx="0">
                  <c:v>%Acumulado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Diagnóstica!$M$74:$M$118</c:f>
              <c:strCache>
                <c:ptCount val="45"/>
                <c:pt idx="0">
                  <c:v>Loja 20</c:v>
                </c:pt>
                <c:pt idx="1">
                  <c:v>Loja 4</c:v>
                </c:pt>
                <c:pt idx="2">
                  <c:v>Loja14</c:v>
                </c:pt>
                <c:pt idx="3">
                  <c:v>Loja 13</c:v>
                </c:pt>
                <c:pt idx="4">
                  <c:v>Loja 2</c:v>
                </c:pt>
                <c:pt idx="5">
                  <c:v>Loja 10</c:v>
                </c:pt>
                <c:pt idx="6">
                  <c:v>Loja 27</c:v>
                </c:pt>
                <c:pt idx="7">
                  <c:v>Loja 1</c:v>
                </c:pt>
                <c:pt idx="8">
                  <c:v>Loja 6</c:v>
                </c:pt>
                <c:pt idx="9">
                  <c:v>Loja 19</c:v>
                </c:pt>
                <c:pt idx="10">
                  <c:v>Loja 39</c:v>
                </c:pt>
                <c:pt idx="11">
                  <c:v>Loja 28</c:v>
                </c:pt>
                <c:pt idx="12">
                  <c:v>Loja 31</c:v>
                </c:pt>
                <c:pt idx="13">
                  <c:v>Loja 24</c:v>
                </c:pt>
                <c:pt idx="14">
                  <c:v>Loja 23</c:v>
                </c:pt>
                <c:pt idx="15">
                  <c:v>Loja 11</c:v>
                </c:pt>
                <c:pt idx="16">
                  <c:v>Loja 41</c:v>
                </c:pt>
                <c:pt idx="17">
                  <c:v>Loja 32</c:v>
                </c:pt>
                <c:pt idx="18">
                  <c:v>Loja 18</c:v>
                </c:pt>
                <c:pt idx="19">
                  <c:v>Loja 26</c:v>
                </c:pt>
                <c:pt idx="20">
                  <c:v>Loja 22</c:v>
                </c:pt>
                <c:pt idx="21">
                  <c:v>Loja 12</c:v>
                </c:pt>
                <c:pt idx="22">
                  <c:v>Loja 40</c:v>
                </c:pt>
                <c:pt idx="23">
                  <c:v>Loja 34</c:v>
                </c:pt>
                <c:pt idx="24">
                  <c:v>Loja 35</c:v>
                </c:pt>
                <c:pt idx="25">
                  <c:v>Loja 8</c:v>
                </c:pt>
                <c:pt idx="26">
                  <c:v>Loja 17</c:v>
                </c:pt>
                <c:pt idx="27">
                  <c:v>Loja 45</c:v>
                </c:pt>
                <c:pt idx="28">
                  <c:v>Loja 21</c:v>
                </c:pt>
                <c:pt idx="29">
                  <c:v>Loja 25</c:v>
                </c:pt>
                <c:pt idx="30">
                  <c:v>Loja 43</c:v>
                </c:pt>
                <c:pt idx="31">
                  <c:v>Loja 15</c:v>
                </c:pt>
                <c:pt idx="32">
                  <c:v>Loja 42</c:v>
                </c:pt>
                <c:pt idx="33">
                  <c:v>Loja 7</c:v>
                </c:pt>
                <c:pt idx="34">
                  <c:v>Loja 9</c:v>
                </c:pt>
                <c:pt idx="35">
                  <c:v>Loja 29</c:v>
                </c:pt>
                <c:pt idx="36">
                  <c:v>Loja 37</c:v>
                </c:pt>
                <c:pt idx="37">
                  <c:v>Loja 16</c:v>
                </c:pt>
                <c:pt idx="38">
                  <c:v>Loja 30</c:v>
                </c:pt>
                <c:pt idx="39">
                  <c:v>Loja 3</c:v>
                </c:pt>
                <c:pt idx="40">
                  <c:v>Loja 38</c:v>
                </c:pt>
                <c:pt idx="41">
                  <c:v>Loja 36</c:v>
                </c:pt>
                <c:pt idx="42">
                  <c:v>Loja 5</c:v>
                </c:pt>
                <c:pt idx="43">
                  <c:v>Loja 44</c:v>
                </c:pt>
                <c:pt idx="44">
                  <c:v>Loja 33</c:v>
                </c:pt>
              </c:strCache>
            </c:strRef>
          </c:cat>
          <c:val>
            <c:numRef>
              <c:f>Diagnóstica!$P$74:$P$118</c:f>
              <c:numCache>
                <c:formatCode>0.0%</c:formatCode>
                <c:ptCount val="45"/>
                <c:pt idx="0">
                  <c:v>4.5484958876901925E-2</c:v>
                </c:pt>
                <c:pt idx="1">
                  <c:v>8.9275514332114309E-2</c:v>
                </c:pt>
                <c:pt idx="2">
                  <c:v>0.13278579068348814</c:v>
                </c:pt>
                <c:pt idx="3">
                  <c:v>0.17468117519688012</c:v>
                </c:pt>
                <c:pt idx="4">
                  <c:v>0.2156075977374895</c:v>
                </c:pt>
                <c:pt idx="5">
                  <c:v>0.25555498477978433</c:v>
                </c:pt>
                <c:pt idx="6">
                  <c:v>0.29293439422390621</c:v>
                </c:pt>
                <c:pt idx="7">
                  <c:v>0.32652011050236079</c:v>
                </c:pt>
                <c:pt idx="8">
                  <c:v>0.35983485954884031</c:v>
                </c:pt>
                <c:pt idx="9">
                  <c:v>0.39062876554456105</c:v>
                </c:pt>
                <c:pt idx="10">
                  <c:v>0.42072167443965924</c:v>
                </c:pt>
                <c:pt idx="11">
                  <c:v>0.45080015668121415</c:v>
                </c:pt>
                <c:pt idx="12">
                  <c:v>0.48014087086435969</c:v>
                </c:pt>
                <c:pt idx="13">
                  <c:v>0.50939032245437277</c:v>
                </c:pt>
                <c:pt idx="14">
                  <c:v>0.53859322482642358</c:v>
                </c:pt>
                <c:pt idx="15">
                  <c:v>0.56736974850096145</c:v>
                </c:pt>
                <c:pt idx="16">
                  <c:v>0.5939345027069769</c:v>
                </c:pt>
                <c:pt idx="17">
                  <c:v>0.61810358891197514</c:v>
                </c:pt>
                <c:pt idx="18">
                  <c:v>0.64108718056543057</c:v>
                </c:pt>
                <c:pt idx="19">
                  <c:v>0.66283627644844667</c:v>
                </c:pt>
                <c:pt idx="20">
                  <c:v>0.68456703796397</c:v>
                </c:pt>
                <c:pt idx="21">
                  <c:v>0.70591061650948883</c:v>
                </c:pt>
                <c:pt idx="22">
                  <c:v>0.72697122057977881</c:v>
                </c:pt>
                <c:pt idx="23">
                  <c:v>0.74722447170269723</c:v>
                </c:pt>
                <c:pt idx="24">
                  <c:v>0.76662427440960323</c:v>
                </c:pt>
                <c:pt idx="25">
                  <c:v>0.78597987893469345</c:v>
                </c:pt>
                <c:pt idx="26">
                  <c:v>0.80486752382257953</c:v>
                </c:pt>
                <c:pt idx="27">
                  <c:v>0.82134422519835226</c:v>
                </c:pt>
                <c:pt idx="28">
                  <c:v>0.83674172599124697</c:v>
                </c:pt>
                <c:pt idx="29">
                  <c:v>0.851480384247986</c:v>
                </c:pt>
                <c:pt idx="30">
                  <c:v>0.86497317813892582</c:v>
                </c:pt>
                <c:pt idx="31">
                  <c:v>0.87803291901475145</c:v>
                </c:pt>
                <c:pt idx="32">
                  <c:v>0.89029132413629775</c:v>
                </c:pt>
                <c:pt idx="33">
                  <c:v>0.90218791335231763</c:v>
                </c:pt>
                <c:pt idx="34">
                  <c:v>0.91377040752548888</c:v>
                </c:pt>
                <c:pt idx="35">
                  <c:v>0.92510214500329513</c:v>
                </c:pt>
                <c:pt idx="36">
                  <c:v>0.9360871922763786</c:v>
                </c:pt>
                <c:pt idx="37">
                  <c:v>0.94689237813343297</c:v>
                </c:pt>
                <c:pt idx="38">
                  <c:v>0.95614431048956028</c:v>
                </c:pt>
                <c:pt idx="39">
                  <c:v>0.96480657705032646</c:v>
                </c:pt>
                <c:pt idx="40">
                  <c:v>0.97328582953940701</c:v>
                </c:pt>
                <c:pt idx="41">
                  <c:v>0.98124867476458333</c:v>
                </c:pt>
                <c:pt idx="42">
                  <c:v>0.98805122169976023</c:v>
                </c:pt>
                <c:pt idx="43">
                  <c:v>0.99439473237513254</c:v>
                </c:pt>
                <c:pt idx="44">
                  <c:v>1.0000000000000004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5-4174-8EF1-36F63BE16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5021295"/>
        <c:axId val="1525033775"/>
      </c:barChart>
      <c:catAx>
        <c:axId val="152511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109615"/>
        <c:crosses val="autoZero"/>
        <c:auto val="1"/>
        <c:lblAlgn val="ctr"/>
        <c:lblOffset val="100"/>
        <c:noMultiLvlLbl val="0"/>
      </c:catAx>
      <c:valAx>
        <c:axId val="15251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115375"/>
        <c:crosses val="autoZero"/>
        <c:crossBetween val="between"/>
      </c:valAx>
      <c:valAx>
        <c:axId val="152503377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021295"/>
        <c:crosses val="max"/>
        <c:crossBetween val="between"/>
      </c:valAx>
      <c:catAx>
        <c:axId val="1525021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5033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Preditiva!$D$1</c:f>
              <c:strCache>
                <c:ptCount val="1"/>
                <c:pt idx="0">
                  <c:v>Valor Mensal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47625" cap="rnd">
                <a:solidFill>
                  <a:schemeClr val="accent6">
                    <a:lumMod val="60000"/>
                    <a:lumOff val="40000"/>
                    <a:alpha val="5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76902435388348E-2"/>
                  <c:y val="-0.30075444057864859"/>
                </c:manualLayout>
              </c:layout>
              <c:numFmt formatCode="General" sourceLinked="0"/>
              <c:spPr>
                <a:noFill/>
                <a:ln w="0"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Preditiva!$A$2:$A$42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xVal>
          <c:yVal>
            <c:numRef>
              <c:f>Preditiva!$D$2:$D$42</c:f>
              <c:numCache>
                <c:formatCode>"R$"\ #,##0.00</c:formatCode>
                <c:ptCount val="41"/>
                <c:pt idx="0">
                  <c:v>42239875.870000005</c:v>
                </c:pt>
                <c:pt idx="1">
                  <c:v>99341315.76000002</c:v>
                </c:pt>
                <c:pt idx="2">
                  <c:v>97103285.490000039</c:v>
                </c:pt>
                <c:pt idx="3">
                  <c:v>50188543.12000002</c:v>
                </c:pt>
                <c:pt idx="4">
                  <c:v>142404192.69</c:v>
                </c:pt>
                <c:pt idx="5">
                  <c:v>48204999.120000005</c:v>
                </c:pt>
                <c:pt idx="6">
                  <c:v>48503243.519999996</c:v>
                </c:pt>
                <c:pt idx="7">
                  <c:v>45102974.230000004</c:v>
                </c:pt>
                <c:pt idx="8">
                  <c:v>95264819.810000047</c:v>
                </c:pt>
                <c:pt idx="9">
                  <c:v>101301168.22999996</c:v>
                </c:pt>
                <c:pt idx="10">
                  <c:v>47826546.720000006</c:v>
                </c:pt>
                <c:pt idx="11">
                  <c:v>140386874.97000003</c:v>
                </c:pt>
                <c:pt idx="12">
                  <c:v>91037510.689999998</c:v>
                </c:pt>
                <c:pt idx="13">
                  <c:v>94767179.760000005</c:v>
                </c:pt>
                <c:pt idx="14">
                  <c:v>48771994.180000007</c:v>
                </c:pt>
                <c:pt idx="15">
                  <c:v>141789259.16000015</c:v>
                </c:pt>
                <c:pt idx="16">
                  <c:v>48015466.970000014</c:v>
                </c:pt>
                <c:pt idx="17">
                  <c:v>46861958.289999992</c:v>
                </c:pt>
                <c:pt idx="18">
                  <c:v>89987476.129999995</c:v>
                </c:pt>
                <c:pt idx="19">
                  <c:v>93746730.579999939</c:v>
                </c:pt>
                <c:pt idx="20">
                  <c:v>102324375.22999996</c:v>
                </c:pt>
                <c:pt idx="21">
                  <c:v>47669734.659999996</c:v>
                </c:pt>
                <c:pt idx="22">
                  <c:v>140437736.93999991</c:v>
                </c:pt>
                <c:pt idx="23">
                  <c:v>46249569.210000008</c:v>
                </c:pt>
                <c:pt idx="24">
                  <c:v>48281649.720000014</c:v>
                </c:pt>
                <c:pt idx="25">
                  <c:v>46861034.969999999</c:v>
                </c:pt>
                <c:pt idx="26">
                  <c:v>93571507.649999961</c:v>
                </c:pt>
                <c:pt idx="27">
                  <c:v>47124197.930000015</c:v>
                </c:pt>
                <c:pt idx="28">
                  <c:v>47566639.309999995</c:v>
                </c:pt>
                <c:pt idx="29">
                  <c:v>149710759.70000008</c:v>
                </c:pt>
                <c:pt idx="30">
                  <c:v>48330059.310000002</c:v>
                </c:pt>
                <c:pt idx="31">
                  <c:v>49651171.779999994</c:v>
                </c:pt>
                <c:pt idx="32">
                  <c:v>47480454.110000007</c:v>
                </c:pt>
                <c:pt idx="33">
                  <c:v>97412858.960000038</c:v>
                </c:pt>
                <c:pt idx="34">
                  <c:v>46925878.99000001</c:v>
                </c:pt>
                <c:pt idx="35">
                  <c:v>46128514.25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F-4271-AEFA-00C2BFDBEA7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08643119"/>
        <c:axId val="140942287"/>
      </c:scatterChart>
      <c:valAx>
        <c:axId val="170864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42287"/>
        <c:crosses val="autoZero"/>
        <c:crossBetween val="midCat"/>
      </c:valAx>
      <c:valAx>
        <c:axId val="14094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864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Real vs Média Móvel vs Previsão Linear (12 meses à frente)</a:t>
            </a:r>
            <a:endParaRPr lang="pt-BR"/>
          </a:p>
        </c:rich>
      </c:tx>
      <c:layout>
        <c:manualLayout>
          <c:xMode val="edge"/>
          <c:yMode val="edge"/>
          <c:x val="0.15500202583129696"/>
          <c:y val="2.2930370440585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Preditiva!$A$1</c:f>
              <c:strCache>
                <c:ptCount val="1"/>
                <c:pt idx="0">
                  <c:v>Tempo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2-4821-8DB8-F4EED3FB8A9E}"/>
            </c:ext>
          </c:extLst>
        </c:ser>
        <c:ser>
          <c:idx val="1"/>
          <c:order val="1"/>
          <c:tx>
            <c:strRef>
              <c:f>Preditiva!$D$1</c:f>
              <c:strCache>
                <c:ptCount val="1"/>
                <c:pt idx="0">
                  <c:v>Valor Mensal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Preditiva!$D$2:$D$49</c:f>
              <c:numCache>
                <c:formatCode>"R$"\ #,##0.00</c:formatCode>
                <c:ptCount val="48"/>
                <c:pt idx="0">
                  <c:v>42239875.870000005</c:v>
                </c:pt>
                <c:pt idx="1">
                  <c:v>99341315.76000002</c:v>
                </c:pt>
                <c:pt idx="2">
                  <c:v>97103285.490000039</c:v>
                </c:pt>
                <c:pt idx="3">
                  <c:v>50188543.12000002</c:v>
                </c:pt>
                <c:pt idx="4">
                  <c:v>142404192.69</c:v>
                </c:pt>
                <c:pt idx="5">
                  <c:v>48204999.120000005</c:v>
                </c:pt>
                <c:pt idx="6">
                  <c:v>48503243.519999996</c:v>
                </c:pt>
                <c:pt idx="7">
                  <c:v>45102974.230000004</c:v>
                </c:pt>
                <c:pt idx="8">
                  <c:v>95264819.810000047</c:v>
                </c:pt>
                <c:pt idx="9">
                  <c:v>101301168.22999996</c:v>
                </c:pt>
                <c:pt idx="10">
                  <c:v>47826546.720000006</c:v>
                </c:pt>
                <c:pt idx="11">
                  <c:v>140386874.97000003</c:v>
                </c:pt>
                <c:pt idx="12">
                  <c:v>91037510.689999998</c:v>
                </c:pt>
                <c:pt idx="13">
                  <c:v>94767179.760000005</c:v>
                </c:pt>
                <c:pt idx="14">
                  <c:v>48771994.180000007</c:v>
                </c:pt>
                <c:pt idx="15">
                  <c:v>141789259.16000015</c:v>
                </c:pt>
                <c:pt idx="16">
                  <c:v>48015466.970000014</c:v>
                </c:pt>
                <c:pt idx="17">
                  <c:v>46861958.289999992</c:v>
                </c:pt>
                <c:pt idx="18">
                  <c:v>89987476.129999995</c:v>
                </c:pt>
                <c:pt idx="19">
                  <c:v>93746730.579999939</c:v>
                </c:pt>
                <c:pt idx="20">
                  <c:v>102324375.22999996</c:v>
                </c:pt>
                <c:pt idx="21">
                  <c:v>47669734.659999996</c:v>
                </c:pt>
                <c:pt idx="22">
                  <c:v>140437736.93999991</c:v>
                </c:pt>
                <c:pt idx="23">
                  <c:v>46249569.210000008</c:v>
                </c:pt>
                <c:pt idx="24">
                  <c:v>48281649.720000014</c:v>
                </c:pt>
                <c:pt idx="25">
                  <c:v>46861034.969999999</c:v>
                </c:pt>
                <c:pt idx="26">
                  <c:v>93571507.649999961</c:v>
                </c:pt>
                <c:pt idx="27">
                  <c:v>47124197.930000015</c:v>
                </c:pt>
                <c:pt idx="28">
                  <c:v>47566639.309999995</c:v>
                </c:pt>
                <c:pt idx="29">
                  <c:v>149710759.70000008</c:v>
                </c:pt>
                <c:pt idx="30">
                  <c:v>48330059.310000002</c:v>
                </c:pt>
                <c:pt idx="31">
                  <c:v>49651171.779999994</c:v>
                </c:pt>
                <c:pt idx="32">
                  <c:v>47480454.110000007</c:v>
                </c:pt>
                <c:pt idx="33">
                  <c:v>97412858.960000038</c:v>
                </c:pt>
                <c:pt idx="34">
                  <c:v>46925878.99000001</c:v>
                </c:pt>
                <c:pt idx="35">
                  <c:v>46128514.25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2-4821-8DB8-F4EED3FB8A9E}"/>
            </c:ext>
          </c:extLst>
        </c:ser>
        <c:ser>
          <c:idx val="2"/>
          <c:order val="2"/>
          <c:tx>
            <c:strRef>
              <c:f>Preditiva!$E$1</c:f>
              <c:strCache>
                <c:ptCount val="1"/>
                <c:pt idx="0">
                  <c:v> Previsão Linear </c:v>
                </c:pt>
              </c:strCache>
            </c:strRef>
          </c:tx>
          <c:spPr>
            <a:ln w="34925" cap="rnd">
              <a:solidFill>
                <a:schemeClr val="accent3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Preditiva!$E$2:$E$49</c:f>
              <c:numCache>
                <c:formatCode>_("R$"* #,##0.00_);_("R$"* \(#,##0.00\);_("R$"* "-"??_);_(@_)</c:formatCode>
                <c:ptCount val="48"/>
                <c:pt idx="36">
                  <c:v>68564150.067479014</c:v>
                </c:pt>
                <c:pt idx="37">
                  <c:v>68131296.430338964</c:v>
                </c:pt>
                <c:pt idx="38">
                  <c:v>67698442.793198898</c:v>
                </c:pt>
                <c:pt idx="39">
                  <c:v>67265589.156058848</c:v>
                </c:pt>
                <c:pt idx="40">
                  <c:v>66832735.51891879</c:v>
                </c:pt>
                <c:pt idx="41">
                  <c:v>66399881.881778732</c:v>
                </c:pt>
                <c:pt idx="42">
                  <c:v>65967028.244638681</c:v>
                </c:pt>
                <c:pt idx="43">
                  <c:v>65534174.607498616</c:v>
                </c:pt>
                <c:pt idx="44">
                  <c:v>65101320.970358565</c:v>
                </c:pt>
                <c:pt idx="45">
                  <c:v>64668467.333218507</c:v>
                </c:pt>
                <c:pt idx="46">
                  <c:v>64235613.696078449</c:v>
                </c:pt>
                <c:pt idx="47">
                  <c:v>63802760.058938399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2-4821-8DB8-F4EED3FB8A9E}"/>
            </c:ext>
          </c:extLst>
        </c:ser>
        <c:ser>
          <c:idx val="3"/>
          <c:order val="3"/>
          <c:tx>
            <c:strRef>
              <c:f>Preditiva!$F$1</c:f>
              <c:strCache>
                <c:ptCount val="1"/>
                <c:pt idx="0">
                  <c:v> Média Movél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Preditiva!$F$2:$F$49</c:f>
              <c:numCache>
                <c:formatCode>"R$"\ #,##0.00</c:formatCode>
                <c:ptCount val="48"/>
                <c:pt idx="1">
                  <c:v>70790595.815000013</c:v>
                </c:pt>
                <c:pt idx="2">
                  <c:v>79561492.37333335</c:v>
                </c:pt>
                <c:pt idx="3">
                  <c:v>82211048.12333335</c:v>
                </c:pt>
                <c:pt idx="4">
                  <c:v>96565340.433333352</c:v>
                </c:pt>
                <c:pt idx="5">
                  <c:v>80265911.643333331</c:v>
                </c:pt>
                <c:pt idx="6">
                  <c:v>79704145.109999999</c:v>
                </c:pt>
                <c:pt idx="7">
                  <c:v>47270405.623333335</c:v>
                </c:pt>
                <c:pt idx="8">
                  <c:v>62957012.520000018</c:v>
                </c:pt>
                <c:pt idx="9">
                  <c:v>80556320.756666675</c:v>
                </c:pt>
                <c:pt idx="10">
                  <c:v>81464178.253333345</c:v>
                </c:pt>
                <c:pt idx="11">
                  <c:v>96504863.306666657</c:v>
                </c:pt>
                <c:pt idx="12">
                  <c:v>93083644.126666665</c:v>
                </c:pt>
                <c:pt idx="13">
                  <c:v>108730521.80666667</c:v>
                </c:pt>
                <c:pt idx="14">
                  <c:v>78192228.209999993</c:v>
                </c:pt>
                <c:pt idx="15">
                  <c:v>95109477.700000048</c:v>
                </c:pt>
                <c:pt idx="16">
                  <c:v>79525573.436666727</c:v>
                </c:pt>
                <c:pt idx="17">
                  <c:v>78888894.806666717</c:v>
                </c:pt>
                <c:pt idx="18">
                  <c:v>61621633.796666659</c:v>
                </c:pt>
                <c:pt idx="19">
                  <c:v>76865388.333333313</c:v>
                </c:pt>
                <c:pt idx="20">
                  <c:v>95352860.646666631</c:v>
                </c:pt>
                <c:pt idx="21">
                  <c:v>81246946.823333293</c:v>
                </c:pt>
                <c:pt idx="22">
                  <c:v>96810615.609999955</c:v>
                </c:pt>
                <c:pt idx="23">
                  <c:v>78119013.603333309</c:v>
                </c:pt>
                <c:pt idx="24">
                  <c:v>78322985.289999977</c:v>
                </c:pt>
                <c:pt idx="25">
                  <c:v>47130751.300000012</c:v>
                </c:pt>
                <c:pt idx="26">
                  <c:v>62904730.779999994</c:v>
                </c:pt>
                <c:pt idx="27">
                  <c:v>62518913.516666651</c:v>
                </c:pt>
                <c:pt idx="28">
                  <c:v>62754114.963333331</c:v>
                </c:pt>
                <c:pt idx="29">
                  <c:v>81467198.980000034</c:v>
                </c:pt>
                <c:pt idx="30">
                  <c:v>81869152.773333356</c:v>
                </c:pt>
                <c:pt idx="31">
                  <c:v>82563996.930000022</c:v>
                </c:pt>
                <c:pt idx="32">
                  <c:v>48487228.400000006</c:v>
                </c:pt>
                <c:pt idx="33">
                  <c:v>64848161.616666675</c:v>
                </c:pt>
                <c:pt idx="34">
                  <c:v>63939730.68666669</c:v>
                </c:pt>
                <c:pt idx="35">
                  <c:v>63489084.066666685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12-4821-8DB8-F4EED3FB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851440"/>
        <c:axId val="2087848560"/>
      </c:lineChart>
      <c:catAx>
        <c:axId val="2087851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848560"/>
        <c:crosses val="autoZero"/>
        <c:auto val="1"/>
        <c:lblAlgn val="ctr"/>
        <c:lblOffset val="100"/>
        <c:noMultiLvlLbl val="0"/>
      </c:catAx>
      <c:valAx>
        <c:axId val="20878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85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Preditiva!$D$1</c:f>
              <c:strCache>
                <c:ptCount val="1"/>
                <c:pt idx="0">
                  <c:v>Valor Mensal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47625" cap="rnd">
                <a:solidFill>
                  <a:schemeClr val="accent6">
                    <a:lumMod val="60000"/>
                    <a:lumOff val="40000"/>
                    <a:alpha val="5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76902435388348E-2"/>
                  <c:y val="-0.30075444057864859"/>
                </c:manualLayout>
              </c:layout>
              <c:numFmt formatCode="General" sourceLinked="0"/>
              <c:spPr>
                <a:noFill/>
                <a:ln w="0"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Preditiva!$A$2:$A$42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xVal>
          <c:yVal>
            <c:numRef>
              <c:f>Preditiva!$D$2:$D$42</c:f>
              <c:numCache>
                <c:formatCode>"R$"\ #,##0.00</c:formatCode>
                <c:ptCount val="41"/>
                <c:pt idx="0">
                  <c:v>42239875.870000005</c:v>
                </c:pt>
                <c:pt idx="1">
                  <c:v>99341315.76000002</c:v>
                </c:pt>
                <c:pt idx="2">
                  <c:v>97103285.490000039</c:v>
                </c:pt>
                <c:pt idx="3">
                  <c:v>50188543.12000002</c:v>
                </c:pt>
                <c:pt idx="4">
                  <c:v>142404192.69</c:v>
                </c:pt>
                <c:pt idx="5">
                  <c:v>48204999.120000005</c:v>
                </c:pt>
                <c:pt idx="6">
                  <c:v>48503243.519999996</c:v>
                </c:pt>
                <c:pt idx="7">
                  <c:v>45102974.230000004</c:v>
                </c:pt>
                <c:pt idx="8">
                  <c:v>95264819.810000047</c:v>
                </c:pt>
                <c:pt idx="9">
                  <c:v>101301168.22999996</c:v>
                </c:pt>
                <c:pt idx="10">
                  <c:v>47826546.720000006</c:v>
                </c:pt>
                <c:pt idx="11">
                  <c:v>140386874.97000003</c:v>
                </c:pt>
                <c:pt idx="12">
                  <c:v>91037510.689999998</c:v>
                </c:pt>
                <c:pt idx="13">
                  <c:v>94767179.760000005</c:v>
                </c:pt>
                <c:pt idx="14">
                  <c:v>48771994.180000007</c:v>
                </c:pt>
                <c:pt idx="15">
                  <c:v>141789259.16000015</c:v>
                </c:pt>
                <c:pt idx="16">
                  <c:v>48015466.970000014</c:v>
                </c:pt>
                <c:pt idx="17">
                  <c:v>46861958.289999992</c:v>
                </c:pt>
                <c:pt idx="18">
                  <c:v>89987476.129999995</c:v>
                </c:pt>
                <c:pt idx="19">
                  <c:v>93746730.579999939</c:v>
                </c:pt>
                <c:pt idx="20">
                  <c:v>102324375.22999996</c:v>
                </c:pt>
                <c:pt idx="21">
                  <c:v>47669734.659999996</c:v>
                </c:pt>
                <c:pt idx="22">
                  <c:v>140437736.93999991</c:v>
                </c:pt>
                <c:pt idx="23">
                  <c:v>46249569.210000008</c:v>
                </c:pt>
                <c:pt idx="24">
                  <c:v>48281649.720000014</c:v>
                </c:pt>
                <c:pt idx="25">
                  <c:v>46861034.969999999</c:v>
                </c:pt>
                <c:pt idx="26">
                  <c:v>93571507.649999961</c:v>
                </c:pt>
                <c:pt idx="27">
                  <c:v>47124197.930000015</c:v>
                </c:pt>
                <c:pt idx="28">
                  <c:v>47566639.309999995</c:v>
                </c:pt>
                <c:pt idx="29">
                  <c:v>149710759.70000008</c:v>
                </c:pt>
                <c:pt idx="30">
                  <c:v>48330059.310000002</c:v>
                </c:pt>
                <c:pt idx="31">
                  <c:v>49651171.779999994</c:v>
                </c:pt>
                <c:pt idx="32">
                  <c:v>47480454.110000007</c:v>
                </c:pt>
                <c:pt idx="33">
                  <c:v>97412858.960000038</c:v>
                </c:pt>
                <c:pt idx="34">
                  <c:v>46925878.99000001</c:v>
                </c:pt>
                <c:pt idx="35">
                  <c:v>46128514.25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4A-4F4D-9E2B-369BED1D8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643119"/>
        <c:axId val="140942287"/>
      </c:scatterChart>
      <c:valAx>
        <c:axId val="170864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42287"/>
        <c:crosses val="autoZero"/>
        <c:crossBetween val="midCat"/>
      </c:valAx>
      <c:valAx>
        <c:axId val="14094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864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Real vs Média Móvel vs Previsão Linear (12 meses à frente)</a:t>
            </a:r>
            <a:endParaRPr lang="pt-BR"/>
          </a:p>
        </c:rich>
      </c:tx>
      <c:layout>
        <c:manualLayout>
          <c:xMode val="edge"/>
          <c:yMode val="edge"/>
          <c:x val="0.15500202583129696"/>
          <c:y val="2.2930370440585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Preditiva!$A$1</c:f>
              <c:strCache>
                <c:ptCount val="1"/>
                <c:pt idx="0">
                  <c:v>Tempo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8-4C07-B000-4EA05B4CA88A}"/>
            </c:ext>
          </c:extLst>
        </c:ser>
        <c:ser>
          <c:idx val="1"/>
          <c:order val="1"/>
          <c:tx>
            <c:strRef>
              <c:f>Preditiva!$D$1</c:f>
              <c:strCache>
                <c:ptCount val="1"/>
                <c:pt idx="0">
                  <c:v>Valor Mensal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Preditiva!$D$2:$D$49</c:f>
              <c:numCache>
                <c:formatCode>"R$"\ #,##0.00</c:formatCode>
                <c:ptCount val="48"/>
                <c:pt idx="0">
                  <c:v>42239875.870000005</c:v>
                </c:pt>
                <c:pt idx="1">
                  <c:v>99341315.76000002</c:v>
                </c:pt>
                <c:pt idx="2">
                  <c:v>97103285.490000039</c:v>
                </c:pt>
                <c:pt idx="3">
                  <c:v>50188543.12000002</c:v>
                </c:pt>
                <c:pt idx="4">
                  <c:v>142404192.69</c:v>
                </c:pt>
                <c:pt idx="5">
                  <c:v>48204999.120000005</c:v>
                </c:pt>
                <c:pt idx="6">
                  <c:v>48503243.519999996</c:v>
                </c:pt>
                <c:pt idx="7">
                  <c:v>45102974.230000004</c:v>
                </c:pt>
                <c:pt idx="8">
                  <c:v>95264819.810000047</c:v>
                </c:pt>
                <c:pt idx="9">
                  <c:v>101301168.22999996</c:v>
                </c:pt>
                <c:pt idx="10">
                  <c:v>47826546.720000006</c:v>
                </c:pt>
                <c:pt idx="11">
                  <c:v>140386874.97000003</c:v>
                </c:pt>
                <c:pt idx="12">
                  <c:v>91037510.689999998</c:v>
                </c:pt>
                <c:pt idx="13">
                  <c:v>94767179.760000005</c:v>
                </c:pt>
                <c:pt idx="14">
                  <c:v>48771994.180000007</c:v>
                </c:pt>
                <c:pt idx="15">
                  <c:v>141789259.16000015</c:v>
                </c:pt>
                <c:pt idx="16">
                  <c:v>48015466.970000014</c:v>
                </c:pt>
                <c:pt idx="17">
                  <c:v>46861958.289999992</c:v>
                </c:pt>
                <c:pt idx="18">
                  <c:v>89987476.129999995</c:v>
                </c:pt>
                <c:pt idx="19">
                  <c:v>93746730.579999939</c:v>
                </c:pt>
                <c:pt idx="20">
                  <c:v>102324375.22999996</c:v>
                </c:pt>
                <c:pt idx="21">
                  <c:v>47669734.659999996</c:v>
                </c:pt>
                <c:pt idx="22">
                  <c:v>140437736.93999991</c:v>
                </c:pt>
                <c:pt idx="23">
                  <c:v>46249569.210000008</c:v>
                </c:pt>
                <c:pt idx="24">
                  <c:v>48281649.720000014</c:v>
                </c:pt>
                <c:pt idx="25">
                  <c:v>46861034.969999999</c:v>
                </c:pt>
                <c:pt idx="26">
                  <c:v>93571507.649999961</c:v>
                </c:pt>
                <c:pt idx="27">
                  <c:v>47124197.930000015</c:v>
                </c:pt>
                <c:pt idx="28">
                  <c:v>47566639.309999995</c:v>
                </c:pt>
                <c:pt idx="29">
                  <c:v>149710759.70000008</c:v>
                </c:pt>
                <c:pt idx="30">
                  <c:v>48330059.310000002</c:v>
                </c:pt>
                <c:pt idx="31">
                  <c:v>49651171.779999994</c:v>
                </c:pt>
                <c:pt idx="32">
                  <c:v>47480454.110000007</c:v>
                </c:pt>
                <c:pt idx="33">
                  <c:v>97412858.960000038</c:v>
                </c:pt>
                <c:pt idx="34">
                  <c:v>46925878.99000001</c:v>
                </c:pt>
                <c:pt idx="35">
                  <c:v>46128514.25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8-4C07-B000-4EA05B4CA88A}"/>
            </c:ext>
          </c:extLst>
        </c:ser>
        <c:ser>
          <c:idx val="2"/>
          <c:order val="2"/>
          <c:tx>
            <c:strRef>
              <c:f>Preditiva!$E$1</c:f>
              <c:strCache>
                <c:ptCount val="1"/>
                <c:pt idx="0">
                  <c:v> Previsão Linear </c:v>
                </c:pt>
              </c:strCache>
            </c:strRef>
          </c:tx>
          <c:spPr>
            <a:ln w="34925" cap="rnd">
              <a:solidFill>
                <a:schemeClr val="accent3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Preditiva!$E$2:$E$49</c:f>
              <c:numCache>
                <c:formatCode>_("R$"* #,##0.00_);_("R$"* \(#,##0.00\);_("R$"* "-"??_);_(@_)</c:formatCode>
                <c:ptCount val="48"/>
                <c:pt idx="36">
                  <c:v>68564150.067479014</c:v>
                </c:pt>
                <c:pt idx="37">
                  <c:v>68131296.430338964</c:v>
                </c:pt>
                <c:pt idx="38">
                  <c:v>67698442.793198898</c:v>
                </c:pt>
                <c:pt idx="39">
                  <c:v>67265589.156058848</c:v>
                </c:pt>
                <c:pt idx="40">
                  <c:v>66832735.51891879</c:v>
                </c:pt>
                <c:pt idx="41">
                  <c:v>66399881.881778732</c:v>
                </c:pt>
                <c:pt idx="42">
                  <c:v>65967028.244638681</c:v>
                </c:pt>
                <c:pt idx="43">
                  <c:v>65534174.607498616</c:v>
                </c:pt>
                <c:pt idx="44">
                  <c:v>65101320.970358565</c:v>
                </c:pt>
                <c:pt idx="45">
                  <c:v>64668467.333218507</c:v>
                </c:pt>
                <c:pt idx="46">
                  <c:v>64235613.696078449</c:v>
                </c:pt>
                <c:pt idx="47">
                  <c:v>63802760.058938399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88-4C07-B000-4EA05B4CA88A}"/>
            </c:ext>
          </c:extLst>
        </c:ser>
        <c:ser>
          <c:idx val="3"/>
          <c:order val="3"/>
          <c:tx>
            <c:strRef>
              <c:f>Preditiva!$F$1</c:f>
              <c:strCache>
                <c:ptCount val="1"/>
                <c:pt idx="0">
                  <c:v> Média Movél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Preditiva!$F$2:$F$49</c:f>
              <c:numCache>
                <c:formatCode>"R$"\ #,##0.00</c:formatCode>
                <c:ptCount val="48"/>
                <c:pt idx="1">
                  <c:v>70790595.815000013</c:v>
                </c:pt>
                <c:pt idx="2">
                  <c:v>79561492.37333335</c:v>
                </c:pt>
                <c:pt idx="3">
                  <c:v>82211048.12333335</c:v>
                </c:pt>
                <c:pt idx="4">
                  <c:v>96565340.433333352</c:v>
                </c:pt>
                <c:pt idx="5">
                  <c:v>80265911.643333331</c:v>
                </c:pt>
                <c:pt idx="6">
                  <c:v>79704145.109999999</c:v>
                </c:pt>
                <c:pt idx="7">
                  <c:v>47270405.623333335</c:v>
                </c:pt>
                <c:pt idx="8">
                  <c:v>62957012.520000018</c:v>
                </c:pt>
                <c:pt idx="9">
                  <c:v>80556320.756666675</c:v>
                </c:pt>
                <c:pt idx="10">
                  <c:v>81464178.253333345</c:v>
                </c:pt>
                <c:pt idx="11">
                  <c:v>96504863.306666657</c:v>
                </c:pt>
                <c:pt idx="12">
                  <c:v>93083644.126666665</c:v>
                </c:pt>
                <c:pt idx="13">
                  <c:v>108730521.80666667</c:v>
                </c:pt>
                <c:pt idx="14">
                  <c:v>78192228.209999993</c:v>
                </c:pt>
                <c:pt idx="15">
                  <c:v>95109477.700000048</c:v>
                </c:pt>
                <c:pt idx="16">
                  <c:v>79525573.436666727</c:v>
                </c:pt>
                <c:pt idx="17">
                  <c:v>78888894.806666717</c:v>
                </c:pt>
                <c:pt idx="18">
                  <c:v>61621633.796666659</c:v>
                </c:pt>
                <c:pt idx="19">
                  <c:v>76865388.333333313</c:v>
                </c:pt>
                <c:pt idx="20">
                  <c:v>95352860.646666631</c:v>
                </c:pt>
                <c:pt idx="21">
                  <c:v>81246946.823333293</c:v>
                </c:pt>
                <c:pt idx="22">
                  <c:v>96810615.609999955</c:v>
                </c:pt>
                <c:pt idx="23">
                  <c:v>78119013.603333309</c:v>
                </c:pt>
                <c:pt idx="24">
                  <c:v>78322985.289999977</c:v>
                </c:pt>
                <c:pt idx="25">
                  <c:v>47130751.300000012</c:v>
                </c:pt>
                <c:pt idx="26">
                  <c:v>62904730.779999994</c:v>
                </c:pt>
                <c:pt idx="27">
                  <c:v>62518913.516666651</c:v>
                </c:pt>
                <c:pt idx="28">
                  <c:v>62754114.963333331</c:v>
                </c:pt>
                <c:pt idx="29">
                  <c:v>81467198.980000034</c:v>
                </c:pt>
                <c:pt idx="30">
                  <c:v>81869152.773333356</c:v>
                </c:pt>
                <c:pt idx="31">
                  <c:v>82563996.930000022</c:v>
                </c:pt>
                <c:pt idx="32">
                  <c:v>48487228.400000006</c:v>
                </c:pt>
                <c:pt idx="33">
                  <c:v>64848161.616666675</c:v>
                </c:pt>
                <c:pt idx="34">
                  <c:v>63939730.68666669</c:v>
                </c:pt>
                <c:pt idx="35">
                  <c:v>63489084.066666685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88-4C07-B000-4EA05B4CA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851440"/>
        <c:axId val="2087848560"/>
      </c:lineChart>
      <c:catAx>
        <c:axId val="2087851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848560"/>
        <c:crosses val="autoZero"/>
        <c:auto val="1"/>
        <c:lblAlgn val="ctr"/>
        <c:lblOffset val="100"/>
        <c:noMultiLvlLbl val="0"/>
      </c:catAx>
      <c:valAx>
        <c:axId val="20878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85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7403</xdr:rowOff>
    </xdr:from>
    <xdr:ext cx="11449050" cy="8816709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38AF7AE-3D17-B4C6-7042-B801A0A5F88C}"/>
            </a:ext>
          </a:extLst>
        </xdr:cNvPr>
        <xdr:cNvSpPr/>
      </xdr:nvSpPr>
      <xdr:spPr>
        <a:xfrm>
          <a:off x="1" y="7403"/>
          <a:ext cx="11449050" cy="881670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📊 WALMART SALES ANALYTICS – PAINEL GERAL</a:t>
          </a:r>
        </a:p>
        <a:p>
          <a:pPr algn="l"/>
          <a:endParaRPr lang="pt-B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Este painel reúne as quatro camadas de análise desenvolvidas sobre o conjunto de vendas semanais das lojas Walmart entre 2010 e 2012. 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As abas ao lado permitem navegar pelas diferentes visões, cada uma com foco específico e orientada para tomada de decisão.</a:t>
          </a:r>
        </a:p>
        <a:p>
          <a:pPr algn="l"/>
          <a:endParaRPr lang="pt-BR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1) VISÃO DESCRITIVA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O que está acontecendo?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Sumário de vendas por ano, mês e loja.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Identificação das semanas de feriado e padrões gerais de comportamento.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KPIs principais: média semanal, pico, pior semana, volatilidade.</a:t>
          </a:r>
        </a:p>
        <a:p>
          <a:pPr algn="l"/>
          <a:endParaRPr lang="pt-BR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2) VISÃO DIAGNÓSTICA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Por que está acontecendo?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Impacto de fatores externos: temperatura, preços de combustível, CPI e desemprego.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Comparação de semanas com e sem feriado.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Pareto de lojas para identificar concentração de receita.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Relações, correlações e tendências.</a:t>
          </a:r>
        </a:p>
        <a:p>
          <a:pPr algn="l"/>
          <a:endParaRPr lang="pt-BR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3) VISÃO PREDITIVA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O que deve acontecer a seguir?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Modelo simples de previsão usando Regressão Linear e Média Móvel.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Previsão para 12 meses à frente.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Métricas de erro (MAPE, MSE, RMSE) para avaliar o modelo.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Visualização do comportamento mensal vs previsões.</a:t>
          </a:r>
        </a:p>
        <a:p>
          <a:pPr algn="l"/>
          <a:endParaRPr lang="pt-BR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4) VISÃO PRESCRITIVA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O que devemos fazer?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Recomendações estratégicas baseadas nos achados.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Possíveis ações para aumento de receita e redução de perdas.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Direcionamento para melhoria de performance nas lojas de baixa entrega.</a:t>
          </a: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- Sugestões operacionais e comerciais.</a:t>
          </a:r>
        </a:p>
        <a:p>
          <a:pPr algn="l"/>
          <a:endParaRPr lang="pt-BR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pt-B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Este dashboard foi construído para oferecer clareza, velocidade e profundidade analítica, permitindo que qualquer gestor compreenda rapidamente o estado atual do negócio, suas causas, tendências futuras e caminhos sugeridos.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15876</xdr:colOff>
      <xdr:row>0</xdr:row>
      <xdr:rowOff>15875</xdr:rowOff>
    </xdr:from>
    <xdr:to>
      <xdr:col>66</xdr:col>
      <xdr:colOff>444500</xdr:colOff>
      <xdr:row>66</xdr:row>
      <xdr:rowOff>142875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25E787B-6DD9-4DC8-C39C-91BD968A43DA}"/>
            </a:ext>
          </a:extLst>
        </xdr:cNvPr>
        <xdr:cNvSpPr txBox="1"/>
      </xdr:nvSpPr>
      <xdr:spPr>
        <a:xfrm>
          <a:off x="15876" y="15875"/>
          <a:ext cx="40243124" cy="12700000"/>
        </a:xfrm>
        <a:prstGeom prst="rect">
          <a:avLst/>
        </a:prstGeom>
        <a:gradFill>
          <a:gsLst>
            <a:gs pos="0">
              <a:schemeClr val="accent1">
                <a:lumMod val="40000"/>
                <a:lumOff val="60000"/>
              </a:schemeClr>
            </a:gs>
            <a:gs pos="46000">
              <a:schemeClr val="accent1">
                <a:lumMod val="95000"/>
                <a:lumOff val="5000"/>
              </a:schemeClr>
            </a:gs>
            <a:gs pos="100000">
              <a:schemeClr val="accent1">
                <a:lumMod val="60000"/>
              </a:schemeClr>
            </a:gs>
          </a:gsLst>
          <a:path path="circle">
            <a:fillToRect l="50000" t="130000" r="50000" b="-30000"/>
          </a:path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6000" b="1"/>
            <a:t>   CONCLUSÃO</a:t>
          </a:r>
        </a:p>
        <a:p>
          <a:endParaRPr lang="pt-BR" sz="6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2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4800" b="1"/>
            <a:t>   A análise descritiva apresenta uma visão geral do comportamento das vendas do Walmart ao longo do período estudado.</a:t>
          </a:r>
          <a:r>
            <a:rPr lang="pt-BR" sz="4800"/>
            <a:t> </a:t>
          </a:r>
        </a:p>
        <a:p>
          <a:r>
            <a:rPr lang="pt-BR" sz="4800"/>
            <a:t>O dataset reúne </a:t>
          </a:r>
          <a:r>
            <a:rPr lang="pt-BR" sz="4800" b="1"/>
            <a:t>2.565 semanas</a:t>
          </a:r>
          <a:r>
            <a:rPr lang="pt-BR" sz="4800"/>
            <a:t>, totalizando </a:t>
          </a:r>
          <a:r>
            <a:rPr lang="pt-BR" sz="4800" b="1"/>
            <a:t>R$ 2,71 bilhões</a:t>
          </a:r>
          <a:r>
            <a:rPr lang="pt-BR" sz="4800"/>
            <a:t> em vendas. A </a:t>
          </a:r>
          <a:r>
            <a:rPr lang="pt-BR" sz="4800" b="1"/>
            <a:t>média semanal</a:t>
          </a:r>
          <a:r>
            <a:rPr lang="pt-BR" sz="4800"/>
            <a:t> é de R$ 1,05 milhão, com uma </a:t>
          </a:r>
          <a:r>
            <a:rPr lang="pt-BR" sz="4800" b="1"/>
            <a:t>semana máxima</a:t>
          </a:r>
          <a:r>
            <a:rPr lang="pt-BR" sz="4800"/>
            <a:t> de R$ 2,75 milhões e uma </a:t>
          </a:r>
          <a:r>
            <a:rPr lang="pt-BR" sz="4800" b="1"/>
            <a:t>semana mínima</a:t>
          </a:r>
          <a:r>
            <a:rPr lang="pt-BR" sz="4800"/>
            <a:t> de R$ 209 mil. O desvio padrão de </a:t>
          </a:r>
          <a:r>
            <a:rPr lang="pt-BR" sz="4800" b="1"/>
            <a:t>R$ 557 mil</a:t>
          </a:r>
          <a:r>
            <a:rPr lang="pt-BR" sz="4800"/>
            <a:t> indica uma volatilidade moderada nas vendas semanais.</a:t>
          </a:r>
        </a:p>
        <a:p>
          <a:endParaRPr lang="pt-BR" sz="4800"/>
        </a:p>
        <a:p>
          <a:r>
            <a:rPr lang="pt-BR" sz="4800"/>
            <a:t>   Na visão anual, o ano de </a:t>
          </a:r>
          <a:r>
            <a:rPr lang="pt-BR" sz="4800" b="1"/>
            <a:t>2011 apresenta o melhor desempenho</a:t>
          </a:r>
          <a:r>
            <a:rPr lang="pt-BR" sz="4800"/>
            <a:t>, com R$ 991,6 milhões em vendas, seguido de 2010 (R$ 957,8 milhões). O ano de </a:t>
          </a:r>
          <a:r>
            <a:rPr lang="pt-BR" sz="4800" b="1"/>
            <a:t>2012 apresenta uma queda significativa</a:t>
          </a:r>
          <a:r>
            <a:rPr lang="pt-BR" sz="4800"/>
            <a:t>, encerrando com R$ 769 milhões, o que já sugere possíveis mudanças internas no período.</a:t>
          </a:r>
        </a:p>
        <a:p>
          <a:r>
            <a:rPr lang="pt-BR" sz="4800"/>
            <a:t>   A análise mensal revela que as vendas são relativamente equilibradas ao longo do ano, variando entre </a:t>
          </a:r>
          <a:r>
            <a:rPr lang="pt-BR" sz="4800" b="1"/>
            <a:t>R$ 181 milhões e R$ 246 milhões por mês</a:t>
          </a:r>
          <a:r>
            <a:rPr lang="pt-BR" sz="4800"/>
            <a:t>. Não há picos extremos, mas observa-se um leve aumento nos meses de setembro a dezembro e quedas pontuais em janeiro, julho e agosto.</a:t>
          </a:r>
        </a:p>
        <a:p>
          <a:endParaRPr lang="pt-BR" sz="4800"/>
        </a:p>
        <a:p>
          <a:r>
            <a:rPr lang="pt-BR" sz="4800"/>
            <a:t>   Ao analisar o desempenho por loja, identifica-se uma grande diferença entre unidades: algumas ultrapassam </a:t>
          </a:r>
          <a:r>
            <a:rPr lang="pt-BR" sz="4800" b="1"/>
            <a:t>R$ 120 milhões</a:t>
          </a:r>
          <a:r>
            <a:rPr lang="pt-BR" sz="4800"/>
            <a:t>, enquanto outras não chegam a </a:t>
          </a:r>
          <a:r>
            <a:rPr lang="pt-BR" sz="4800" b="1"/>
            <a:t>R$ 20 milhões</a:t>
          </a:r>
          <a:r>
            <a:rPr lang="pt-BR" sz="4800"/>
            <a:t>. Isso indica heterogeneidade operacional entre lojas, mas na etapa descritiva esse dado é apenas observado, sem interpretação causal.</a:t>
          </a:r>
        </a:p>
        <a:p>
          <a:r>
            <a:rPr lang="pt-BR" sz="4800"/>
            <a:t>Em resumo, a análise descritiva mostra um varejo com volume elevado, relativa estabilidade mensal, pico anual em 2011 e forte desigualdade entre o desempenho das lojas — elementos que servirão como base para a análise diagnóstica e prescritiva.</a:t>
          </a:r>
        </a:p>
        <a:p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9524</xdr:rowOff>
    </xdr:from>
    <xdr:to>
      <xdr:col>5</xdr:col>
      <xdr:colOff>9525</xdr:colOff>
      <xdr:row>25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177E23-0F5E-21C3-21D1-898997361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6</xdr:row>
      <xdr:rowOff>9524</xdr:rowOff>
    </xdr:from>
    <xdr:to>
      <xdr:col>16</xdr:col>
      <xdr:colOff>11206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CA65E7-CEBB-454E-7B3B-7D0C1649D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9524</xdr:rowOff>
    </xdr:from>
    <xdr:to>
      <xdr:col>5</xdr:col>
      <xdr:colOff>9524</xdr:colOff>
      <xdr:row>44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E0055B-7E9C-2409-95DF-BB3E1B3A7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4761</xdr:colOff>
      <xdr:row>25</xdr:row>
      <xdr:rowOff>180975</xdr:rowOff>
    </xdr:from>
    <xdr:to>
      <xdr:col>16</xdr:col>
      <xdr:colOff>0</xdr:colOff>
      <xdr:row>44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EACF38-2A6D-E15E-2604-6FB8BE6C7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604835</xdr:colOff>
      <xdr:row>6</xdr:row>
      <xdr:rowOff>9524</xdr:rowOff>
    </xdr:from>
    <xdr:to>
      <xdr:col>26</xdr:col>
      <xdr:colOff>291352</xdr:colOff>
      <xdr:row>24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5C9F256-D8F3-4E0C-3859-97A53F5A0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4762</xdr:colOff>
      <xdr:row>26</xdr:row>
      <xdr:rowOff>9525</xdr:rowOff>
    </xdr:from>
    <xdr:to>
      <xdr:col>26</xdr:col>
      <xdr:colOff>280147</xdr:colOff>
      <xdr:row>44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73BC50-A990-0894-3390-E51B077A7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45</xdr:row>
      <xdr:rowOff>180974</xdr:rowOff>
    </xdr:from>
    <xdr:to>
      <xdr:col>10</xdr:col>
      <xdr:colOff>590550</xdr:colOff>
      <xdr:row>68</xdr:row>
      <xdr:rowOff>179293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2A2894A-921E-D3E1-7D1B-8BDC33870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600075</xdr:colOff>
      <xdr:row>45</xdr:row>
      <xdr:rowOff>180974</xdr:rowOff>
    </xdr:from>
    <xdr:to>
      <xdr:col>26</xdr:col>
      <xdr:colOff>257175</xdr:colOff>
      <xdr:row>68</xdr:row>
      <xdr:rowOff>171449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1A090B-0E10-7C7F-B7C9-15504C11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592207</xdr:colOff>
      <xdr:row>71</xdr:row>
      <xdr:rowOff>181389</xdr:rowOff>
    </xdr:from>
    <xdr:to>
      <xdr:col>24</xdr:col>
      <xdr:colOff>294033</xdr:colOff>
      <xdr:row>86</xdr:row>
      <xdr:rowOff>67089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441F876-0795-13D3-ACA9-968A6B151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63953</xdr:colOff>
      <xdr:row>0</xdr:row>
      <xdr:rowOff>0</xdr:rowOff>
    </xdr:from>
    <xdr:to>
      <xdr:col>10</xdr:col>
      <xdr:colOff>54428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8EE2E2-1353-4E6B-B62B-5B2B52A26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224038</xdr:colOff>
      <xdr:row>0</xdr:row>
      <xdr:rowOff>0</xdr:rowOff>
    </xdr:from>
    <xdr:to>
      <xdr:col>20</xdr:col>
      <xdr:colOff>517072</xdr:colOff>
      <xdr:row>26</xdr:row>
      <xdr:rowOff>81642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5750D0-6BB4-4FC6-9465-849249121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136071</xdr:rowOff>
    </xdr:from>
    <xdr:to>
      <xdr:col>35</xdr:col>
      <xdr:colOff>217714</xdr:colOff>
      <xdr:row>102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CA6BB9-2810-428B-8876-3DB6F0BFF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164845</xdr:colOff>
      <xdr:row>48</xdr:row>
      <xdr:rowOff>35380</xdr:rowOff>
    </xdr:from>
    <xdr:to>
      <xdr:col>35</xdr:col>
      <xdr:colOff>217715</xdr:colOff>
      <xdr:row>75</xdr:row>
      <xdr:rowOff>136072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E3C70D-7AC0-4A39-AAF6-7ACFD2EBE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219353</xdr:colOff>
      <xdr:row>0</xdr:row>
      <xdr:rowOff>0</xdr:rowOff>
    </xdr:from>
    <xdr:to>
      <xdr:col>35</xdr:col>
      <xdr:colOff>299357</xdr:colOff>
      <xdr:row>26</xdr:row>
      <xdr:rowOff>136070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0086373-6A58-479F-BA2B-A7E031BF0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210790</xdr:colOff>
      <xdr:row>27</xdr:row>
      <xdr:rowOff>40822</xdr:rowOff>
    </xdr:from>
    <xdr:to>
      <xdr:col>35</xdr:col>
      <xdr:colOff>272143</xdr:colOff>
      <xdr:row>47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579BF6-1526-48FF-91F6-9F86AF1E8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27214</xdr:colOff>
      <xdr:row>26</xdr:row>
      <xdr:rowOff>163286</xdr:rowOff>
    </xdr:from>
    <xdr:to>
      <xdr:col>20</xdr:col>
      <xdr:colOff>517070</xdr:colOff>
      <xdr:row>47</xdr:row>
      <xdr:rowOff>60911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4E61D17-22E9-46EF-9E0A-4C6AA2D06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</xdr:colOff>
      <xdr:row>48</xdr:row>
      <xdr:rowOff>62593</xdr:rowOff>
    </xdr:from>
    <xdr:to>
      <xdr:col>20</xdr:col>
      <xdr:colOff>544286</xdr:colOff>
      <xdr:row>75</xdr:row>
      <xdr:rowOff>122465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666878-79AD-4F19-AB05-AF23C0B21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435428</xdr:colOff>
      <xdr:row>0</xdr:row>
      <xdr:rowOff>40820</xdr:rowOff>
    </xdr:from>
    <xdr:to>
      <xdr:col>53</xdr:col>
      <xdr:colOff>27214</xdr:colOff>
      <xdr:row>103</xdr:row>
      <xdr:rowOff>163285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7F0AF58-90EA-9FDA-A849-3100B0D5A481}"/>
            </a:ext>
          </a:extLst>
        </xdr:cNvPr>
        <xdr:cNvSpPr txBox="1"/>
      </xdr:nvSpPr>
      <xdr:spPr>
        <a:xfrm>
          <a:off x="21866678" y="40820"/>
          <a:ext cx="10613572" cy="19743965"/>
        </a:xfrm>
        <a:prstGeom prst="rect">
          <a:avLst/>
        </a:prstGeom>
        <a:gradFill flip="none" rotWithShape="1">
          <a:gsLst>
            <a:gs pos="0">
              <a:schemeClr val="accent1">
                <a:lumMod val="40000"/>
                <a:lumOff val="60000"/>
              </a:schemeClr>
            </a:gs>
            <a:gs pos="46000">
              <a:schemeClr val="accent1">
                <a:lumMod val="95000"/>
                <a:lumOff val="5000"/>
              </a:schemeClr>
            </a:gs>
            <a:gs pos="100000">
              <a:schemeClr val="accent1">
                <a:lumMod val="60000"/>
              </a:schemeClr>
            </a:gs>
          </a:gsLst>
          <a:path path="circle">
            <a:fillToRect l="50000" t="130000" r="50000" b="-30000"/>
          </a:path>
          <a:tileRect/>
        </a:gra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000"/>
            <a:t>   </a:t>
          </a:r>
          <a:r>
            <a:rPr lang="pt-BR" sz="2400" b="1">
              <a:latin typeface="Aptos Black" panose="020F0502020204030204" pitchFamily="34" charset="0"/>
            </a:rPr>
            <a:t>CONCLUSÕES</a:t>
          </a:r>
        </a:p>
        <a:p>
          <a:endParaRPr lang="pt-BR" sz="2000"/>
        </a:p>
        <a:p>
          <a:r>
            <a:rPr lang="pt-BR" sz="2000"/>
            <a:t>   A análise diagnóstica teve como objetivo identificar </a:t>
          </a:r>
          <a:r>
            <a:rPr lang="pt-BR" sz="2000" b="1"/>
            <a:t>por que</a:t>
          </a:r>
          <a:r>
            <a:rPr lang="pt-BR" sz="2000"/>
            <a:t> as vendas semanais variam ao longo do período estudado. Para isso, avaliamos fatores externos, internos e sazonais, buscando padrões que expliquem os movimentos observados nos dados.</a:t>
          </a:r>
        </a:p>
        <a:p>
          <a:endParaRPr lang="pt-BR" sz="2000"/>
        </a:p>
        <a:p>
          <a:r>
            <a:rPr lang="pt-BR" sz="2000"/>
            <a:t>   Primeiro, investigamos variáveis externas como </a:t>
          </a:r>
          <a:r>
            <a:rPr lang="pt-BR" sz="2000" b="1"/>
            <a:t>temperatura, preço do combustível, inflação (CPI)</a:t>
          </a:r>
          <a:r>
            <a:rPr lang="pt-BR" sz="2000"/>
            <a:t> e </a:t>
          </a:r>
          <a:r>
            <a:rPr lang="pt-BR" sz="2000" b="1"/>
            <a:t>desemprego</a:t>
          </a:r>
          <a:r>
            <a:rPr lang="pt-BR" sz="2000"/>
            <a:t>. As regressões lineares mostraram valores de R² extremamente baixos (entre 0,0008 e 0,0098), indicando que </a:t>
          </a:r>
          <a:r>
            <a:rPr lang="pt-BR" sz="2000" b="1"/>
            <a:t>nenhum desses fatores possui relação significativa com as vendas semanais</a:t>
          </a:r>
          <a:r>
            <a:rPr lang="pt-BR" sz="2000"/>
            <a:t>. Isso significa que oscilações climáticas e econômicas não explicam o comportamento das vendas no período analisado.</a:t>
          </a:r>
        </a:p>
        <a:p>
          <a:endParaRPr lang="pt-BR" sz="2000"/>
        </a:p>
        <a:p>
          <a:r>
            <a:rPr lang="pt-BR" sz="2000"/>
            <a:t>  Em seguida, avaliamos o desempenho ao longo do tempo. A visão anual revelou que </a:t>
          </a:r>
          <a:r>
            <a:rPr lang="pt-BR" sz="2000" b="1"/>
            <a:t>2011 foi o melhor ano</a:t>
          </a:r>
          <a:r>
            <a:rPr lang="pt-BR" sz="2000"/>
            <a:t>, seguido por uma queda relevante em 2012, sugerindo uma possível perda de tração ou efeitos internos do negócio. A análise mensal mostrou que o Walmart possui </a:t>
          </a:r>
          <a:r>
            <a:rPr lang="pt-BR" sz="2000" b="1"/>
            <a:t>sazonalidade moderada</a:t>
          </a:r>
          <a:r>
            <a:rPr lang="pt-BR" sz="2000"/>
            <a:t>: meses como </a:t>
          </a:r>
          <a:r>
            <a:rPr lang="pt-BR" sz="2000" b="1"/>
            <a:t>janeiro, julho e agosto</a:t>
          </a:r>
          <a:r>
            <a:rPr lang="pt-BR" sz="2000"/>
            <a:t> apresentam participação menor nas vendas totais (cerca de 7%), enquanto a maior parte dos meses gira em torno de </a:t>
          </a:r>
          <a:r>
            <a:rPr lang="pt-BR" sz="2000" b="1"/>
            <a:t>9%</a:t>
          </a:r>
          <a:r>
            <a:rPr lang="pt-BR" sz="2000"/>
            <a:t>, indicando picos suaves, especialmente entre setembro e dezembro.</a:t>
          </a:r>
        </a:p>
        <a:p>
          <a:endParaRPr lang="pt-BR" sz="2000"/>
        </a:p>
        <a:p>
          <a:r>
            <a:rPr lang="pt-BR" sz="2000"/>
            <a:t>   Também comparamos o comportamento de semanas com e sem feriados. Apesar do volume total de semanas normais ser maior, concluímos que feriados </a:t>
          </a:r>
          <a:r>
            <a:rPr lang="pt-BR" sz="2000" b="1"/>
            <a:t>não são o principal responsável pela variação de vendas</a:t>
          </a:r>
          <a:r>
            <a:rPr lang="pt-BR" sz="2000"/>
            <a:t>, reforçando que a sazonalidade é limitada.</a:t>
          </a:r>
        </a:p>
        <a:p>
          <a:endParaRPr lang="pt-BR" sz="2000"/>
        </a:p>
        <a:p>
          <a:r>
            <a:rPr lang="pt-BR" sz="2000"/>
            <a:t>  Por fim, analisamos as lojas individualmente e identificamos uma diferença significativa de desempenho entre elas. Algumas unidades ultrapassam facilmente </a:t>
          </a:r>
          <a:r>
            <a:rPr lang="pt-BR" sz="2000" b="1"/>
            <a:t>R$ 120 milhões</a:t>
          </a:r>
          <a:r>
            <a:rPr lang="pt-BR" sz="2000"/>
            <a:t> no período, enquanto outras não chegam a </a:t>
          </a:r>
          <a:r>
            <a:rPr lang="pt-BR" sz="2000" b="1"/>
            <a:t>R$ 20 milhões</a:t>
          </a:r>
          <a:r>
            <a:rPr lang="pt-BR" sz="2000"/>
            <a:t>, evidenciando que </a:t>
          </a:r>
          <a:r>
            <a:rPr lang="pt-BR" sz="2000" b="1"/>
            <a:t>as maiores variações nas vendas são explicadas por diferenças internas entre lojas</a:t>
          </a:r>
          <a:r>
            <a:rPr lang="pt-BR" sz="2000"/>
            <a:t>, e não por fatores externos.</a:t>
          </a:r>
        </a:p>
        <a:p>
          <a:endParaRPr lang="pt-BR" sz="2000"/>
        </a:p>
        <a:p>
          <a:r>
            <a:rPr lang="pt-BR" sz="2000"/>
            <a:t>  Em resumo, a análise diagnóstica indica que:</a:t>
          </a:r>
        </a:p>
        <a:p>
          <a:r>
            <a:rPr lang="pt-BR" sz="2000" b="1"/>
            <a:t>Fatores externos não influenciam as vendas</a:t>
          </a:r>
          <a:r>
            <a:rPr lang="pt-BR" sz="2000"/>
            <a:t>;</a:t>
          </a:r>
        </a:p>
        <a:p>
          <a:r>
            <a:rPr lang="pt-BR" sz="2000" b="1"/>
            <a:t>A sazonalidade é moderada e explica apenas parte das oscilações</a:t>
          </a:r>
          <a:r>
            <a:rPr lang="pt-BR" sz="2000"/>
            <a:t>;</a:t>
          </a:r>
        </a:p>
        <a:p>
          <a:r>
            <a:rPr lang="pt-BR" sz="2000" b="1"/>
            <a:t>As diferenças de desempenho entre lojas são o principal fator explicativo</a:t>
          </a:r>
          <a:r>
            <a:rPr lang="pt-BR" sz="2000"/>
            <a:t>;</a:t>
          </a:r>
        </a:p>
        <a:p>
          <a:r>
            <a:rPr lang="pt-BR" sz="2000" b="1"/>
            <a:t>Tendências anuais mostram estabilidade, mas com queda em 2012</a:t>
          </a:r>
          <a:r>
            <a:rPr lang="pt-BR" sz="2000"/>
            <a:t>.</a:t>
          </a:r>
        </a:p>
        <a:p>
          <a:endParaRPr lang="pt-BR" sz="2000"/>
        </a:p>
        <a:p>
          <a:r>
            <a:rPr lang="pt-BR" sz="2000"/>
            <a:t>  Esses achados nos direcionam para a etapa seguinte: </a:t>
          </a:r>
          <a:r>
            <a:rPr lang="pt-BR" sz="2000" b="1"/>
            <a:t>entender como o Walmart pode melhorar resultados</a:t>
          </a:r>
          <a:r>
            <a:rPr lang="pt-BR" sz="2000"/>
            <a:t>, considerando ações específicas por loja e estratégias internas, o que será abordado na análise prescritiva.</a:t>
          </a:r>
        </a:p>
        <a:p>
          <a:pPr marL="0" indent="0"/>
          <a:endParaRPr lang="pt-BR" sz="2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pt-BR" sz="2000" baseline="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pt-BR" sz="2000">
              <a:solidFill>
                <a:schemeClr val="dk1"/>
              </a:solidFill>
              <a:latin typeface="+mn-lt"/>
              <a:ea typeface="+mn-ea"/>
              <a:cs typeface="+mn-cs"/>
            </a:rPr>
            <a:t>As </a:t>
          </a:r>
          <a:r>
            <a:rPr lang="pt-BR" sz="2000" b="1">
              <a:solidFill>
                <a:schemeClr val="dk1"/>
              </a:solidFill>
              <a:latin typeface="+mn-lt"/>
              <a:ea typeface="+mn-ea"/>
              <a:cs typeface="+mn-cs"/>
            </a:rPr>
            <a:t>cinco melhores </a:t>
          </a:r>
          <a:r>
            <a:rPr lang="pt-BR" sz="2000">
              <a:solidFill>
                <a:schemeClr val="dk1"/>
              </a:solidFill>
              <a:latin typeface="+mn-lt"/>
              <a:ea typeface="+mn-ea"/>
              <a:cs typeface="+mn-cs"/>
            </a:rPr>
            <a:t>lojas concentram aproximadamente </a:t>
          </a:r>
          <a:r>
            <a:rPr lang="pt-BR" sz="2000" b="1">
              <a:solidFill>
                <a:schemeClr val="dk1"/>
              </a:solidFill>
              <a:latin typeface="+mn-lt"/>
              <a:ea typeface="+mn-ea"/>
              <a:cs typeface="+mn-cs"/>
            </a:rPr>
            <a:t>21% de todo o faturamento da rede</a:t>
          </a:r>
          <a:r>
            <a:rPr lang="pt-BR" sz="2000">
              <a:solidFill>
                <a:schemeClr val="dk1"/>
              </a:solidFill>
              <a:latin typeface="+mn-lt"/>
              <a:ea typeface="+mn-ea"/>
              <a:cs typeface="+mn-cs"/>
            </a:rPr>
            <a:t>. Isso evidencia um </a:t>
          </a:r>
          <a:r>
            <a:rPr lang="pt-BR" sz="2000" b="1">
              <a:solidFill>
                <a:schemeClr val="dk1"/>
              </a:solidFill>
              <a:latin typeface="+mn-lt"/>
              <a:ea typeface="+mn-ea"/>
              <a:cs typeface="+mn-cs"/>
            </a:rPr>
            <a:t>nível relevante </a:t>
          </a:r>
          <a:r>
            <a:rPr lang="pt-BR" sz="2000">
              <a:solidFill>
                <a:schemeClr val="dk1"/>
              </a:solidFill>
              <a:latin typeface="+mn-lt"/>
              <a:ea typeface="+mn-ea"/>
              <a:cs typeface="+mn-cs"/>
            </a:rPr>
            <a:t>de concentração nas operações, onde </a:t>
          </a:r>
          <a:r>
            <a:rPr lang="pt-BR" sz="2000" b="1">
              <a:solidFill>
                <a:schemeClr val="dk1"/>
              </a:solidFill>
              <a:latin typeface="+mn-lt"/>
              <a:ea typeface="+mn-ea"/>
              <a:cs typeface="+mn-cs"/>
            </a:rPr>
            <a:t>poucas lojas</a:t>
          </a:r>
          <a:r>
            <a:rPr lang="pt-BR" sz="2000">
              <a:solidFill>
                <a:schemeClr val="dk1"/>
              </a:solidFill>
              <a:latin typeface="+mn-lt"/>
              <a:ea typeface="+mn-ea"/>
              <a:cs typeface="+mn-cs"/>
            </a:rPr>
            <a:t> são </a:t>
          </a:r>
          <a:r>
            <a:rPr lang="pt-BR" sz="2000" b="1">
              <a:solidFill>
                <a:schemeClr val="dk1"/>
              </a:solidFill>
              <a:latin typeface="+mn-lt"/>
              <a:ea typeface="+mn-ea"/>
              <a:cs typeface="+mn-cs"/>
            </a:rPr>
            <a:t>responsáveis</a:t>
          </a:r>
          <a:r>
            <a:rPr lang="pt-BR" sz="2000">
              <a:solidFill>
                <a:schemeClr val="dk1"/>
              </a:solidFill>
              <a:latin typeface="+mn-lt"/>
              <a:ea typeface="+mn-ea"/>
              <a:cs typeface="+mn-cs"/>
            </a:rPr>
            <a:t> por uma fatia significativa das vendas totais. Essas unidades devem ser analisadas separadamente para identificar boas práticas, enquanto estratégias específicas podem ser aplicadas às lojas de baixa performance para reduzir a desigualdade operacional.</a:t>
          </a:r>
        </a:p>
      </xdr:txBody>
    </xdr:sp>
    <xdr:clientData/>
  </xdr:twoCellAnchor>
  <xdr:twoCellAnchor>
    <xdr:from>
      <xdr:col>0</xdr:col>
      <xdr:colOff>0</xdr:colOff>
      <xdr:row>48</xdr:row>
      <xdr:rowOff>81643</xdr:rowOff>
    </xdr:from>
    <xdr:to>
      <xdr:col>9</xdr:col>
      <xdr:colOff>489856</xdr:colOff>
      <xdr:row>75</xdr:row>
      <xdr:rowOff>108857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CCD31BF-0F19-4ECE-8D12-C259CFC4D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277906</xdr:colOff>
      <xdr:row>8</xdr:row>
      <xdr:rowOff>152400</xdr:rowOff>
    </xdr:from>
    <xdr:to>
      <xdr:col>11</xdr:col>
      <xdr:colOff>946337</xdr:colOff>
      <xdr:row>32</xdr:row>
      <xdr:rowOff>129988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C656EC-0601-69D2-B4C1-5AFABD1CE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12887</xdr:colOff>
      <xdr:row>8</xdr:row>
      <xdr:rowOff>140074</xdr:rowOff>
    </xdr:from>
    <xdr:to>
      <xdr:col>17</xdr:col>
      <xdr:colOff>219075</xdr:colOff>
      <xdr:row>32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59BEF6-BB41-C6C9-826A-6BB8973ED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0</xdr:row>
      <xdr:rowOff>0</xdr:rowOff>
    </xdr:from>
    <xdr:to>
      <xdr:col>20</xdr:col>
      <xdr:colOff>601756</xdr:colOff>
      <xdr:row>23</xdr:row>
      <xdr:rowOff>168088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DC64CD-EF38-4005-A76A-D0E06FFCD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0</xdr:rowOff>
    </xdr:from>
    <xdr:to>
      <xdr:col>9</xdr:col>
      <xdr:colOff>596713</xdr:colOff>
      <xdr:row>23</xdr:row>
      <xdr:rowOff>183776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8DF883-A975-4EFF-800D-DD519BFA4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33</xdr:row>
      <xdr:rowOff>9524</xdr:rowOff>
    </xdr:from>
    <xdr:to>
      <xdr:col>10</xdr:col>
      <xdr:colOff>9525</xdr:colOff>
      <xdr:row>99</xdr:row>
      <xdr:rowOff>38100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5CF3CD7-3E16-8CD6-DF83-516A7EABAA5F}"/>
            </a:ext>
          </a:extLst>
        </xdr:cNvPr>
        <xdr:cNvSpPr txBox="1"/>
      </xdr:nvSpPr>
      <xdr:spPr>
        <a:xfrm>
          <a:off x="133350" y="6296024"/>
          <a:ext cx="10144125" cy="12601576"/>
        </a:xfrm>
        <a:prstGeom prst="rect">
          <a:avLst/>
        </a:prstGeom>
        <a:gradFill>
          <a:gsLst>
            <a:gs pos="0">
              <a:schemeClr val="accent1">
                <a:lumMod val="42000"/>
                <a:lumOff val="58000"/>
              </a:schemeClr>
            </a:gs>
            <a:gs pos="46000">
              <a:schemeClr val="accent1">
                <a:lumMod val="95000"/>
                <a:lumOff val="5000"/>
              </a:schemeClr>
            </a:gs>
            <a:gs pos="100000">
              <a:schemeClr val="accent1">
                <a:lumMod val="60000"/>
              </a:schemeClr>
            </a:gs>
          </a:gsLst>
          <a:path path="circle">
            <a:fillToRect l="50000" t="130000" r="50000" b="-30000"/>
          </a:path>
        </a:gra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2000" b="1"/>
            <a:t>REVISÃO PREDITIVA</a:t>
          </a:r>
        </a:p>
        <a:p>
          <a:pPr algn="l"/>
          <a:endParaRPr lang="pt-BR" sz="1400" b="1"/>
        </a:p>
        <a:p>
          <a:pPr algn="l"/>
          <a:r>
            <a:rPr lang="pt-BR" sz="1400" b="1"/>
            <a:t>OBJETIVO</a:t>
          </a:r>
        </a:p>
        <a:p>
          <a:pPr algn="l"/>
          <a:r>
            <a:rPr lang="pt-BR" sz="1400" b="1"/>
            <a:t>Avaliar o comportamento das vendas ao longo do tempo e projetar resultados futuros usando dois métodos simples </a:t>
          </a:r>
        </a:p>
        <a:p>
          <a:pPr algn="l"/>
          <a:r>
            <a:rPr lang="pt-BR" sz="1400" b="1"/>
            <a:t>— Média Móvel (3 meses) e Regressão Linear — a fim de verificar se a série permite previsões confiáveis.</a:t>
          </a:r>
        </a:p>
        <a:p>
          <a:pPr algn="l"/>
          <a:endParaRPr lang="pt-BR" sz="1400" b="1"/>
        </a:p>
        <a:p>
          <a:pPr algn="l"/>
          <a:r>
            <a:rPr lang="pt-BR" sz="1400" b="1"/>
            <a:t>------------------------------------</a:t>
          </a:r>
        </a:p>
        <a:p>
          <a:pPr algn="l"/>
          <a:r>
            <a:rPr lang="pt-BR" sz="1400" b="1"/>
            <a:t>1. COMPORTAMENTO HISTÓRICO</a:t>
          </a:r>
        </a:p>
        <a:p>
          <a:pPr algn="l"/>
          <a:r>
            <a:rPr lang="pt-BR" sz="1400" b="1"/>
            <a:t>Os valores mensais apresentam comportamento altamente instável. Há meses com vendas muito altas e outros com quedas bruscas, </a:t>
          </a:r>
        </a:p>
        <a:p>
          <a:pPr algn="l"/>
          <a:r>
            <a:rPr lang="pt-BR" sz="1400" b="1"/>
            <a:t>sem padrão consistente.</a:t>
          </a:r>
          <a:r>
            <a:rPr lang="pt-BR" sz="1400" b="1" baseline="0"/>
            <a:t> </a:t>
          </a:r>
          <a:r>
            <a:rPr lang="pt-BR" sz="1400" b="1"/>
            <a:t>Essa volatilidade é irregular e torna difícil identificar tendências claras ou sazonalidade.</a:t>
          </a:r>
        </a:p>
        <a:p>
          <a:pPr algn="l"/>
          <a:endParaRPr lang="pt-BR" sz="1400" b="1"/>
        </a:p>
        <a:p>
          <a:pPr algn="l"/>
          <a:r>
            <a:rPr lang="pt-BR" sz="1400" b="1"/>
            <a:t>------------------------------------</a:t>
          </a:r>
        </a:p>
        <a:p>
          <a:pPr algn="l"/>
          <a:r>
            <a:rPr lang="pt-BR" sz="1400" b="1"/>
            <a:t>2. MÉTODOS DE PREVISÃO TESTADOS</a:t>
          </a:r>
        </a:p>
        <a:p>
          <a:pPr algn="l"/>
          <a:endParaRPr lang="pt-BR" sz="1400" b="1"/>
        </a:p>
        <a:p>
          <a:pPr algn="l"/>
          <a:r>
            <a:rPr lang="pt-BR" sz="1400" b="1"/>
            <a:t>• Média Móvel (3 meses)</a:t>
          </a:r>
        </a:p>
        <a:p>
          <a:pPr algn="l"/>
          <a:r>
            <a:rPr lang="pt-BR" sz="1400" b="1"/>
            <a:t>  - Suaviza o comportamento recente.</a:t>
          </a:r>
        </a:p>
        <a:p>
          <a:pPr algn="l"/>
          <a:r>
            <a:rPr lang="pt-BR" sz="1400" b="1"/>
            <a:t>  - Responde de forma lenta a mudanças abruptas.</a:t>
          </a:r>
        </a:p>
        <a:p>
          <a:pPr algn="l"/>
          <a:r>
            <a:rPr lang="pt-BR" sz="1400" b="1"/>
            <a:t>  - Desempenho fraco em séries voláteis como esta.</a:t>
          </a:r>
        </a:p>
        <a:p>
          <a:pPr algn="l"/>
          <a:endParaRPr lang="pt-BR" sz="1400" b="1"/>
        </a:p>
        <a:p>
          <a:pPr algn="l"/>
          <a:r>
            <a:rPr lang="pt-BR" sz="1400" b="1"/>
            <a:t>• Regressão Linear</a:t>
          </a:r>
        </a:p>
        <a:p>
          <a:pPr algn="l"/>
          <a:r>
            <a:rPr lang="pt-BR" sz="1400" b="1"/>
            <a:t>  - Gera uma tendência geral decrescente.</a:t>
          </a:r>
        </a:p>
        <a:p>
          <a:pPr algn="l"/>
          <a:r>
            <a:rPr lang="pt-BR" sz="1400" b="1"/>
            <a:t>  - Assume linearidade, mas os dados reais não seguem essa lógica.</a:t>
          </a:r>
        </a:p>
        <a:p>
          <a:pPr algn="l"/>
          <a:r>
            <a:rPr lang="pt-BR" sz="1400" b="1"/>
            <a:t>  - Produz previsões distantes da realidade.</a:t>
          </a:r>
        </a:p>
        <a:p>
          <a:pPr algn="l"/>
          <a:endParaRPr lang="pt-BR" sz="1400" b="1"/>
        </a:p>
        <a:p>
          <a:pPr algn="l"/>
          <a:r>
            <a:rPr lang="pt-BR" sz="1400" b="1"/>
            <a:t>------------------------------------</a:t>
          </a:r>
        </a:p>
        <a:p>
          <a:pPr algn="l"/>
          <a:r>
            <a:rPr lang="pt-BR" sz="1400" b="1"/>
            <a:t>3. AVALIAÇÃO DA ACURÁCIA (HOLDOUT 6 MESES)</a:t>
          </a:r>
        </a:p>
        <a:p>
          <a:pPr algn="l"/>
          <a:r>
            <a:rPr lang="pt-BR" sz="1400" b="1"/>
            <a:t>As previsões foram comparadas aos valores reais dos últimos 6 meses disponíveis.</a:t>
          </a:r>
        </a:p>
        <a:p>
          <a:pPr algn="l"/>
          <a:endParaRPr lang="pt-BR" sz="1400" b="1"/>
        </a:p>
        <a:p>
          <a:pPr algn="l"/>
          <a:r>
            <a:rPr lang="pt-BR" sz="1400" b="1"/>
            <a:t>MAPE: 43%</a:t>
          </a:r>
        </a:p>
        <a:p>
          <a:pPr algn="l"/>
          <a:r>
            <a:rPr lang="pt-BR" sz="1400" b="1"/>
            <a:t>MSE: 5,33 × 10¹⁴</a:t>
          </a:r>
        </a:p>
        <a:p>
          <a:pPr algn="l"/>
          <a:r>
            <a:rPr lang="pt-BR" sz="1400" b="1"/>
            <a:t>RMSE: R$ 23.102.610</a:t>
          </a:r>
        </a:p>
        <a:p>
          <a:pPr algn="l"/>
          <a:endParaRPr lang="pt-BR" sz="1400" b="1"/>
        </a:p>
        <a:p>
          <a:pPr algn="l"/>
          <a:r>
            <a:rPr lang="pt-BR" sz="1400" b="1"/>
            <a:t>Interpretação:</a:t>
          </a:r>
        </a:p>
        <a:p>
          <a:pPr algn="l"/>
          <a:r>
            <a:rPr lang="pt-BR" sz="1400" b="1"/>
            <a:t>- O MAPE de 43% indica que o modelo erra, em média, mais de 40%.</a:t>
          </a:r>
        </a:p>
        <a:p>
          <a:pPr algn="l"/>
          <a:r>
            <a:rPr lang="pt-BR" sz="1400" b="1"/>
            <a:t>- Os erros elevados mostram que nenhum dos métodos simples consegue capturar o comportamento real.</a:t>
          </a:r>
        </a:p>
        <a:p>
          <a:pPr algn="l"/>
          <a:r>
            <a:rPr lang="pt-BR" sz="1400" b="1"/>
            <a:t>- A série não possui estrutura previsível suficiente para modelos básicos.</a:t>
          </a:r>
        </a:p>
        <a:p>
          <a:pPr algn="l"/>
          <a:endParaRPr lang="pt-BR" sz="1400" b="1"/>
        </a:p>
        <a:p>
          <a:pPr algn="l"/>
          <a:r>
            <a:rPr lang="pt-BR" sz="1400" b="1"/>
            <a:t>------------------------------------</a:t>
          </a:r>
        </a:p>
        <a:p>
          <a:pPr algn="l"/>
          <a:r>
            <a:rPr lang="pt-BR" sz="1400" b="1"/>
            <a:t>4. CONCLUSÕES PRINCIPAIS</a:t>
          </a:r>
        </a:p>
        <a:p>
          <a:pPr algn="l"/>
          <a:r>
            <a:rPr lang="pt-BR" sz="1400" b="1"/>
            <a:t>- A série é extremamente volátil.</a:t>
          </a:r>
        </a:p>
        <a:p>
          <a:pPr algn="l"/>
          <a:r>
            <a:rPr lang="pt-BR" sz="1400" b="1"/>
            <a:t>- Não há tendência clara de crescimento ou queda.</a:t>
          </a:r>
        </a:p>
        <a:p>
          <a:pPr algn="l"/>
          <a:r>
            <a:rPr lang="pt-BR" sz="1400" b="1"/>
            <a:t>- Picos e vales acontecem de forma irregular.</a:t>
          </a:r>
        </a:p>
        <a:p>
          <a:pPr algn="l"/>
          <a:r>
            <a:rPr lang="pt-BR" sz="1400" b="1"/>
            <a:t>- Tanto a regressão linear quanto a média móvel são inadequadas.</a:t>
          </a:r>
        </a:p>
        <a:p>
          <a:pPr algn="l"/>
          <a:r>
            <a:rPr lang="pt-BR" sz="1400" b="1"/>
            <a:t>- A instabilidade é, por si só, um insight importante sobre o negócio.</a:t>
          </a:r>
        </a:p>
        <a:p>
          <a:pPr algn="l"/>
          <a:endParaRPr lang="pt-BR" sz="1400" b="1"/>
        </a:p>
        <a:p>
          <a:pPr algn="l"/>
          <a:r>
            <a:rPr lang="pt-BR" sz="1400" b="1"/>
            <a:t>------------------------------------</a:t>
          </a:r>
        </a:p>
        <a:p>
          <a:pPr algn="l"/>
          <a:r>
            <a:rPr lang="pt-BR" sz="1400" b="1"/>
            <a:t>5. RECOMENDAÇÕES TÉCNICAS</a:t>
          </a:r>
        </a:p>
        <a:p>
          <a:pPr algn="l"/>
          <a:r>
            <a:rPr lang="pt-BR" sz="1400" b="1"/>
            <a:t>- Incluir variáveis externas (promoções, categorias, inventário, feriados específicos).</a:t>
          </a:r>
        </a:p>
        <a:p>
          <a:pPr algn="l"/>
          <a:r>
            <a:rPr lang="pt-BR" sz="1400" b="1"/>
            <a:t>- Testar modelos mais robustos (ARIMA, Prophet, regressões multivariadas).</a:t>
          </a:r>
        </a:p>
        <a:p>
          <a:pPr algn="l"/>
          <a:r>
            <a:rPr lang="pt-BR" sz="1400" b="1"/>
            <a:t>- Usar média móvel apenas como referência visual, não como previsão final.</a:t>
          </a:r>
        </a:p>
        <a:p>
          <a:pPr algn="l"/>
          <a:r>
            <a:rPr lang="pt-BR" sz="1400" b="1"/>
            <a:t>- Criar alertas para meses muito acima/abaixo do padrão.</a:t>
          </a:r>
        </a:p>
        <a:p>
          <a:pPr algn="l"/>
          <a:r>
            <a:rPr lang="pt-BR" sz="1400" b="1"/>
            <a:t>- Revisar possíveis causas internas de instabilidade operacional.</a:t>
          </a:r>
        </a:p>
        <a:p>
          <a:pPr algn="l"/>
          <a:endParaRPr lang="pt-BR" sz="1400" b="1"/>
        </a:p>
        <a:p>
          <a:pPr algn="l"/>
          <a:r>
            <a:rPr lang="pt-BR" sz="1400" b="1"/>
            <a:t>------------------------------------</a:t>
          </a:r>
        </a:p>
        <a:p>
          <a:pPr algn="l"/>
          <a:r>
            <a:rPr lang="pt-BR" sz="1400" b="1"/>
            <a:t>6. ENCERRAMENTO</a:t>
          </a:r>
        </a:p>
        <a:p>
          <a:pPr algn="l"/>
          <a:r>
            <a:rPr lang="pt-BR" sz="1400" b="1"/>
            <a:t>A etapa preditiva mostrou que, embora seja possível gerar previsões simples, elas não são confiáveis devido à natureza volátil da série. </a:t>
          </a:r>
        </a:p>
        <a:p>
          <a:pPr algn="l"/>
          <a:r>
            <a:rPr lang="pt-BR" sz="1400" b="1"/>
            <a:t>A principal entrega é o entendimento da instabilidade do negócio, que orienta diretamente as recomendações da Visão Prescritiva.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203543</xdr:colOff>
      <xdr:row>0</xdr:row>
      <xdr:rowOff>50946</xdr:rowOff>
    </xdr:from>
    <xdr:ext cx="11607457" cy="79269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BF5F77D-B7FB-541A-7CD3-69C230A91171}"/>
            </a:ext>
          </a:extLst>
        </xdr:cNvPr>
        <xdr:cNvSpPr/>
      </xdr:nvSpPr>
      <xdr:spPr>
        <a:xfrm>
          <a:off x="8163722" y="50946"/>
          <a:ext cx="11607457" cy="79269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4000" u="dbl">
              <a:latin typeface="Aptos Black" panose="020B0004020202020204" pitchFamily="34" charset="0"/>
            </a:rPr>
            <a:t>VISÃO PRESCRITIVA — RECOMENDAÇÕES ESTRATÉGICAS</a:t>
          </a:r>
          <a:endParaRPr lang="pt-BR" sz="4000" b="0" u="dbl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Black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</xdr:row>
      <xdr:rowOff>150278</xdr:rowOff>
    </xdr:from>
    <xdr:ext cx="8189653" cy="1811872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3A12FD7-B204-590C-F318-9FEC2A24007D}"/>
            </a:ext>
          </a:extLst>
        </xdr:cNvPr>
        <xdr:cNvSpPr/>
      </xdr:nvSpPr>
      <xdr:spPr>
        <a:xfrm>
          <a:off x="0" y="912278"/>
          <a:ext cx="8189653" cy="181187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pt-BR" sz="2800" b="1"/>
            <a:t>1. Contexto e Objetivo da Prescrição</a:t>
          </a:r>
        </a:p>
        <a:p>
          <a:pPr algn="l"/>
          <a:endParaRPr lang="pt-BR" sz="1800" b="1"/>
        </a:p>
        <a:p>
          <a:pPr algn="l"/>
          <a:r>
            <a:rPr lang="pt-BR" sz="1800"/>
            <a:t>Após analisar o comportamento histórico das vendas (Visão Descritiva), </a:t>
          </a:r>
        </a:p>
        <a:p>
          <a:pPr algn="l"/>
          <a:r>
            <a:rPr lang="pt-BR" sz="1800"/>
            <a:t>entender os padrões e desvios (Diagnóstica) e estimar cenários futuros (Preditiva), </a:t>
          </a:r>
        </a:p>
        <a:p>
          <a:pPr algn="l"/>
          <a:r>
            <a:rPr lang="pt-BR" sz="1800"/>
            <a:t>esta visão apresenta </a:t>
          </a:r>
          <a:r>
            <a:rPr lang="pt-BR" sz="1800" b="1"/>
            <a:t>as ações recomendadas para melhorar o desempenho comercial</a:t>
          </a:r>
          <a:r>
            <a:rPr lang="pt-BR" sz="1800"/>
            <a:t>, </a:t>
          </a:r>
        </a:p>
        <a:p>
          <a:pPr algn="l"/>
          <a:r>
            <a:rPr lang="pt-BR" sz="1800"/>
            <a:t>reduzir riscos de volatilidade e fortalecer as lojas mais relevantes do portfólio.</a:t>
          </a:r>
        </a:p>
      </xdr:txBody>
    </xdr:sp>
    <xdr:clientData/>
  </xdr:oneCellAnchor>
  <xdr:oneCellAnchor>
    <xdr:from>
      <xdr:col>0</xdr:col>
      <xdr:colOff>0</xdr:colOff>
      <xdr:row>17</xdr:row>
      <xdr:rowOff>64553</xdr:rowOff>
    </xdr:from>
    <xdr:ext cx="7996805" cy="6822958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26102EC-A774-3699-DAED-217FA3063279}"/>
            </a:ext>
          </a:extLst>
        </xdr:cNvPr>
        <xdr:cNvSpPr/>
      </xdr:nvSpPr>
      <xdr:spPr>
        <a:xfrm>
          <a:off x="0" y="3303053"/>
          <a:ext cx="7996805" cy="68229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pt-BR" sz="2800" b="1"/>
            <a:t>2. Principais Achados que Guiam as Recomendações</a:t>
          </a:r>
        </a:p>
        <a:p>
          <a:endParaRPr lang="pt-BR" sz="2400" b="1"/>
        </a:p>
        <a:p>
          <a:r>
            <a:rPr lang="pt-BR" sz="1800" b="1"/>
            <a:t>1 - Alta volatilidade mensal:</a:t>
          </a:r>
          <a:br>
            <a:rPr lang="pt-BR" sz="1800"/>
          </a:br>
          <a:r>
            <a:rPr lang="pt-BR" sz="1800"/>
            <a:t>Variações bruscas entre meses e anos, sem padrão sazonal forte.</a:t>
          </a:r>
        </a:p>
        <a:p>
          <a:endParaRPr lang="pt-BR" sz="1800"/>
        </a:p>
        <a:p>
          <a:r>
            <a:rPr lang="pt-BR" sz="1800" b="1"/>
            <a:t>2 - Concentração de faturamento:</a:t>
          </a:r>
          <a:br>
            <a:rPr lang="pt-BR" sz="1800"/>
          </a:br>
          <a:r>
            <a:rPr lang="pt-BR" sz="1800"/>
            <a:t>Cerca de </a:t>
          </a:r>
          <a:r>
            <a:rPr lang="pt-BR" sz="1800" b="1"/>
            <a:t>5 lojas representam aproximadamente 21% de todo o faturamento</a:t>
          </a:r>
          <a:r>
            <a:rPr lang="pt-BR" sz="1800"/>
            <a:t> — </a:t>
          </a:r>
        </a:p>
        <a:p>
          <a:r>
            <a:rPr lang="pt-BR" sz="1800"/>
            <a:t>o que mostra dependência alta de poucos pontos.</a:t>
          </a:r>
        </a:p>
        <a:p>
          <a:endParaRPr lang="pt-BR" sz="1800"/>
        </a:p>
        <a:p>
          <a:r>
            <a:rPr lang="pt-BR" sz="1800" b="1"/>
            <a:t>3 - Baixo impacto de variáveis externas:</a:t>
          </a:r>
          <a:br>
            <a:rPr lang="pt-BR" sz="1800"/>
          </a:br>
          <a:r>
            <a:rPr lang="pt-BR" sz="1800"/>
            <a:t>Temperatura, combustível, CPI e taxa de desemprego tiveram </a:t>
          </a:r>
        </a:p>
        <a:p>
          <a:r>
            <a:rPr lang="pt-BR" sz="1800"/>
            <a:t>R² praticamente nulo → não explicam as vendas.</a:t>
          </a:r>
        </a:p>
        <a:p>
          <a:endParaRPr lang="pt-BR" sz="1800"/>
        </a:p>
        <a:p>
          <a:r>
            <a:rPr lang="pt-BR" sz="1800" b="1"/>
            <a:t>4 - Modelo preditivo com erro elevado (MAPE ~40–60%)</a:t>
          </a:r>
          <a:r>
            <a:rPr lang="pt-BR" sz="1800"/>
            <a:t>:</a:t>
          </a:r>
          <a:br>
            <a:rPr lang="pt-BR" sz="1800"/>
          </a:br>
          <a:r>
            <a:rPr lang="pt-BR" sz="1800"/>
            <a:t>Isso reforça que os dados atuais </a:t>
          </a:r>
          <a:r>
            <a:rPr lang="pt-BR" sz="1800" i="1"/>
            <a:t>não possuem poder explicativo suficiente</a:t>
          </a:r>
          <a:r>
            <a:rPr lang="pt-BR" sz="1800"/>
            <a:t> </a:t>
          </a:r>
        </a:p>
        <a:p>
          <a:r>
            <a:rPr lang="pt-BR" sz="1800"/>
            <a:t>para previsões confiáveis.</a:t>
          </a:r>
        </a:p>
        <a:p>
          <a:endParaRPr lang="pt-BR" sz="1800"/>
        </a:p>
        <a:p>
          <a:r>
            <a:rPr lang="pt-BR" sz="1800" b="1"/>
            <a:t>5 - Meses fortes e fracos variam ano a ano:</a:t>
          </a:r>
          <a:br>
            <a:rPr lang="pt-BR" sz="1800"/>
          </a:br>
          <a:r>
            <a:rPr lang="pt-BR" sz="1800"/>
            <a:t>Não há um padrão sazonal aproveitável, mas existem </a:t>
          </a:r>
        </a:p>
        <a:p>
          <a:r>
            <a:rPr lang="pt-BR" sz="1800"/>
            <a:t>meses que repetidamente aparecem como mais frágeis.</a:t>
          </a:r>
        </a:p>
        <a:p>
          <a:endParaRPr lang="pt-BR" sz="1800"/>
        </a:p>
        <a:p>
          <a:r>
            <a:rPr lang="pt-BR" sz="1800"/>
            <a:t>Esses achados apontam que a empresa enfrenta um cenário de </a:t>
          </a:r>
          <a:r>
            <a:rPr lang="pt-BR" sz="1800" b="1"/>
            <a:t>alto risco</a:t>
          </a:r>
          <a:r>
            <a:rPr lang="pt-BR" sz="1800"/>
            <a:t>, </a:t>
          </a:r>
        </a:p>
        <a:p>
          <a:r>
            <a:rPr lang="pt-BR" sz="1800" b="1"/>
            <a:t>dependência de poucas lojas</a:t>
          </a:r>
          <a:r>
            <a:rPr lang="pt-BR" sz="1800"/>
            <a:t> e </a:t>
          </a:r>
          <a:r>
            <a:rPr lang="pt-BR" sz="1800" b="1"/>
            <a:t>baixa previsibilidade</a:t>
          </a:r>
          <a:r>
            <a:rPr lang="pt-BR" sz="1800"/>
            <a:t>.</a:t>
          </a:r>
        </a:p>
      </xdr:txBody>
    </xdr:sp>
    <xdr:clientData/>
  </xdr:oneCellAnchor>
  <xdr:oneCellAnchor>
    <xdr:from>
      <xdr:col>19</xdr:col>
      <xdr:colOff>145813</xdr:colOff>
      <xdr:row>4</xdr:row>
      <xdr:rowOff>16928</xdr:rowOff>
    </xdr:from>
    <xdr:ext cx="4842351" cy="530658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EBFD694-1C07-AA6D-A9EF-F40384924959}"/>
            </a:ext>
          </a:extLst>
        </xdr:cNvPr>
        <xdr:cNvSpPr/>
      </xdr:nvSpPr>
      <xdr:spPr>
        <a:xfrm>
          <a:off x="11779920" y="778928"/>
          <a:ext cx="484235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800" b="1"/>
            <a:t>3. Recomendações Prescritivas</a:t>
          </a:r>
          <a:endParaRPr lang="pt-BR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609599</xdr:colOff>
      <xdr:row>7</xdr:row>
      <xdr:rowOff>19048</xdr:rowOff>
    </xdr:from>
    <xdr:ext cx="4486275" cy="4457701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1C34AF8-D690-516A-2046-64155FD4F81F}"/>
            </a:ext>
          </a:extLst>
        </xdr:cNvPr>
        <xdr:cNvSpPr txBox="1"/>
      </xdr:nvSpPr>
      <xdr:spPr>
        <a:xfrm>
          <a:off x="9753599" y="1352548"/>
          <a:ext cx="4486275" cy="4457701"/>
        </a:xfrm>
        <a:prstGeom prst="rect">
          <a:avLst/>
        </a:prstGeom>
        <a:gradFill>
          <a:gsLst>
            <a:gs pos="0">
              <a:schemeClr val="accent1">
                <a:lumMod val="42000"/>
                <a:lumOff val="58000"/>
              </a:schemeClr>
            </a:gs>
            <a:gs pos="46000">
              <a:schemeClr val="accent1">
                <a:lumMod val="95000"/>
                <a:lumOff val="5000"/>
              </a:schemeClr>
            </a:gs>
            <a:gs pos="100000">
              <a:schemeClr val="accent1">
                <a:lumMod val="60000"/>
              </a:schemeClr>
            </a:gs>
          </a:gsLst>
          <a:path path="circle">
            <a:fillToRect l="50000" t="130000" r="50000" b="-30000"/>
          </a:path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/>
            <a:t>PILAR 1 — Fortalecer as Lojas de Maior Impacto (Pareto)</a:t>
          </a:r>
        </a:p>
        <a:p>
          <a:r>
            <a:rPr lang="pt-BR" sz="1400" i="1"/>
            <a:t>(Foco nas lojas que representam ~21% das vendas totais)</a:t>
          </a:r>
          <a:endParaRPr lang="pt-BR" sz="1400"/>
        </a:p>
        <a:p>
          <a:r>
            <a:rPr lang="pt-BR" sz="1400" b="1"/>
            <a:t>Ações:</a:t>
          </a:r>
        </a:p>
        <a:p>
          <a:r>
            <a:rPr lang="pt-BR" sz="1400" b="1"/>
            <a:t>Priorizar investimentos e operação nas Top 5 lojas:</a:t>
          </a:r>
          <a:br>
            <a:rPr lang="pt-BR" sz="1400"/>
          </a:br>
          <a:r>
            <a:rPr lang="pt-BR" sz="1400"/>
            <a:t>Estoque, equipe, reposição, promoções e campanhas devem começar por elas.</a:t>
          </a:r>
        </a:p>
        <a:p>
          <a:r>
            <a:rPr lang="pt-BR" sz="1400" b="1"/>
            <a:t>Criar metas personalizadas para essas lojas:</a:t>
          </a:r>
          <a:br>
            <a:rPr lang="pt-BR" sz="1400"/>
          </a:br>
          <a:r>
            <a:rPr lang="pt-BR" sz="1400"/>
            <a:t>Gerentes devem ter indicadores específicos baseados no potencial real delas.</a:t>
          </a:r>
        </a:p>
        <a:p>
          <a:r>
            <a:rPr lang="pt-BR" sz="1400" b="1"/>
            <a:t>Analisar rupturas, filas e capacidade operacional dessas lojas:</a:t>
          </a:r>
          <a:br>
            <a:rPr lang="pt-BR" sz="1400"/>
          </a:br>
          <a:r>
            <a:rPr lang="pt-BR" sz="1400"/>
            <a:t>Problemas simples nessas unidades geram impacto gigante no total da empresa.</a:t>
          </a:r>
        </a:p>
        <a:p>
          <a:r>
            <a:rPr lang="pt-BR" sz="1400" b="1"/>
            <a:t>Mapear perfil de consumo local das top lojas:</a:t>
          </a:r>
          <a:br>
            <a:rPr lang="pt-BR" sz="1400"/>
          </a:br>
          <a:r>
            <a:rPr lang="pt-BR" sz="1400"/>
            <a:t>Podem existir categorias específicas responsáveis pelo faturamento elevado.</a:t>
          </a:r>
        </a:p>
        <a:p>
          <a:r>
            <a:rPr lang="pt-BR" sz="1400"/>
            <a:t>📌 </a:t>
          </a:r>
          <a:r>
            <a:rPr lang="pt-BR" sz="1400" b="1"/>
            <a:t>Por que isso importa?</a:t>
          </a:r>
          <a:br>
            <a:rPr lang="pt-BR" sz="1400"/>
          </a:br>
          <a:r>
            <a:rPr lang="pt-BR" sz="1400"/>
            <a:t>Melhorar 10% nas 5 lojas mais fortes gera mais impacto que melhorar 30 lojas medianas.</a:t>
          </a:r>
          <a:br>
            <a:rPr lang="pt-BR" sz="1400"/>
          </a:br>
          <a:r>
            <a:rPr lang="pt-BR" sz="1400"/>
            <a:t>É a melhor estratégia custo x resultado.</a:t>
          </a:r>
        </a:p>
        <a:p>
          <a:endParaRPr lang="pt-BR" sz="1400">
            <a:solidFill>
              <a:schemeClr val="bg1"/>
            </a:solidFill>
          </a:endParaRPr>
        </a:p>
      </xdr:txBody>
    </xdr:sp>
    <xdr:clientData/>
  </xdr:oneCellAnchor>
  <xdr:oneCellAnchor>
    <xdr:from>
      <xdr:col>23</xdr:col>
      <xdr:colOff>352424</xdr:colOff>
      <xdr:row>7</xdr:row>
      <xdr:rowOff>19048</xdr:rowOff>
    </xdr:from>
    <xdr:ext cx="4486275" cy="445770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4FF8EFE-4CE3-4C44-ADF3-CAB496A15C2D}"/>
            </a:ext>
          </a:extLst>
        </xdr:cNvPr>
        <xdr:cNvSpPr txBox="1"/>
      </xdr:nvSpPr>
      <xdr:spPr>
        <a:xfrm>
          <a:off x="14373224" y="1352548"/>
          <a:ext cx="4486275" cy="4457701"/>
        </a:xfrm>
        <a:prstGeom prst="rect">
          <a:avLst/>
        </a:prstGeom>
        <a:gradFill>
          <a:gsLst>
            <a:gs pos="0">
              <a:schemeClr val="accent1">
                <a:lumMod val="42000"/>
                <a:lumOff val="58000"/>
              </a:schemeClr>
            </a:gs>
            <a:gs pos="46000">
              <a:schemeClr val="accent1">
                <a:lumMod val="95000"/>
                <a:lumOff val="5000"/>
              </a:schemeClr>
            </a:gs>
            <a:gs pos="100000">
              <a:schemeClr val="accent1">
                <a:lumMod val="60000"/>
              </a:schemeClr>
            </a:gs>
          </a:gsLst>
          <a:path path="circle">
            <a:fillToRect l="50000" t="130000" r="50000" b="-30000"/>
          </a:path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/>
            <a:t>PILAR 2 — Reduzir Volatilidade das Vendas</a:t>
          </a:r>
        </a:p>
        <a:p>
          <a:r>
            <a:rPr lang="pt-BR" sz="1400"/>
            <a:t>Como as vendas oscilam fortemente, a empresa precisa estabilizar a operação.</a:t>
          </a:r>
        </a:p>
        <a:p>
          <a:r>
            <a:rPr lang="pt-BR" sz="1400" b="1"/>
            <a:t>Ações:</a:t>
          </a:r>
        </a:p>
        <a:p>
          <a:r>
            <a:rPr lang="pt-BR" sz="1400" b="1"/>
            <a:t>Implementar monitoramento semanal com alertas automáticos:</a:t>
          </a:r>
          <a:br>
            <a:rPr lang="pt-BR" sz="1400"/>
          </a:br>
          <a:r>
            <a:rPr lang="pt-BR" sz="1400"/>
            <a:t>Identificar rapidamente semanas anormalmente altas ou baixas.</a:t>
          </a:r>
        </a:p>
        <a:p>
          <a:r>
            <a:rPr lang="pt-BR" sz="1400" b="1"/>
            <a:t>Criar gatilhos de ação rápida:</a:t>
          </a:r>
          <a:br>
            <a:rPr lang="pt-BR" sz="1400"/>
          </a:br>
          <a:r>
            <a:rPr lang="pt-BR" sz="1400"/>
            <a:t>Se a venda cair +15% em relação à média → ativar campanha local, checklist operacional e reforço de estoque.</a:t>
          </a:r>
        </a:p>
        <a:p>
          <a:r>
            <a:rPr lang="pt-BR" sz="1400" b="1"/>
            <a:t>Analisar categorias e tickets nas semanas mais voláteis:</a:t>
          </a:r>
          <a:br>
            <a:rPr lang="pt-BR" sz="1400"/>
          </a:br>
          <a:r>
            <a:rPr lang="pt-BR" sz="1400"/>
            <a:t>Sem entender </a:t>
          </a:r>
          <a:r>
            <a:rPr lang="pt-BR" sz="1400" i="1"/>
            <a:t>o que</a:t>
          </a:r>
          <a:r>
            <a:rPr lang="pt-BR" sz="1400"/>
            <a:t> vende, nenhuma intervenção funciona.</a:t>
          </a:r>
        </a:p>
        <a:p>
          <a:r>
            <a:rPr lang="pt-BR" sz="1400" b="1"/>
            <a:t>Padronizar ações comerciais nos meses historicamente fracos:</a:t>
          </a:r>
          <a:br>
            <a:rPr lang="pt-BR" sz="1400"/>
          </a:br>
          <a:r>
            <a:rPr lang="pt-BR" sz="1400"/>
            <a:t>Mesmo sem sazonalidade forte, alguns meses consistentemente aparecem mais fracos.</a:t>
          </a:r>
        </a:p>
      </xdr:txBody>
    </xdr:sp>
    <xdr:clientData/>
  </xdr:oneCellAnchor>
  <xdr:oneCellAnchor>
    <xdr:from>
      <xdr:col>16</xdr:col>
      <xdr:colOff>9524</xdr:colOff>
      <xdr:row>31</xdr:row>
      <xdr:rowOff>66673</xdr:rowOff>
    </xdr:from>
    <xdr:ext cx="4486275" cy="4457701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A4FA8470-E496-431F-9E89-6C6970837476}"/>
            </a:ext>
          </a:extLst>
        </xdr:cNvPr>
        <xdr:cNvSpPr txBox="1"/>
      </xdr:nvSpPr>
      <xdr:spPr>
        <a:xfrm>
          <a:off x="9763124" y="5972173"/>
          <a:ext cx="4486275" cy="4457701"/>
        </a:xfrm>
        <a:prstGeom prst="rect">
          <a:avLst/>
        </a:prstGeom>
        <a:gradFill>
          <a:gsLst>
            <a:gs pos="0">
              <a:schemeClr val="accent1">
                <a:lumMod val="42000"/>
                <a:lumOff val="58000"/>
              </a:schemeClr>
            </a:gs>
            <a:gs pos="46000">
              <a:schemeClr val="accent1">
                <a:lumMod val="95000"/>
                <a:lumOff val="5000"/>
              </a:schemeClr>
            </a:gs>
            <a:gs pos="100000">
              <a:schemeClr val="accent1">
                <a:lumMod val="60000"/>
              </a:schemeClr>
            </a:gs>
          </a:gsLst>
          <a:path path="circle">
            <a:fillToRect l="50000" t="130000" r="50000" b="-30000"/>
          </a:path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/>
            <a:t>PILAR 3 — Estratégias Comerciais e Calendário</a:t>
          </a:r>
        </a:p>
        <a:p>
          <a:r>
            <a:rPr lang="pt-BR" sz="1400"/>
            <a:t>Mesmo sem sazonalidade intensa, há padrões que podem ser usados.</a:t>
          </a:r>
        </a:p>
        <a:p>
          <a:r>
            <a:rPr lang="pt-BR" sz="1400" b="1"/>
            <a:t>Ações:</a:t>
          </a:r>
        </a:p>
        <a:p>
          <a:r>
            <a:rPr lang="pt-BR" sz="1400" b="1"/>
            <a:t>Criar um mini calendário comercial baseado nos meses que mais variaram:</a:t>
          </a:r>
          <a:br>
            <a:rPr lang="pt-BR" sz="1400"/>
          </a:br>
          <a:r>
            <a:rPr lang="pt-BR" sz="1400"/>
            <a:t>Focar ações nos meses tradicionalmente com resultado mais baixo.</a:t>
          </a:r>
        </a:p>
        <a:p>
          <a:r>
            <a:rPr lang="pt-BR" sz="1400" b="1"/>
            <a:t>Explorar meses onde a média móvel mostra tendência de queda:</a:t>
          </a:r>
          <a:br>
            <a:rPr lang="pt-BR" sz="1400"/>
          </a:br>
          <a:r>
            <a:rPr lang="pt-BR" sz="1400"/>
            <a:t>A preditiva mostra tendência negativa → ação antecipada melhora o cenário.</a:t>
          </a:r>
        </a:p>
        <a:p>
          <a:r>
            <a:rPr lang="pt-BR" sz="1400" b="1"/>
            <a:t>Fazer campanhas regionais:</a:t>
          </a:r>
          <a:br>
            <a:rPr lang="pt-BR" sz="1400"/>
          </a:br>
          <a:r>
            <a:rPr lang="pt-BR" sz="1400"/>
            <a:t>A inexistência de impacto de variáveis nacionais sugere que </a:t>
          </a:r>
          <a:r>
            <a:rPr lang="pt-BR" sz="1400" i="1"/>
            <a:t>o comportamento é mais local do que macroeconômico</a:t>
          </a:r>
          <a:r>
            <a:rPr lang="pt-BR" sz="1400"/>
            <a:t>.</a:t>
          </a:r>
        </a:p>
      </xdr:txBody>
    </xdr:sp>
    <xdr:clientData/>
  </xdr:oneCellAnchor>
  <xdr:oneCellAnchor>
    <xdr:from>
      <xdr:col>23</xdr:col>
      <xdr:colOff>342899</xdr:colOff>
      <xdr:row>31</xdr:row>
      <xdr:rowOff>66673</xdr:rowOff>
    </xdr:from>
    <xdr:ext cx="4486275" cy="4457701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7551CA5-8304-434A-A9CE-E4FD9281B8BA}"/>
            </a:ext>
          </a:extLst>
        </xdr:cNvPr>
        <xdr:cNvSpPr txBox="1"/>
      </xdr:nvSpPr>
      <xdr:spPr>
        <a:xfrm>
          <a:off x="14363699" y="5972173"/>
          <a:ext cx="4486275" cy="4457701"/>
        </a:xfrm>
        <a:prstGeom prst="rect">
          <a:avLst/>
        </a:prstGeom>
        <a:gradFill>
          <a:gsLst>
            <a:gs pos="0">
              <a:schemeClr val="accent1">
                <a:lumMod val="42000"/>
                <a:lumOff val="58000"/>
              </a:schemeClr>
            </a:gs>
            <a:gs pos="46000">
              <a:schemeClr val="accent1">
                <a:lumMod val="95000"/>
                <a:lumOff val="5000"/>
              </a:schemeClr>
            </a:gs>
            <a:gs pos="100000">
              <a:schemeClr val="accent1">
                <a:lumMod val="60000"/>
              </a:schemeClr>
            </a:gs>
          </a:gsLst>
          <a:path path="circle">
            <a:fillToRect l="50000" t="130000" r="50000" b="-30000"/>
          </a:path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200" b="1"/>
            <a:t>PILAR 4 — Melhorar a Qualidade dos Dados e dos Modelos</a:t>
          </a:r>
        </a:p>
        <a:p>
          <a:r>
            <a:rPr lang="pt-BR" sz="1200"/>
            <a:t>Como o modelo teve erro alto, a empresa precisa melhorar inputs antes de tentar previsões mais robustas.</a:t>
          </a:r>
        </a:p>
        <a:p>
          <a:r>
            <a:rPr lang="pt-BR" sz="1200" b="1"/>
            <a:t>Ações:</a:t>
          </a:r>
        </a:p>
        <a:p>
          <a:r>
            <a:rPr lang="pt-BR" sz="1200" b="1"/>
            <a:t>Coletar novas variáveis que realmente explicam venda</a:t>
          </a:r>
          <a:r>
            <a:rPr lang="pt-BR" sz="1200"/>
            <a:t>, como:</a:t>
          </a:r>
        </a:p>
        <a:p>
          <a:pPr lvl="1"/>
          <a:r>
            <a:rPr lang="pt-BR" sz="1200"/>
            <a:t>Promoções por categoria</a:t>
          </a:r>
        </a:p>
        <a:p>
          <a:pPr lvl="1"/>
          <a:r>
            <a:rPr lang="pt-BR" sz="1200"/>
            <a:t>Ruptura por loja</a:t>
          </a:r>
        </a:p>
        <a:p>
          <a:pPr lvl="1"/>
          <a:r>
            <a:rPr lang="pt-BR" sz="1200"/>
            <a:t>Fluxo de pessoas</a:t>
          </a:r>
        </a:p>
        <a:p>
          <a:pPr lvl="1"/>
          <a:r>
            <a:rPr lang="pt-BR" sz="1200"/>
            <a:t>Dados demográficos</a:t>
          </a:r>
        </a:p>
        <a:p>
          <a:pPr lvl="1"/>
          <a:r>
            <a:rPr lang="pt-BR" sz="1200"/>
            <a:t>Concorrência local</a:t>
          </a:r>
        </a:p>
        <a:p>
          <a:pPr lvl="1"/>
          <a:r>
            <a:rPr lang="pt-BR" sz="1200"/>
            <a:t>Tipo de evento regional</a:t>
          </a:r>
        </a:p>
        <a:p>
          <a:pPr lvl="1"/>
          <a:r>
            <a:rPr lang="pt-BR" sz="1200"/>
            <a:t>Taxa de desconto aplicada</a:t>
          </a:r>
        </a:p>
        <a:p>
          <a:r>
            <a:rPr lang="pt-BR" sz="1200" b="1"/>
            <a:t>Criar indicador de temperatura percebida local por loja (não estatal).</a:t>
          </a:r>
          <a:endParaRPr lang="pt-BR" sz="1200"/>
        </a:p>
        <a:p>
          <a:r>
            <a:rPr lang="pt-BR" sz="1200" b="1"/>
            <a:t>Implementar modelos mais robustos no futuro:</a:t>
          </a:r>
          <a:endParaRPr lang="pt-BR" sz="1200"/>
        </a:p>
        <a:p>
          <a:pPr lvl="1"/>
          <a:r>
            <a:rPr lang="pt-BR" sz="1200"/>
            <a:t>Random Forest Regressor</a:t>
          </a:r>
        </a:p>
        <a:p>
          <a:pPr lvl="1"/>
          <a:r>
            <a:rPr lang="pt-BR" sz="1200"/>
            <a:t>XGBoost</a:t>
          </a:r>
        </a:p>
        <a:p>
          <a:pPr lvl="1"/>
          <a:r>
            <a:rPr lang="pt-BR" sz="1200"/>
            <a:t>SARIMA</a:t>
          </a:r>
        </a:p>
        <a:p>
          <a:pPr lvl="1"/>
          <a:r>
            <a:rPr lang="pt-BR" sz="1200"/>
            <a:t>LSTM</a:t>
          </a:r>
        </a:p>
        <a:p>
          <a:r>
            <a:rPr lang="pt-BR" sz="1200" b="1"/>
            <a:t>Separar séries por categoria de produto, não apenas por loja.</a:t>
          </a:r>
          <a:endParaRPr lang="pt-BR" sz="1200"/>
        </a:p>
        <a:p>
          <a:r>
            <a:rPr lang="pt-BR" sz="1200"/>
            <a:t>📌 </a:t>
          </a:r>
          <a:r>
            <a:rPr lang="pt-BR" sz="1200" i="1"/>
            <a:t>Modelos só funcionam com dados que explicam a realidade. Hoje, o dataset não possui variáveis suficientes para previsões precisas.</a:t>
          </a:r>
          <a:endParaRPr lang="pt-BR" sz="1200"/>
        </a:p>
      </xdr:txBody>
    </xdr:sp>
    <xdr:clientData/>
  </xdr:oneCellAnchor>
  <xdr:twoCellAnchor>
    <xdr:from>
      <xdr:col>14</xdr:col>
      <xdr:colOff>402647</xdr:colOff>
      <xdr:row>4</xdr:row>
      <xdr:rowOff>5195</xdr:rowOff>
    </xdr:from>
    <xdr:to>
      <xdr:col>14</xdr:col>
      <xdr:colOff>432954</xdr:colOff>
      <xdr:row>58</xdr:row>
      <xdr:rowOff>34636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1E1E44E2-35CE-09CD-2F09-04F537141904}"/>
            </a:ext>
          </a:extLst>
        </xdr:cNvPr>
        <xdr:cNvCxnSpPr/>
      </xdr:nvCxnSpPr>
      <xdr:spPr>
        <a:xfrm>
          <a:off x="8888556" y="767195"/>
          <a:ext cx="30307" cy="103164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220806</xdr:colOff>
      <xdr:row>4</xdr:row>
      <xdr:rowOff>32409</xdr:rowOff>
    </xdr:from>
    <xdr:to>
      <xdr:col>32</xdr:col>
      <xdr:colOff>251113</xdr:colOff>
      <xdr:row>58</xdr:row>
      <xdr:rowOff>61850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DC2955FE-538D-4939-833B-82386D71B081}"/>
            </a:ext>
          </a:extLst>
        </xdr:cNvPr>
        <xdr:cNvCxnSpPr/>
      </xdr:nvCxnSpPr>
      <xdr:spPr>
        <a:xfrm>
          <a:off x="19815092" y="794409"/>
          <a:ext cx="30307" cy="103164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435233</xdr:colOff>
      <xdr:row>4</xdr:row>
      <xdr:rowOff>55029</xdr:rowOff>
    </xdr:from>
    <xdr:ext cx="10205551" cy="7442507"/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B1CA8302-6EF6-9A4A-0B35-6C84520806F0}"/>
            </a:ext>
          </a:extLst>
        </xdr:cNvPr>
        <xdr:cNvSpPr/>
      </xdr:nvSpPr>
      <xdr:spPr>
        <a:xfrm>
          <a:off x="20029519" y="817029"/>
          <a:ext cx="10205551" cy="744250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r>
            <a:rPr lang="pt-BR" sz="2800" b="1"/>
            <a:t>4. Conclusão Geral</a:t>
          </a:r>
        </a:p>
        <a:p>
          <a:endParaRPr lang="pt-BR" sz="2400" b="1"/>
        </a:p>
        <a:p>
          <a:r>
            <a:rPr lang="pt-BR" sz="2400"/>
            <a:t>Com base na análise dos dados, as principais oportunidades de impacto </a:t>
          </a:r>
        </a:p>
        <a:p>
          <a:r>
            <a:rPr lang="pt-BR" sz="2400"/>
            <a:t>estão em:</a:t>
          </a:r>
        </a:p>
        <a:p>
          <a:endParaRPr lang="pt-BR" sz="2400"/>
        </a:p>
        <a:p>
          <a:r>
            <a:rPr lang="pt-BR" sz="2400" b="1"/>
            <a:t>Tratar a volatilidade operacional com monitoramento e ações rápidas</a:t>
          </a:r>
          <a:r>
            <a:rPr lang="pt-BR" sz="2400"/>
            <a:t>,</a:t>
          </a:r>
        </a:p>
        <a:p>
          <a:r>
            <a:rPr lang="pt-BR" sz="2400" b="1"/>
            <a:t>Investir nas lojas que realmente movem o faturamento</a:t>
          </a:r>
          <a:r>
            <a:rPr lang="pt-BR" sz="2400"/>
            <a:t>,</a:t>
          </a:r>
        </a:p>
        <a:p>
          <a:r>
            <a:rPr lang="pt-BR" sz="2400" b="1"/>
            <a:t>Construir um calendário comercial inteligente</a:t>
          </a:r>
          <a:r>
            <a:rPr lang="pt-BR" sz="2400"/>
            <a:t>,</a:t>
          </a:r>
        </a:p>
        <a:p>
          <a:r>
            <a:rPr lang="pt-BR" sz="2400" b="1"/>
            <a:t>E sobretudo melhorar a coleta e estrutura dos dados</a:t>
          </a:r>
          <a:r>
            <a:rPr lang="pt-BR" sz="2400"/>
            <a:t> </a:t>
          </a:r>
        </a:p>
        <a:p>
          <a:r>
            <a:rPr lang="pt-BR" sz="2400"/>
            <a:t>para que previsões futuras sejam mais confiáveis.</a:t>
          </a:r>
        </a:p>
        <a:p>
          <a:endParaRPr lang="pt-BR" sz="2400"/>
        </a:p>
        <a:p>
          <a:r>
            <a:rPr lang="pt-BR" sz="2400"/>
            <a:t>Aplicando essas ações, a empresa tende a:</a:t>
          </a:r>
        </a:p>
        <a:p>
          <a:r>
            <a:rPr lang="pt-BR" sz="2400"/>
            <a:t>Reduzir risco,</a:t>
          </a:r>
        </a:p>
        <a:p>
          <a:r>
            <a:rPr lang="pt-BR" sz="2400"/>
            <a:t>Aumentar vendas das lojas mais rentáveis,</a:t>
          </a:r>
        </a:p>
        <a:p>
          <a:r>
            <a:rPr lang="pt-BR" sz="2400"/>
            <a:t>Tornar resultados mais previsíveis,</a:t>
          </a:r>
        </a:p>
        <a:p>
          <a:r>
            <a:rPr lang="pt-BR" sz="2400"/>
            <a:t>E construir uma base sólida para análises mais avançadas no futuro.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Lima" refreshedDate="45987.907874189812" createdVersion="8" refreshedVersion="8" minRefreshableVersion="3" recordCount="2566" xr:uid="{E8517DCF-1AB1-40C0-A11A-8C03E4C9A411}">
  <cacheSource type="worksheet">
    <worksheetSource ref="A1:J1048576" sheet="Walmart_Sales"/>
  </cacheSource>
  <cacheFields count="10">
    <cacheField name="Store" numFmtId="0">
      <sharedItems containsString="0" containsBlank="1" containsNumber="1" containsInteger="1" minValue="1" maxValue="45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m/>
      </sharedItems>
    </cacheField>
    <cacheField name="Date" numFmtId="0">
      <sharedItems containsNonDate="0" containsDate="1" containsString="0" containsBlank="1" minDate="2010-01-10T00:00:00" maxDate="2012-12-11T00:00:00"/>
    </cacheField>
    <cacheField name="Month" numFmtId="0">
      <sharedItems containsString="0" containsBlank="1" containsNumber="1" containsInteger="1" minValue="1" maxValue="12" count="13">
        <n v="5"/>
        <n v="12"/>
        <n v="2"/>
        <n v="9"/>
        <n v="7"/>
        <n v="4"/>
        <n v="11"/>
        <n v="6"/>
        <n v="3"/>
        <n v="10"/>
        <n v="1"/>
        <n v="8"/>
        <m/>
      </sharedItems>
    </cacheField>
    <cacheField name="Year" numFmtId="0">
      <sharedItems containsString="0" containsBlank="1" containsNumber="1" containsInteger="1" minValue="2010" maxValue="2012" count="4">
        <n v="2010"/>
        <n v="2011"/>
        <n v="2012"/>
        <m/>
      </sharedItems>
    </cacheField>
    <cacheField name="Weekly_Sales" numFmtId="164">
      <sharedItems containsString="0" containsBlank="1" containsNumber="1" minValue="209986.25" maxValue="2752122.08" count="2566">
        <n v="1643690.9"/>
        <n v="1641957.44"/>
        <n v="1554806.68"/>
        <n v="1439541.59"/>
        <n v="1594968.28"/>
        <n v="1545418.53"/>
        <n v="1603955.12"/>
        <n v="1615524.71"/>
        <n v="1542561.09"/>
        <n v="1492418.14"/>
        <n v="1546074.18"/>
        <n v="1605491.78"/>
        <n v="1540163.53"/>
        <n v="1507460.69"/>
        <n v="1453329.5"/>
        <n v="1508239.93"/>
        <n v="1551659.28"/>
        <n v="1494479.49"/>
        <n v="1548033.78"/>
        <n v="1682614.26"/>
        <n v="1444732.28"/>
        <n v="1606629.58"/>
        <n v="1649614.93"/>
        <n v="1636263.41"/>
        <n v="1553191.63"/>
        <n v="1495064.75"/>
        <n v="1614259.35"/>
        <n v="1629391.28"/>
        <n v="1635078.41"/>
        <n v="1588948.32"/>
        <n v="1488538.09"/>
        <n v="1534849.64"/>
        <n v="1624383.75"/>
        <n v="1525147.09"/>
        <n v="1550229.22"/>
        <n v="1540471.24"/>
        <n v="1630989.95"/>
        <n v="1697229.58"/>
        <n v="1594938.89"/>
        <n v="1584083.95"/>
        <n v="1799682.38"/>
        <n v="1550369.92"/>
        <n v="1636339.65"/>
        <n v="1802477.43"/>
        <n v="1688420.76"/>
        <n v="1675431.16"/>
        <n v="1899676.88"/>
        <n v="1684519.99"/>
        <n v="1611096.05"/>
        <n v="1624477.58"/>
        <n v="1697230.96"/>
        <n v="1769854.16"/>
        <n v="1631135.79"/>
        <n v="1592409.97"/>
        <n v="1661767.33"/>
        <n v="1670785.97"/>
        <n v="1573072.81"/>
        <n v="2136989.46"/>
        <n v="2137809.5"/>
        <n v="1991013.13"/>
        <n v="1990483.78"/>
        <n v="2066187.72"/>
        <n v="1954689.21"/>
        <n v="2042581.71"/>
        <n v="2102539.9300000002"/>
        <n v="2025538.76"/>
        <n v="2003940.64"/>
        <n v="1880902.62"/>
        <n v="1991909.98"/>
        <n v="1904608.09"/>
        <n v="1839128.83"/>
        <n v="1827440.43"/>
        <n v="1849921.44"/>
        <n v="1939061.41"/>
        <n v="1916812.74"/>
        <n v="2015781.27"/>
        <n v="2378726.5499999998"/>
        <n v="1758050.79"/>
        <n v="1929346.23"/>
        <n v="2168041.61"/>
        <n v="1981607.78"/>
        <n v="1879107.31"/>
        <n v="1800171.36"/>
        <n v="1847552.61"/>
        <n v="1837743.6"/>
        <n v="1933756.21"/>
        <n v="1929153.16"/>
        <n v="1866243"/>
        <n v="1853161.99"/>
        <n v="1876704.26"/>
        <n v="1812768.26"/>
        <n v="1809119.7"/>
        <n v="1748000.65"/>
        <n v="1837553.43"/>
        <n v="1959707.9"/>
        <n v="1920725.15"/>
        <n v="1954952"/>
        <n v="2290549.3199999998"/>
        <n v="1799520.14"/>
        <n v="1935299.94"/>
        <n v="2103322.6800000002"/>
        <n v="1952555.66"/>
        <n v="1937628.26"/>
        <n v="2129035.91"/>
        <n v="1923957.09"/>
        <n v="1917520.99"/>
        <n v="1910092.37"/>
        <n v="2010216.49"/>
        <n v="2041507.4"/>
        <n v="1946104.64"/>
        <n v="1866719.96"/>
        <n v="1898777.07"/>
        <n v="1998321.04"/>
        <n v="1900745.13"/>
        <n v="461622.22"/>
        <n v="420728.96"/>
        <n v="415202.04"/>
        <n v="384200.69"/>
        <n v="423294.4"/>
        <n v="415870.28"/>
        <n v="399323.86"/>
        <n v="396968.8"/>
        <n v="355017.09"/>
        <n v="381151.72"/>
        <n v="349214.18"/>
        <n v="402635.76"/>
        <n v="366473.97"/>
        <n v="352260.97"/>
        <n v="358784.1"/>
        <n v="395107.35"/>
        <n v="423175.56"/>
        <n v="386635.03"/>
        <n v="476420.77"/>
        <n v="467642.03"/>
        <n v="378241.34"/>
        <n v="438516.53"/>
        <n v="430526.21"/>
        <n v="437084.51"/>
        <n v="404753.3"/>
        <n v="374556.08"/>
        <n v="384075.31"/>
        <n v="413042.12"/>
        <n v="394507.84"/>
        <n v="391638.75"/>
        <n v="368962.72"/>
        <n v="395146.23999999999"/>
        <n v="409981.25"/>
        <n v="380376.85"/>
        <n v="375988.69"/>
        <n v="377347.49"/>
        <n v="403342.4"/>
        <n v="459443.22"/>
        <n v="407764.25"/>
        <n v="472511.32"/>
        <n v="468772.8"/>
        <n v="398178.21"/>
        <n v="424960.66"/>
        <n v="473292.47"/>
        <n v="469752.56"/>
        <n v="445162.05"/>
        <n v="503232.13"/>
        <n v="439913.57"/>
        <n v="431985.36"/>
        <n v="432268.53"/>
        <n v="446336.8"/>
        <n v="411206.5"/>
        <n v="419990.29"/>
        <n v="391811.6"/>
        <n v="408229.73"/>
        <n v="443557.65"/>
        <n v="410804.39"/>
        <n v="2135143.87"/>
        <n v="2188307.39"/>
        <n v="1971057.44"/>
        <n v="1894324.09"/>
        <n v="1979247.12"/>
        <n v="1818452.72"/>
        <n v="2000626.14"/>
        <n v="1903290.58"/>
        <n v="1870619.23"/>
        <n v="1881337.21"/>
        <n v="1812208.22"/>
        <n v="1907638.58"/>
        <n v="1935857.58"/>
        <n v="1865820.81"/>
        <n v="1842821.02"/>
        <n v="1951494.85"/>
        <n v="2013115.79"/>
        <n v="1999794.26"/>
        <n v="2102530.17"/>
        <n v="2302504.86"/>
        <n v="1862476.27"/>
        <n v="2119086.04"/>
        <n v="2187847.29"/>
        <n v="2103455.75"/>
        <n v="2039818.41"/>
        <n v="1900246.47"/>
        <n v="2074953.46"/>
        <n v="2063682.76"/>
        <n v="2065377.15"/>
        <n v="2073951.38"/>
        <n v="2051533.53"/>
        <n v="2066541.86"/>
        <n v="2160057.39"/>
        <n v="2105668.7400000002"/>
        <n v="2078420.31"/>
        <n v="2093139.01"/>
        <n v="2166737.65"/>
        <n v="2281217.31"/>
        <n v="2203028.96"/>
        <n v="2180999.2599999998"/>
        <n v="2508955.2400000002"/>
        <n v="2047766.07"/>
        <n v="2173373.91"/>
        <n v="2374660.64"/>
        <n v="2206319.9"/>
        <n v="2202450.81"/>
        <n v="2470206.13"/>
        <n v="2196968.33"/>
        <n v="2127661.17"/>
        <n v="2179360.94"/>
        <n v="2245257.1800000002"/>
        <n v="2224499.2799999998"/>
        <n v="2174514.13"/>
        <n v="2193367.69"/>
        <n v="2125104.7200000002"/>
        <n v="2209835.4300000002"/>
        <n v="2133026.0699999998"/>
        <n v="317173.09999999998"/>
        <n v="311825.7"/>
        <n v="288855.71000000002"/>
        <n v="297293.59000000003"/>
        <n v="331406"/>
        <n v="328020.49"/>
        <n v="333522.59999999998"/>
        <n v="337825.89"/>
        <n v="296641.90999999997"/>
        <n v="305993.27"/>
        <n v="291808.87"/>
        <n v="303043.02"/>
        <n v="323798"/>
        <n v="306533.08"/>
        <n v="283178.12"/>
        <n v="290494.84999999998"/>
        <n v="325310.3"/>
        <n v="301827.36"/>
        <n v="344490.88"/>
        <n v="352811.53"/>
        <n v="286347.26"/>
        <n v="329613.2"/>
        <n v="311590.53999999998"/>
        <n v="329033.65999999997"/>
        <n v="293098.09999999998"/>
        <n v="314316.55"/>
        <n v="307333.62"/>
        <n v="322904.68"/>
        <n v="329183.92"/>
        <n v="304984.14"/>
        <n v="327093.89"/>
        <n v="310804.93"/>
        <n v="317738.56"/>
        <n v="289886.15999999997"/>
        <n v="315645.53000000003"/>
        <n v="321110.21999999997"/>
        <n v="309111.46999999997"/>
        <n v="353652.23"/>
        <n v="311906.7"/>
        <n v="376225.61"/>
        <n v="367433.77"/>
        <n v="312078.71000000002"/>
        <n v="333948"/>
        <n v="349239.88"/>
        <n v="359206.21"/>
        <n v="347295.6"/>
        <n v="402985.7"/>
        <n v="360932.69"/>
        <n v="333870.52"/>
        <n v="359867.8"/>
        <n v="341704.59"/>
        <n v="341214.43"/>
        <n v="324195.17"/>
        <n v="306759.7"/>
        <n v="350648.91"/>
        <n v="343048.29"/>
        <n v="325345.40999999997"/>
        <n v="1652635.1"/>
        <n v="1606283.86"/>
        <n v="1601348.82"/>
        <n v="1558621.36"/>
        <n v="1770333.9"/>
        <n v="1667181.82"/>
        <n v="1619920.04"/>
        <n v="1857380.09"/>
        <n v="1685652.35"/>
        <n v="1759777.25"/>
        <n v="1690317.99"/>
        <n v="1633241.59"/>
        <n v="1510925.32"/>
        <n v="1424225.44"/>
        <n v="1328468.8899999999"/>
        <n v="1360317.9"/>
        <n v="1505442.15"/>
        <n v="1495536.46"/>
        <n v="1677067.24"/>
        <n v="1834737.58"/>
        <n v="1350441.68"/>
        <n v="1514999.17"/>
        <n v="1486920.17"/>
        <n v="1502617.99"/>
        <n v="1494497.39"/>
        <n v="1459276.77"/>
        <n v="1534594"/>
        <n v="1504651.57"/>
        <n v="1705506.29"/>
        <n v="1598643.65"/>
        <n v="1694551.15"/>
        <n v="1709373.62"/>
        <n v="1601584.57"/>
        <n v="1484995.38"/>
        <n v="1481618.74"/>
        <n v="1483574.38"/>
        <n v="1481739.2"/>
        <n v="1523420.38"/>
        <n v="1536176.54"/>
        <n v="1688531.34"/>
        <n v="1903385.14"/>
        <n v="1395339.71"/>
        <n v="1496305.78"/>
        <n v="1620603.92"/>
        <n v="1550385.65"/>
        <n v="1569304.4"/>
        <n v="1840131.19"/>
        <n v="1543461.12"/>
        <n v="1517075.67"/>
        <n v="1681121.38"/>
        <n v="1696619.52"/>
        <n v="1876359.39"/>
        <n v="1627274.93"/>
        <n v="1588380.73"/>
        <n v="1608077.01"/>
        <n v="1518177.71"/>
        <n v="1459396.84"/>
        <n v="496725.44"/>
        <n v="524104.92"/>
        <n v="491419.55"/>
        <n v="480452.1"/>
        <n v="561145.14"/>
        <n v="484263.25"/>
        <n v="395453.83"/>
        <n v="509183.22"/>
        <n v="498580.87"/>
        <n v="575570.77"/>
        <n v="593462.34"/>
        <n v="643854.17000000004"/>
        <n v="532765.05000000005"/>
        <n v="535769.31999999995"/>
        <n v="448998.73"/>
        <n v="480239.88"/>
        <n v="480512.44"/>
        <n v="507584.29"/>
        <n v="552811.62"/>
        <n v="599730.06999999995"/>
        <n v="661163.93999999994"/>
        <n v="558027.77"/>
        <n v="559903.13"/>
        <n v="551378.39"/>
        <n v="558963.82999999996"/>
        <n v="513409.67"/>
        <n v="500552.16"/>
        <n v="407012.47"/>
        <n v="542295.37"/>
        <n v="621099.94999999995"/>
        <n v="704344.21"/>
        <n v="761793.94"/>
        <n v="695392.84"/>
        <n v="670670.46"/>
        <n v="592355.24"/>
        <n v="613135.23"/>
        <n v="525866.36"/>
        <n v="564536.01"/>
        <n v="556015.59"/>
        <n v="591907.88"/>
        <n v="653845.44999999995"/>
        <n v="713117.66"/>
        <n v="580453.31999999995"/>
        <n v="563460.77"/>
        <n v="551058.13"/>
        <n v="579166.5"/>
        <n v="621425.98"/>
        <n v="465198.89"/>
        <n v="460397.41"/>
        <n v="598495.02"/>
        <n v="642963.75"/>
        <n v="805642.61"/>
        <n v="680954.81"/>
        <n v="675926.3"/>
        <n v="597876.55000000005"/>
        <n v="505830.56"/>
        <n v="503463.93"/>
        <n v="1004137.09"/>
        <n v="994801.4"/>
        <n v="881503.95"/>
        <n v="860336.16"/>
        <n v="914500.91"/>
        <n v="916033.92"/>
        <n v="916820.96"/>
        <n v="958225.41"/>
        <n v="914835.86"/>
        <n v="852333.75"/>
        <n v="845289.77"/>
        <n v="893399.77"/>
        <n v="899036.47"/>
        <n v="831425.2"/>
        <n v="804105.49"/>
        <n v="870349.86"/>
        <n v="927266.34"/>
        <n v="911538.98"/>
        <n v="952766.93"/>
        <n v="1069061.6299999999"/>
        <n v="873065.23"/>
        <n v="944594.78"/>
        <n v="996147.39"/>
        <n v="935266.43"/>
        <n v="900387.29"/>
        <n v="878762.3"/>
        <n v="949825.83"/>
        <n v="941457.34"/>
        <n v="929222.16"/>
        <n v="897309.41"/>
        <n v="883683.35"/>
        <n v="861965.12"/>
        <n v="892393.77"/>
        <n v="856796.1"/>
        <n v="891387.14"/>
        <n v="848358.09"/>
        <n v="929976.55"/>
        <n v="947815.05"/>
        <n v="917088.48"/>
        <n v="986601.46"/>
        <n v="1051922.95"/>
        <n v="872113.23"/>
        <n v="927610.69"/>
        <n v="1021400.42"/>
        <n v="952264.91"/>
        <n v="960115.56"/>
        <n v="1046816.59"/>
        <n v="937232.09"/>
        <n v="920128.89"/>
        <n v="921161.2"/>
        <n v="928820"/>
        <n v="936205.5"/>
        <n v="897076.73"/>
        <n v="930745.69"/>
        <n v="932160.37"/>
        <n v="976436.02"/>
        <n v="927511.99"/>
        <n v="549505.55000000005"/>
        <n v="552677.48"/>
        <n v="507297.88"/>
        <n v="494145.8"/>
        <n v="545206.31999999995"/>
        <n v="529384.31000000006"/>
        <n v="526128.61"/>
        <n v="586061.46"/>
        <n v="522715.68"/>
        <n v="528832.54"/>
        <n v="485389.15"/>
        <n v="522815.45"/>
        <n v="511049.06"/>
        <n v="484835.2"/>
        <n v="495692.19"/>
        <n v="505069.21"/>
        <n v="517869.97"/>
        <n v="520846.68"/>
        <n v="578164.81999999995"/>
        <n v="618121.81999999995"/>
        <n v="490981.78"/>
        <n v="544612.28"/>
        <n v="555279.02"/>
        <n v="542016.18000000005"/>
        <n v="517783.5"/>
        <n v="520962.14"/>
        <n v="561625.92000000004"/>
        <n v="545251.1"/>
        <n v="587004.29"/>
        <n v="550076.31999999995"/>
        <n v="537064.03"/>
        <n v="535983.13"/>
        <n v="554879.67000000004"/>
        <n v="520284.79"/>
        <n v="544643.32999999996"/>
        <n v="528784.86"/>
        <n v="553836.98"/>
        <n v="597855.06999999995"/>
        <n v="594574.12"/>
        <n v="613115.21"/>
        <n v="630327.28"/>
        <n v="519585.67"/>
        <n v="549967.89"/>
        <n v="609736.12"/>
        <n v="619498.28"/>
        <n v="574955.94999999995"/>
        <n v="677885.99"/>
        <n v="586289.07999999996"/>
        <n v="592572.30000000005"/>
        <n v="583648.59"/>
        <n v="582525.42000000004"/>
        <n v="578790.36"/>
        <n v="533887.54"/>
        <n v="538713.47"/>
        <n v="565812.29"/>
        <n v="606755.30000000005"/>
        <n v="558464.80000000005"/>
        <n v="2193048.75"/>
        <n v="2176028.52"/>
        <n v="1987090.09"/>
        <n v="1941346.13"/>
        <n v="2138651.9700000002"/>
        <n v="2041069.37"/>
        <n v="1921432.16"/>
        <n v="1931406.28"/>
        <n v="1827521.71"/>
        <n v="1845893.87"/>
        <n v="1769793.37"/>
        <n v="1949236.09"/>
        <n v="1766331.45"/>
        <n v="1720530.23"/>
        <n v="1645892.97"/>
        <n v="1772192.42"/>
        <n v="1832211.96"/>
        <n v="1895901.59"/>
        <n v="2251206.64"/>
        <n v="2411790.21"/>
        <n v="1714309.9"/>
        <n v="1968045.91"/>
        <n v="2115408.31"/>
        <n v="1958003.19"/>
        <n v="1933469.15"/>
        <n v="1827733.18"/>
        <n v="1870720.73"/>
        <n v="1841369.99"/>
        <n v="1792210.89"/>
        <n v="1740063.1"/>
        <n v="1751369.75"/>
        <n v="1699708.38"/>
        <n v="1886299.98"/>
        <n v="1917397.63"/>
        <n v="1758587.35"/>
        <n v="1670579.82"/>
        <n v="1788227.6"/>
        <n v="1904438.59"/>
        <n v="2076570.84"/>
        <n v="2068097.18"/>
        <n v="2429310.9"/>
        <n v="1683401.78"/>
        <n v="1867403.01"/>
        <n v="2218595.7999999998"/>
        <n v="1990371.02"/>
        <n v="1917483.1"/>
        <n v="2163384.17"/>
        <n v="1821364.42"/>
        <n v="1792345.3"/>
        <n v="1767471.48"/>
        <n v="1840491.41"/>
        <n v="1805999.79"/>
        <n v="1939440.09"/>
        <n v="1880436.94"/>
        <n v="1708283.28"/>
        <n v="1758971.38"/>
        <n v="1713889.11"/>
        <n v="1528008.64"/>
        <n v="1574684.08"/>
        <n v="1426622.65"/>
        <n v="1331883.1599999999"/>
        <n v="1446210.26"/>
        <n v="1470308.32"/>
        <n v="1312329.78"/>
        <n v="1396322.19"/>
        <n v="1339570.8500000001"/>
        <n v="1302600.1399999999"/>
        <n v="1280156.47"/>
        <n v="1369634.92"/>
        <n v="1303914.27"/>
        <n v="1231428.46"/>
        <n v="1182490.46"/>
        <n v="1293472.8"/>
        <n v="1332759.1299999999"/>
        <n v="1281675.6000000001"/>
        <n v="1380522.64"/>
        <n v="1564516.43"/>
        <n v="1178905.44"/>
        <n v="1422546.05"/>
        <n v="1419236.9"/>
        <n v="1399456.99"/>
        <n v="1314557.31"/>
        <n v="1258674.1200000001"/>
        <n v="1327401.06"/>
        <n v="1331453.4099999999"/>
        <n v="1343637"/>
        <n v="1314626.75"/>
        <n v="1297472.06"/>
        <n v="1334627.96"/>
        <n v="1403198.94"/>
        <n v="1354188.43"/>
        <n v="1297792.4099999999"/>
        <n v="1249439.95"/>
        <n v="1346271.06"/>
        <n v="1458287.38"/>
        <n v="1366053.69"/>
        <n v="1399322.44"/>
        <n v="1646655.94"/>
        <n v="1283885.55"/>
        <n v="1376732.18"/>
        <n v="1574287.76"/>
        <n v="1438383.44"/>
        <n v="1413382.76"/>
        <n v="1596325.01"/>
        <n v="1370251.22"/>
        <n v="1300147.07"/>
        <n v="1361595.33"/>
        <n v="1414343.53"/>
        <n v="1461129.94"/>
        <n v="1399341.07"/>
        <n v="1388973.65"/>
        <n v="1304584.3999999999"/>
        <n v="1422794.26"/>
        <n v="1311965.0900000001"/>
        <n v="1100046.3700000001"/>
        <n v="1117863.33"/>
        <n v="1077018.27"/>
        <n v="985594.23"/>
        <n v="1011822.3"/>
        <n v="1041238.87"/>
        <n v="1043240.27"/>
        <n v="1049357.3600000001"/>
        <n v="1016039.71"/>
        <n v="951957.31"/>
        <n v="943506.28"/>
        <n v="967576.95"/>
        <n v="1075758.55"/>
        <n v="903119.03"/>
        <n v="850936.26"/>
        <n v="918335.68"/>
        <n v="929690.71"/>
        <n v="942475.24"/>
        <n v="1069533.17"/>
        <n v="1121934.1499999999"/>
        <n v="910110.24"/>
        <n v="1046068.17"/>
        <n v="1086421.57"/>
        <n v="1085248.21"/>
        <n v="997672.62"/>
        <n v="1005463.49"/>
        <n v="998362.05"/>
        <n v="1021154.48"/>
        <n v="970328.68"/>
        <n v="996937.95"/>
        <n v="961993.34"/>
        <n v="943717.38"/>
        <n v="988712.52"/>
        <n v="955913.68"/>
        <n v="1052051.45"/>
        <n v="922850.57"/>
        <n v="951244.66"/>
        <n v="1051944.79"/>
        <n v="1095091.53"/>
        <n v="1071383.1000000001"/>
        <n v="1189646.45"/>
        <n v="945823.65"/>
        <n v="1058767.95"/>
        <n v="1199330.8500000001"/>
        <n v="1147636.96"/>
        <n v="1113208.57"/>
        <n v="1128765.71"/>
        <n v="1073433.69"/>
        <n v="1041995.22"/>
        <n v="981345.2"/>
        <n v="1086231.47"/>
        <n v="1014898.78"/>
        <n v="958667.23"/>
        <n v="984689.9"/>
        <n v="955146.04"/>
        <n v="979825.92"/>
        <n v="934917.47"/>
        <n v="1967220.53"/>
        <n v="2030933.46"/>
        <n v="1939980.43"/>
        <n v="1840686.94"/>
        <n v="2142482.14"/>
        <n v="1898321.33"/>
        <n v="2005478.46"/>
        <n v="2022705.22"/>
        <n v="2037880.96"/>
        <n v="2018314.71"/>
        <n v="1870843.9"/>
        <n v="1969121.45"/>
        <n v="1911852.58"/>
        <n v="1772143.94"/>
        <n v="1765584.48"/>
        <n v="1871924.07"/>
        <n v="1854967.66"/>
        <n v="1939964.63"/>
        <n v="2083379.89"/>
        <n v="2461468.35"/>
        <n v="1744544.39"/>
        <n v="1848186.58"/>
        <n v="1944438.9"/>
        <n v="1894960.68"/>
        <n v="1852432.58"/>
        <n v="1864238.64"/>
        <n v="1887465.04"/>
        <n v="1986380.4"/>
        <n v="1935593.87"/>
        <n v="1997816.98"/>
        <n v="2048035.74"/>
        <n v="2021699.38"/>
        <n v="2076231.8"/>
        <n v="1970341.38"/>
        <n v="1953628.82"/>
        <n v="1872921.31"/>
        <n v="2067232.56"/>
        <n v="2036317.54"/>
        <n v="2111592.09"/>
        <n v="2051315.66"/>
        <n v="2462779.06"/>
        <n v="1865752.78"/>
        <n v="1927780.74"/>
        <n v="2069284.57"/>
        <n v="1969742.76"/>
        <n v="1986445.65"/>
        <n v="2271614.7599999998"/>
        <n v="1995994.51"/>
        <n v="2080764.17"/>
        <n v="2035431.39"/>
        <n v="2182437.9"/>
        <n v="2184980.35"/>
        <n v="2044148.23"/>
        <n v="2041019.92"/>
        <n v="2165796.31"/>
        <n v="2041918.74"/>
        <n v="1999079.44"/>
        <n v="2623469.9500000002"/>
        <n v="1704218.84"/>
        <n v="2237544.75"/>
        <n v="2156035.06"/>
        <n v="2495630.5099999998"/>
        <n v="2258781.2799999998"/>
        <n v="2370116.52"/>
        <n v="2363601.4700000002"/>
        <n v="2249570.04"/>
        <n v="2334788.42"/>
        <n v="2236209.13"/>
        <n v="2219813.5"/>
        <n v="2182563.66"/>
        <n v="2191767.7599999998"/>
        <n v="1855703.66"/>
        <n v="2091663.2"/>
        <n v="2078417.47"/>
        <n v="2092189.06"/>
        <n v="2258489.63"/>
        <n v="2600519.2599999998"/>
        <n v="1864746.1"/>
        <n v="1995891.87"/>
        <n v="1980405.03"/>
        <n v="2041215.61"/>
        <n v="1931104.67"/>
        <n v="1869110.55"/>
        <n v="2037798.88"/>
        <n v="2095599.93"/>
        <n v="2079899.47"/>
        <n v="2132446"/>
        <n v="2074668.19"/>
        <n v="2063401.06"/>
        <n v="2066020.69"/>
        <n v="1928773.82"/>
        <n v="1750891.47"/>
        <n v="2202742.9"/>
        <n v="2078796.76"/>
        <n v="2174056.71"/>
        <n v="2081534.65"/>
        <n v="2143080.5699999998"/>
        <n v="2470581.29"/>
        <n v="1859144.96"/>
        <n v="1877410.36"/>
        <n v="2077256.24"/>
        <n v="1926004.99"/>
        <n v="2020839.31"/>
        <n v="2376022.2599999998"/>
        <n v="1949354.29"/>
        <n v="1987531.05"/>
        <n v="2049485.49"/>
        <n v="2099615.88"/>
        <n v="1862128.95"/>
        <n v="1656886.46"/>
        <n v="1648570.03"/>
        <n v="1904512.34"/>
        <n v="1687592.16"/>
        <n v="1639585.61"/>
        <n v="652122.43999999994"/>
        <n v="682447.1"/>
        <n v="605325.43000000005"/>
        <n v="604173.59"/>
        <n v="718470.71"/>
        <n v="634605.77"/>
        <n v="661348.88"/>
        <n v="693192.5"/>
        <n v="619337.29"/>
        <n v="709337.11"/>
        <n v="691497.62"/>
        <n v="639651.24"/>
        <n v="638647.21"/>
        <n v="641965.19999999995"/>
        <n v="566945.94999999995"/>
        <n v="591603.79"/>
        <n v="612987.64"/>
        <n v="619639.74"/>
        <n v="754134.95"/>
        <n v="847294.04"/>
        <n v="509640.77"/>
        <n v="556550.85"/>
        <n v="582864.35"/>
        <n v="573374.49"/>
        <n v="537035.28"/>
        <n v="542556.05000000005"/>
        <n v="587370.81000000006"/>
        <n v="630522.67000000004"/>
        <n v="695396.19"/>
        <n v="642679.81000000006"/>
        <n v="674669.16"/>
        <n v="635118.48"/>
        <n v="607961.21"/>
        <n v="590836.37"/>
        <n v="649159.68000000005"/>
        <n v="607593.51"/>
        <n v="579068.88"/>
        <n v="615121.78"/>
        <n v="618949.81999999995"/>
        <n v="699028.66"/>
        <n v="764565.55"/>
        <n v="516087.65"/>
        <n v="523831.64"/>
        <n v="628218.22"/>
        <n v="541292.64"/>
        <n v="545120.67000000004"/>
        <n v="659950.36"/>
        <n v="577868.38"/>
        <n v="579539.94999999995"/>
        <n v="663971.26"/>
        <n v="611390.67000000004"/>
        <n v="678024.75"/>
        <n v="590739.62"/>
        <n v="590453.63"/>
        <n v="587259.81999999995"/>
        <n v="573498.64"/>
        <n v="551799.63"/>
        <n v="477409.3"/>
        <n v="472044.28"/>
        <n v="444181.85"/>
        <n v="445393.74"/>
        <n v="490503.69"/>
        <n v="424083.99"/>
        <n v="403217.22"/>
        <n v="516295.81"/>
        <n v="535587.31000000006"/>
        <n v="610641.42000000004"/>
        <n v="614253.32999999996"/>
        <n v="586936.44999999995"/>
        <n v="542087.89"/>
        <n v="537518.56999999995"/>
        <n v="463977.54"/>
        <n v="442894.2"/>
        <n v="446905.02"/>
        <n v="453632.76"/>
        <n v="512260.59"/>
        <n v="570103.64"/>
        <n v="573545.96"/>
        <n v="479263.15"/>
        <n v="466806.89"/>
        <n v="484829.07"/>
        <n v="457504.35"/>
        <n v="459756.11"/>
        <n v="439276.5"/>
        <n v="423805.22"/>
        <n v="531080.31000000006"/>
        <n v="600952.06000000006"/>
        <n v="608737.56000000006"/>
        <n v="634634.66"/>
        <n v="592981.32999999996"/>
        <n v="563884.47"/>
        <n v="580805.32999999996"/>
        <n v="574622.56000000006"/>
        <n v="482926.93"/>
        <n v="511059.95"/>
        <n v="513181.31"/>
        <n v="530492.84"/>
        <n v="574798.86"/>
        <n v="564538.06999999995"/>
        <n v="475905.1"/>
        <n v="473766.97"/>
        <n v="464189.09"/>
        <n v="495951.66"/>
        <n v="502662.07"/>
        <n v="426959.62"/>
        <n v="479855"/>
        <n v="532311.93000000005"/>
        <n v="603618.89"/>
        <n v="641763.53"/>
        <n v="584000.71"/>
        <n v="554036.84"/>
        <n v="537138.57999999996"/>
        <n v="471281.68"/>
        <n v="491817.19"/>
        <n v="789036.02"/>
        <n v="841951.91"/>
        <n v="783300.05"/>
        <n v="763961.82"/>
        <n v="848521.17"/>
        <n v="770228.02"/>
        <n v="843848.65"/>
        <n v="876902.87"/>
        <n v="845252.21"/>
        <n v="958875.37"/>
        <n v="836915.92"/>
        <n v="795301.17"/>
        <n v="834373.73"/>
        <n v="1200888.28"/>
        <n v="829207.27"/>
        <n v="827738.06"/>
        <n v="818434.49"/>
        <n v="855459.96"/>
        <n v="926573.81"/>
        <n v="962475.55"/>
        <n v="1083071.1399999999"/>
        <n v="816603.05"/>
        <n v="813211.46"/>
        <n v="816138.33"/>
        <n v="779602.36"/>
        <n v="795859.23"/>
        <n v="811855.72"/>
        <n v="882132.28"/>
        <n v="895020.48"/>
        <n v="881190.46"/>
        <n v="940554.34"/>
        <n v="915064.22"/>
        <n v="866184.92"/>
        <n v="800819.79"/>
        <n v="847380.07"/>
        <n v="1161900.18"/>
        <n v="918006.9"/>
        <n v="927657.63"/>
        <n v="914759.2"/>
        <n v="945267.68"/>
        <n v="976522.93"/>
        <n v="1198104.22"/>
        <n v="864852.85"/>
        <n v="880165.7"/>
        <n v="856178.47"/>
        <n v="860224.98"/>
        <n v="986922.62"/>
        <n v="930121.14"/>
        <n v="944100.3"/>
        <n v="938914.28"/>
        <n v="987990.24"/>
        <n v="1046782.52"/>
        <n v="877813.33"/>
        <n v="849074.04"/>
        <n v="1255633.29"/>
        <n v="952609.17"/>
        <n v="919878.34"/>
        <n v="1205307.5"/>
        <n v="1187880.7"/>
        <n v="1179738.5"/>
        <n v="1138800.32"/>
        <n v="1254107.8400000001"/>
        <n v="1174447.55"/>
        <n v="1222255.47"/>
        <n v="1271311.76"/>
        <n v="1173521.82"/>
        <n v="1257928.3500000001"/>
        <n v="1171391.4099999999"/>
        <n v="1166117.8500000001"/>
        <n v="1187359.77"/>
        <n v="1011201.12"/>
        <n v="948977.5"/>
        <n v="1107432.71"/>
        <n v="1089530.94"/>
        <n v="1081322.1200000001"/>
        <n v="1211026.1299999999"/>
        <n v="1416168.98"/>
        <n v="933960.3"/>
        <n v="1055841.24"/>
        <n v="1122053.58"/>
        <n v="1063310.6200000001"/>
        <n v="1002714.25"/>
        <n v="938083.17"/>
        <n v="1018541.3"/>
        <n v="1065427.3700000001"/>
        <n v="1178039"/>
        <n v="1044079.2"/>
        <n v="1087051.26"/>
        <n v="1048802.6200000001"/>
        <n v="1002806.39"/>
        <n v="928470.83"/>
        <n v="540922.93999999994"/>
        <n v="951549.61"/>
        <n v="1019741.1"/>
        <n v="1100625.06"/>
        <n v="1079931.6299999999"/>
        <n v="1188047.6100000001"/>
        <n v="1368471.23"/>
        <n v="977286.07"/>
        <n v="1049772.04"/>
        <n v="1161615.51"/>
        <n v="1047178.91"/>
        <n v="1084894.47"/>
        <n v="1200815.3"/>
        <n v="1050027.8899999999"/>
        <n v="1060433.1000000001"/>
        <n v="1118313.7"/>
        <n v="1110479.94"/>
        <n v="1158247.31"/>
        <n v="1052066.58"/>
        <n v="967304.07"/>
        <n v="1083521.24"/>
        <n v="1092204.79"/>
        <n v="1074079"/>
        <n v="1507637.17"/>
        <n v="1536549.95"/>
        <n v="1495844.57"/>
        <n v="1467889.2"/>
        <n v="1642970.27"/>
        <n v="1489613.32"/>
        <n v="1566219.77"/>
        <n v="1519013.49"/>
        <n v="1410683.94"/>
        <n v="1549018.68"/>
        <n v="1577541.24"/>
        <n v="1492060.89"/>
        <n v="1623519.64"/>
        <n v="1591453.39"/>
        <n v="1379456.3"/>
        <n v="1428960.72"/>
        <n v="1435379.25"/>
        <n v="1490235.86"/>
        <n v="1615987.96"/>
        <n v="1799070.98"/>
        <n v="1224175.99"/>
        <n v="1370562.11"/>
        <n v="1430851.11"/>
        <n v="1433569.44"/>
        <n v="1351450.43"/>
        <n v="1305950.22"/>
        <n v="1419911.91"/>
        <n v="1451953.95"/>
        <n v="1457345.75"/>
        <n v="1467473.63"/>
        <n v="1462731.93"/>
        <n v="1465489.75"/>
        <n v="1408968.55"/>
        <n v="1360969.45"/>
        <n v="1609951.02"/>
        <n v="1566712.79"/>
        <n v="1461718.87"/>
        <n v="1480289.64"/>
        <n v="1502078.93"/>
        <n v="1484708.38"/>
        <n v="1713769.06"/>
        <n v="1266570.3999999999"/>
        <n v="1345311.65"/>
        <n v="1499496.67"/>
        <n v="1308977.05"/>
        <n v="1358816.46"/>
        <n v="1631737.68"/>
        <n v="1405007.44"/>
        <n v="1442873.22"/>
        <n v="1450733.29"/>
        <n v="1390122.11"/>
        <n v="1557120.44"/>
        <n v="1342123.78"/>
        <n v="1408907.89"/>
        <n v="1497073.82"/>
        <n v="1408016.1"/>
        <n v="1352809.5"/>
        <n v="2401395.4700000002"/>
        <n v="2109107.9"/>
        <n v="2119213.7200000002"/>
        <n v="2010974.84"/>
        <n v="2405395.2200000002"/>
        <n v="2007796.26"/>
        <n v="2137202.38"/>
        <n v="2203619.35"/>
        <n v="2100489.79"/>
        <n v="2143676.77"/>
        <n v="2107285.85"/>
        <n v="1910177.38"/>
        <n v="2121561.41"/>
        <n v="2014954.79"/>
        <n v="1933719.21"/>
        <n v="2060389.27"/>
        <n v="2184316.64"/>
        <n v="2187765.2799999998"/>
        <n v="2416051.17"/>
        <n v="2752122.08"/>
        <n v="1843030.95"/>
        <n v="2351143.0699999998"/>
        <n v="2211388.14"/>
        <n v="2143424.61"/>
        <n v="1990932.77"/>
        <n v="1927993.09"/>
        <n v="2027056.39"/>
        <n v="2090838.44"/>
        <n v="2182246.69"/>
        <n v="2135062.04"/>
        <n v="2053165.41"/>
        <n v="2123787.79"/>
        <n v="2189353.63"/>
        <n v="2052246.4"/>
        <n v="2141765.98"/>
        <n v="2050542.56"/>
        <n v="2135982.79"/>
        <n v="2284106.6"/>
        <n v="2269975.85"/>
        <n v="2298776.83"/>
        <n v="2546123.7799999998"/>
        <n v="1964701.94"/>
        <n v="2203523.2000000002"/>
        <n v="2462978.2799999998"/>
        <n v="2148822.7599999998"/>
        <n v="2139265.4"/>
        <n v="2565259.92"/>
        <n v="2163510.89"/>
        <n v="2168097.11"/>
        <n v="2143126.59"/>
        <n v="2231962.13"/>
        <n v="2358055.2999999998"/>
        <n v="2094515.71"/>
        <n v="2144245.39"/>
        <n v="2080529.06"/>
        <n v="2246411.89"/>
        <n v="2162951.36"/>
        <n v="798593.88"/>
        <n v="809321.44"/>
        <n v="747444.32"/>
        <n v="712312.89"/>
        <n v="753664.12"/>
        <n v="751181.4"/>
        <n v="744969.42"/>
        <n v="806012.48"/>
        <n v="784305.55"/>
        <n v="711470.8"/>
        <n v="714677.47"/>
        <n v="739279.19"/>
        <n v="727772.8"/>
        <n v="674055.81"/>
        <n v="677158.39"/>
        <n v="680579.49"/>
        <n v="719888.76"/>
        <n v="735796.38"/>
        <n v="829210.73"/>
        <n v="943891.64"/>
        <n v="629152.06000000006"/>
        <n v="596218.24"/>
        <n v="771908.51"/>
        <n v="796277.72"/>
        <n v="763479.9"/>
        <n v="732056.37"/>
        <n v="744782.89"/>
        <n v="718898.33"/>
        <n v="773878.58"/>
        <n v="794397.89"/>
        <n v="784639.12"/>
        <n v="734099.4"/>
        <n v="783614.89"/>
        <n v="776933.37"/>
        <n v="705557.8"/>
        <n v="653989.65"/>
        <n v="663452.46"/>
        <n v="767358.37"/>
        <n v="757369.87"/>
        <n v="793184.25"/>
        <n v="897747.13"/>
        <n v="640181.86"/>
        <n v="680725.43"/>
        <n v="770652.79"/>
        <n v="764385.4"/>
        <n v="755084.4"/>
        <n v="761956.58"/>
        <n v="697645.32"/>
        <n v="649945.54"/>
        <n v="695439.83"/>
        <n v="707895.72"/>
        <n v="693013.59"/>
        <n v="693785.85"/>
        <n v="700272.01"/>
        <n v="642827.29"/>
        <n v="651768.91"/>
        <n v="653043.43999999994"/>
        <n v="1033017.37"/>
        <n v="1022571.25"/>
        <n v="1009201.24"/>
        <n v="967187.37"/>
        <n v="1177340.99"/>
        <n v="1033171.07"/>
        <n v="1052973.28"/>
        <n v="1095539.1299999999"/>
        <n v="1061196.47"/>
        <n v="1120259.71"/>
        <n v="1092654.26"/>
        <n v="1010326.14"/>
        <n v="1074535.8799999999"/>
        <n v="924174.4"/>
        <n v="905987.17"/>
        <n v="1015051.62"/>
        <n v="1006888.16"/>
        <n v="1043698.64"/>
        <n v="1230514.58"/>
        <n v="1367202.84"/>
        <n v="873954.7"/>
        <n v="946060.98"/>
        <n v="1009206.33"/>
        <n v="997353.15"/>
        <n v="944587.23"/>
        <n v="951588.37"/>
        <n v="969046.69"/>
        <n v="1032076.06"/>
        <n v="1125169.92"/>
        <n v="1060868.49"/>
        <n v="1077491.68"/>
        <n v="1017050.65"/>
        <n v="983232.96"/>
        <n v="991779.2"/>
        <n v="912762.76"/>
        <n v="1004434.54"/>
        <n v="993436.67"/>
        <n v="1106575.5900000001"/>
        <n v="1051740.29"/>
        <n v="1167621.1399999999"/>
        <n v="1308967.44"/>
        <n v="895358.2"/>
        <n v="958487.75"/>
        <n v="1034448.07"/>
        <n v="974866.65"/>
        <n v="991127.01"/>
        <n v="1197489.6599999999"/>
        <n v="1005083.31"/>
        <n v="997868.63"/>
        <n v="1102857.3700000001"/>
        <n v="1061134.3700000001"/>
        <n v="1097786.1399999999"/>
        <n v="1007257.83"/>
        <n v="973812.79"/>
        <n v="996628.8"/>
        <n v="1009887.36"/>
        <n v="1004039.84"/>
        <n v="1364721.58"/>
        <n v="1380892.08"/>
        <n v="1311175.93"/>
        <n v="1408082.96"/>
        <n v="1556627.62"/>
        <n v="1264434.7"/>
        <n v="1365552.28"/>
        <n v="1514435.51"/>
        <n v="1439432.06"/>
        <n v="1549113.18"/>
        <n v="1417535.78"/>
        <n v="1417013.07"/>
        <n v="1405119.23"/>
        <n v="1272842.8500000001"/>
        <n v="1129909.44"/>
        <n v="1179851.68"/>
        <n v="1203119.96"/>
        <n v="1387953.75"/>
        <n v="1617025.41"/>
        <n v="1872365.99"/>
        <n v="1122034.48"/>
        <n v="1159438.53"/>
        <n v="1249786.3999999999"/>
        <n v="1301185.28"/>
        <n v="1042043.55"/>
        <n v="1182694.95"/>
        <n v="1248901.98"/>
        <n v="1359921.13"/>
        <n v="1562161.97"/>
        <n v="1447028.06"/>
        <n v="1492507.44"/>
        <n v="1379488.05"/>
        <n v="1416344.68"/>
        <n v="1380952.05"/>
        <n v="1464295.69"/>
        <n v="1423289.9"/>
        <n v="1463501.99"/>
        <n v="1428436.33"/>
        <n v="1436940.78"/>
        <n v="1552886.59"/>
        <n v="1841173.6"/>
        <n v="1150662.55"/>
        <n v="1261872.67"/>
        <n v="1358444.07"/>
        <n v="1322852.2"/>
        <n v="1292724.8999999999"/>
        <n v="1604605.69"/>
        <n v="1317379.68"/>
        <n v="1321914.3400000001"/>
        <n v="1476144.34"/>
        <n v="1568048.54"/>
        <n v="1545370.16"/>
        <n v="1416926.31"/>
        <n v="1436311.76"/>
        <n v="1427162.26"/>
        <n v="1464616.59"/>
        <n v="1412925.25"/>
        <n v="1388725.63"/>
        <n v="1414107.1"/>
        <n v="1412387.37"/>
        <n v="1309340.1599999999"/>
        <n v="1478321.26"/>
        <n v="1379579.63"/>
        <n v="1409705.03"/>
        <n v="1566668.91"/>
        <n v="1375458.21"/>
        <n v="1563387.94"/>
        <n v="1665502.55"/>
        <n v="1442819.28"/>
        <n v="1366381.6"/>
        <n v="1474498.59"/>
        <n v="1215273.2"/>
        <n v="1361944.94"/>
        <n v="1285358.01"/>
        <n v="1312877.01"/>
        <n v="1413302.7"/>
        <n v="1593012.75"/>
        <n v="1178641.71"/>
        <n v="1225182.04"/>
        <n v="1341240.6200000001"/>
        <n v="1346994.53"/>
        <n v="1253218.7"/>
        <n v="1163803.3"/>
        <n v="1273670.32"/>
        <n v="1339630.3500000001"/>
        <n v="1554837.62"/>
        <n v="1373841.91"/>
        <n v="1445596.61"/>
        <n v="1567340.07"/>
        <n v="1417616.81"/>
        <n v="1402818.01"/>
        <n v="1196105.44"/>
        <n v="1527455.19"/>
        <n v="1405914.39"/>
        <n v="1385860.38"/>
        <n v="1425078.59"/>
        <n v="1335647.1000000001"/>
        <n v="1529615.54"/>
        <n v="1251581.8899999999"/>
        <n v="1249696.97"/>
        <n v="1403460.87"/>
        <n v="1213994.3899999999"/>
        <n v="1325835.7"/>
        <n v="1524734.29"/>
        <n v="1306551.71"/>
        <n v="1355391.79"/>
        <n v="1467722.19"/>
        <n v="1406313.13"/>
        <n v="1645097.75"/>
        <n v="1440374.13"/>
        <n v="1497054.81"/>
        <n v="1477134.75"/>
        <n v="1416720.54"/>
        <n v="1416301.17"/>
        <n v="677231.63"/>
        <n v="583364.02"/>
        <n v="665750.06000000006"/>
        <n v="660619.99"/>
        <n v="822486.37"/>
        <n v="712647.97"/>
        <n v="724468.97"/>
        <n v="764155.44"/>
        <n v="737163.2"/>
        <n v="759407.87"/>
        <n v="719591.13"/>
        <n v="699464.43"/>
        <n v="685700.08"/>
        <n v="655811.94999999995"/>
        <n v="658640.14"/>
        <n v="674283.86"/>
        <n v="696314.53"/>
        <n v="713250.08"/>
        <n v="885572.96"/>
        <n v="964729.18"/>
        <n v="558794.63"/>
        <n v="639830.44999999995"/>
        <n v="615666.78"/>
        <n v="640912.18000000005"/>
        <n v="599828.39"/>
        <n v="618377.79"/>
        <n v="648606.13"/>
        <n v="659446.55000000005"/>
        <n v="737551.74"/>
        <n v="740259.63"/>
        <n v="706206.86"/>
        <n v="698529.64"/>
        <n v="679706.01"/>
        <n v="667130.48"/>
        <n v="699779"/>
        <n v="673248.48"/>
        <n v="671522.87"/>
        <n v="718393.61"/>
        <n v="719235.07"/>
        <n v="878314.57"/>
        <n v="916446.02"/>
        <n v="636419.12"/>
        <n v="642776.4"/>
        <n v="658984.38"/>
        <n v="643155.89"/>
        <n v="643711.53"/>
        <n v="791356.9"/>
        <n v="696421.72"/>
        <n v="739866.16"/>
        <n v="694765.95"/>
        <n v="730254.19"/>
        <n v="753385.55"/>
        <n v="709724.6"/>
        <n v="710496.97"/>
        <n v="671482.9"/>
        <n v="699536.73"/>
        <n v="697317.41"/>
        <n v="1034119.21"/>
        <n v="1015684.09"/>
        <n v="1005669.58"/>
        <n v="963382.09"/>
        <n v="1029849.2"/>
        <n v="1022293.81"/>
        <n v="1074479.73"/>
        <n v="1003202.66"/>
        <n v="1073862.5900000001"/>
        <n v="1078455.48"/>
        <n v="1122356.53"/>
        <n v="1125329.77"/>
        <n v="1037549.71"/>
        <n v="1042226.3"/>
        <n v="923221.52"/>
        <n v="1001069.52"/>
        <n v="970224.51"/>
        <n v="971193.01"/>
        <n v="1016143.64"/>
        <n v="1149612.04"/>
        <n v="938149.21"/>
        <n v="911807.02"/>
        <n v="1010711.08"/>
        <n v="945643.17"/>
        <n v="946614.55"/>
        <n v="849231.61"/>
        <n v="985229.81"/>
        <n v="1024778.23"/>
        <n v="1054454.3999999999"/>
        <n v="1094058.68"/>
        <n v="1070119.0900000001"/>
        <n v="1133807.03"/>
        <n v="1107552.43"/>
        <n v="1087644.5"/>
        <n v="1040143.14"/>
        <n v="1069710.97"/>
        <n v="1130022.99"/>
        <n v="988950.75"/>
        <n v="1077640.1299999999"/>
        <n v="1012498.49"/>
        <n v="1148987.46"/>
        <n v="971557.62"/>
        <n v="939158.25"/>
        <n v="1081005.6399999999"/>
        <n v="955641.74"/>
        <n v="1028569.01"/>
        <n v="1116829.23"/>
        <n v="946573.29"/>
        <n v="1062548.73"/>
        <n v="1015853.03"/>
        <n v="1106176.83"/>
        <n v="1180470.8"/>
        <n v="1090915.0900000001"/>
        <n v="1121476.51"/>
        <n v="1081874.03"/>
        <n v="1095504.26"/>
        <n v="1044639.69"/>
        <n v="1874289.79"/>
        <n v="1745362.72"/>
        <n v="1313729.72"/>
        <n v="1925113.12"/>
        <n v="2053952.97"/>
        <n v="1955814.13"/>
        <n v="1939458.84"/>
        <n v="2073102.59"/>
        <n v="1873812.93"/>
        <n v="2024554.1"/>
        <n v="2119163.0099999998"/>
        <n v="1908036.68"/>
        <n v="1908110.9"/>
        <n v="1913494.81"/>
        <n v="1543532.83"/>
        <n v="1707662.87"/>
        <n v="1686010.02"/>
        <n v="1828010.25"/>
        <n v="1884343.67"/>
        <n v="2139733.6800000002"/>
        <n v="1568159.48"/>
        <n v="1628100.79"/>
        <n v="1636224.77"/>
        <n v="1656130.67"/>
        <n v="1613259.77"/>
        <n v="1628868.28"/>
        <n v="1689844.18"/>
        <n v="1757041.96"/>
        <n v="2053708.01"/>
        <n v="1817914.71"/>
        <n v="1949983.93"/>
        <n v="2000055.27"/>
        <n v="1747289.53"/>
        <n v="1758437.96"/>
        <n v="1511717.53"/>
        <n v="1911470.84"/>
        <n v="1672339.27"/>
        <n v="1621109.3"/>
        <n v="1800728.07"/>
        <n v="1806924.74"/>
        <n v="2014665.98"/>
        <n v="1535287.4"/>
        <n v="1564246.02"/>
        <n v="1651605.35"/>
        <n v="1509323.09"/>
        <n v="1607343.41"/>
        <n v="1899013.34"/>
        <n v="1669388.45"/>
        <n v="1674306.31"/>
        <n v="1900638.6"/>
        <n v="1764756.31"/>
        <n v="2062224.92"/>
        <n v="1705810.84"/>
        <n v="1720537.26"/>
        <n v="1840955.23"/>
        <n v="1591816.88"/>
        <n v="1660081.29"/>
        <n v="1672352.29"/>
        <n v="1558968.49"/>
        <n v="1608435.45"/>
        <n v="1326877.1100000001"/>
        <n v="1441559.4"/>
        <n v="1382359.21"/>
        <n v="1532893.22"/>
        <n v="1543678.02"/>
        <n v="1348995.17"/>
        <n v="1399960.15"/>
        <n v="1340293.8700000001"/>
        <n v="1523101.38"/>
        <n v="1523410.71"/>
        <n v="1246062.17"/>
        <n v="1203080.4099999999"/>
        <n v="1334571.8700000001"/>
        <n v="1501663.26"/>
        <n v="1266460.45"/>
        <n v="1447916.29"/>
        <n v="1466164.49"/>
        <n v="1402902.47"/>
        <n v="1564897.32"/>
        <n v="1397301.38"/>
        <n v="1723736.91"/>
        <n v="1380836.35"/>
        <n v="1336838.4099999999"/>
        <n v="1414713.5"/>
        <n v="1515890.38"/>
        <n v="1403779.25"/>
        <n v="1339972.83"/>
        <n v="1319054.57"/>
        <n v="1459655.85"/>
        <n v="1523870.89"/>
        <n v="1218764.94"/>
        <n v="1468871.49"/>
        <n v="1310087"/>
        <n v="1557314.58"/>
        <n v="1576654.67"/>
        <n v="1402654.95"/>
        <n v="1368130.35"/>
        <n v="1467024.3"/>
        <n v="1466046.07"/>
        <n v="1531599.44"/>
        <n v="1572966.15"/>
        <n v="1451740.57"/>
        <n v="1680764.06"/>
        <n v="1559592.79"/>
        <n v="1450628.85"/>
        <n v="1264575.18"/>
        <n v="1245480.95"/>
        <n v="1440687.69"/>
        <n v="1500863.54"/>
        <n v="1376520.1"/>
        <n v="1269113.4099999999"/>
        <n v="1469693.99"/>
        <n v="1462941.03"/>
        <n v="1205536.71"/>
        <n v="538634.46"/>
        <n v="529672.94999999995"/>
        <n v="535087.91"/>
        <n v="519042.49"/>
        <n v="599629.25"/>
        <n v="569937.23"/>
        <n v="568497.35"/>
        <n v="588017.66"/>
        <n v="540716.57999999996"/>
        <n v="581473.55000000005"/>
        <n v="563449.43000000005"/>
        <n v="519787.93"/>
        <n v="579272.38"/>
        <n v="491290.37"/>
        <n v="474698.01"/>
        <n v="530059.06000000006"/>
        <n v="521002.97"/>
        <n v="524450.69999999995"/>
        <n v="642678.53"/>
        <n v="713834.74"/>
        <n v="455952.18"/>
        <n v="504126.89"/>
        <n v="550387.78"/>
        <n v="536031.67000000004"/>
        <n v="493430.45"/>
        <n v="475615.26"/>
        <n v="505304.33"/>
        <n v="534372.53"/>
        <n v="598251.56999999995"/>
        <n v="558431.43999999994"/>
        <n v="567114.6"/>
        <n v="547586.06999999995"/>
        <n v="503486.37"/>
        <n v="471311.5"/>
        <n v="497085.91"/>
        <n v="505406.71999999997"/>
        <n v="514993"/>
        <n v="620735.72"/>
        <n v="531600.62"/>
        <n v="579874.22"/>
        <n v="633240.53"/>
        <n v="469773.85"/>
        <n v="493159.35"/>
        <n v="545840.05000000005"/>
        <n v="500801.72"/>
        <n v="504750.35"/>
        <n v="633826.55000000005"/>
        <n v="504963.84000000003"/>
        <n v="529707.87"/>
        <n v="576252.35"/>
        <n v="554093.15"/>
        <n v="578832.41"/>
        <n v="504754.74"/>
        <n v="518628.42"/>
        <n v="540811.85"/>
        <n v="520632.8"/>
        <n v="513737"/>
        <n v="465108.52"/>
        <n v="497374.57"/>
        <n v="472591.07"/>
        <n v="468189.93"/>
        <n v="457884.06"/>
        <n v="454800.96"/>
        <n v="457883.94"/>
        <n v="458343.7"/>
        <n v="445530.16"/>
        <n v="450337.47"/>
        <n v="436293.4"/>
        <n v="441407.06"/>
        <n v="461548.98"/>
        <n v="455162.92"/>
        <n v="445475.3"/>
        <n v="462080.47"/>
        <n v="484661.87"/>
        <n v="431266.64"/>
        <n v="407112.22"/>
        <n v="428631.91"/>
        <n v="451077.21"/>
        <n v="490970.95"/>
        <n v="470921.24"/>
        <n v="443334.71"/>
        <n v="438529.81"/>
        <n v="437926.79"/>
        <n v="443889.5"/>
        <n v="438789.52"/>
        <n v="432808.48"/>
        <n v="424697.05"/>
        <n v="428782.38"/>
        <n v="419764.37"/>
        <n v="431798.64"/>
        <n v="412224.67"/>
        <n v="369722.32"/>
        <n v="370897.82"/>
        <n v="417528.26"/>
        <n v="432359.04"/>
        <n v="409686.63"/>
        <n v="412385.75"/>
        <n v="436741.02"/>
        <n v="457030.86"/>
        <n v="434080.74"/>
        <n v="451365.99"/>
        <n v="438640.61"/>
        <n v="446617.89"/>
        <n v="461511.92"/>
        <n v="454477.54"/>
        <n v="436070.45"/>
        <n v="427021.18"/>
        <n v="437222.94"/>
        <n v="440553.42"/>
        <n v="425136.55"/>
        <n v="430878.28"/>
        <n v="433565.77"/>
        <n v="446751.45"/>
        <n v="434593.26"/>
        <n v="1469252.05"/>
        <n v="1543947.23"/>
        <n v="1384870.51"/>
        <n v="1366193.35"/>
        <n v="1357600.68"/>
        <n v="1395710.09"/>
        <n v="1381796.8"/>
        <n v="1427624.5"/>
        <n v="1377092.33"/>
        <n v="1311704.92"/>
        <n v="1315118.3999999999"/>
        <n v="1352401.08"/>
        <n v="1302047.48"/>
        <n v="1308179.02"/>
        <n v="1213981.6399999999"/>
        <n v="1300131.68"/>
        <n v="1324455.72"/>
        <n v="1352780.76"/>
        <n v="1338716.3700000001"/>
        <n v="1475685.1"/>
        <n v="1311986.8700000001"/>
        <n v="1443206.46"/>
        <n v="1539230.32"/>
        <n v="1412721.18"/>
        <n v="1405572.93"/>
        <n v="1344890.73"/>
        <n v="1416790.17"/>
        <n v="1388755.61"/>
        <n v="1430348.1"/>
        <n v="1425299.37"/>
        <n v="1371889.27"/>
        <n v="1423144.47"/>
        <n v="1428993.33"/>
        <n v="1443311.49"/>
        <n v="1385769.03"/>
        <n v="1376670.27"/>
        <n v="1427383.24"/>
        <n v="1426405.46"/>
        <n v="1444783.64"/>
        <n v="1388809.43"/>
        <n v="1556798.94"/>
        <n v="1401232.52"/>
        <n v="1391479.91"/>
        <n v="1527688.58"/>
        <n v="1427881.22"/>
        <n v="1439034.86"/>
        <n v="1496169.81"/>
        <n v="1391257.28"/>
        <n v="1392938.06"/>
        <n v="1404516.29"/>
        <n v="1443285.79"/>
        <n v="1458059.42"/>
        <n v="1390174.63"/>
        <n v="1386472.59"/>
        <n v="1358111.62"/>
        <n v="1363365.05"/>
        <n v="1401113.42"/>
        <n v="1087616.19"/>
        <n v="1123566.1200000001"/>
        <n v="1066566.74"/>
        <n v="1093319.3700000001"/>
        <n v="1131732.94"/>
        <n v="1095889.22"/>
        <n v="1133657.58"/>
        <n v="1149234.96"/>
        <n v="1192074.0900000001"/>
        <n v="1187988.6399999999"/>
        <n v="1077253.67"/>
        <n v="1144552.0900000001"/>
        <n v="1095932.51"/>
        <n v="1028635.39"/>
        <n v="1061089.56"/>
        <n v="1085483.44"/>
        <n v="1063056.21"/>
        <n v="1141019.1100000001"/>
        <n v="1200892.56"/>
        <n v="1377322.73"/>
        <n v="1046416.17"/>
        <n v="1070457.8"/>
        <n v="1124357.2"/>
        <n v="1106847.6200000001"/>
        <n v="1101458.21"/>
        <n v="1051121.02"/>
        <n v="1102975.5900000001"/>
        <n v="1181793.55"/>
        <n v="1167757"/>
        <n v="1239741.3400000001"/>
        <n v="1199845.29"/>
        <n v="1110244.52"/>
        <n v="1201694.1399999999"/>
        <n v="1206795.74"/>
        <n v="1152117.5"/>
        <n v="1128237.3"/>
        <n v="1149448.02"/>
        <n v="1204628.28"/>
        <n v="1182733"/>
        <n v="1179773.8799999999"/>
        <n v="1415746.91"/>
        <n v="1099937.25"/>
        <n v="1156826.31"/>
        <n v="1129422.8600000001"/>
        <n v="1153332.8899999999"/>
        <n v="1124537.97"/>
        <n v="1270577.01"/>
        <n v="1187384.53"/>
        <n v="1187051.07"/>
        <n v="1157557.79"/>
        <n v="1246322.44"/>
        <n v="1214183.97"/>
        <n v="1183571.3500000001"/>
        <n v="1227469.2"/>
        <n v="1126685.95"/>
        <n v="1202775.24"/>
        <n v="1176681.31"/>
        <n v="274593.43"/>
        <n v="294882.83"/>
        <n v="291484.89"/>
        <n v="312161"/>
        <n v="274634.52"/>
        <n v="325201.05"/>
        <n v="326870.13"/>
        <n v="285100"/>
        <n v="310800.78999999998"/>
        <n v="267495.76"/>
        <n v="302423.93"/>
        <n v="262789.95"/>
        <n v="237405.82"/>
        <n v="272834.88"/>
        <n v="224294.39"/>
        <n v="266484.19"/>
        <n v="246124.61"/>
        <n v="272803.94"/>
        <n v="209986.25"/>
        <n v="253050.1"/>
        <n v="243948.82"/>
        <n v="234218.03"/>
        <n v="276198.74"/>
        <n v="245435.8"/>
        <n v="270921.44"/>
        <n v="232769.09"/>
        <n v="271924.73"/>
        <n v="257031.19"/>
        <n v="243477.03"/>
        <n v="258427.39"/>
        <n v="226702.36"/>
        <n v="262717.71000000002"/>
        <n v="242456.39"/>
        <n v="274721.84999999998"/>
        <n v="239198.36"/>
        <n v="281842.28000000003"/>
        <n v="262159.13"/>
        <n v="236157.12"/>
        <n v="271961.03999999998"/>
        <n v="220060.35"/>
        <n v="270373.05"/>
        <n v="267058.08"/>
        <n v="256091.32"/>
        <n v="282552.58"/>
        <n v="248051.53"/>
        <n v="287346.28999999998"/>
        <n v="275911.96999999997"/>
        <n v="270497.51"/>
        <n v="295841.84000000003"/>
        <n v="261131.09"/>
        <n v="286082.76"/>
        <n v="273690.37"/>
        <n v="258533.12"/>
        <n v="297753.49"/>
        <n v="286428.78000000003"/>
        <n v="265444.90000000002"/>
        <n v="291781.15000000002"/>
        <n v="956228.96"/>
        <n v="994610.99"/>
        <n v="918295.79"/>
        <n v="921247.88"/>
        <n v="979428.66"/>
        <n v="950684.2"/>
        <n v="953495.48"/>
        <n v="966187.51"/>
        <n v="954681.56"/>
        <n v="919229.36"/>
        <n v="911210.81"/>
        <n v="987435.35"/>
        <n v="964356.74"/>
        <n v="932240.96"/>
        <n v="865709.11"/>
        <n v="931710.67"/>
        <n v="972292.31"/>
        <n v="979730.78"/>
        <n v="1001512.21"/>
        <n v="1086661.02"/>
        <n v="900646.94"/>
        <n v="971932.87"/>
        <n v="1015654.6"/>
        <n v="963910.81"/>
        <n v="943951.67"/>
        <n v="884233.67"/>
        <n v="975479.83"/>
        <n v="965853.58"/>
        <n v="947229.24"/>
        <n v="943912.77"/>
        <n v="911106.22"/>
        <n v="926934.57"/>
        <n v="942236.45"/>
        <n v="956251.18"/>
        <n v="926455.64"/>
        <n v="930506.14"/>
        <n v="954069.45"/>
        <n v="992621.93"/>
        <n v="991570.02"/>
        <n v="988742.08"/>
        <n v="1084243.9099999999"/>
        <n v="953844.85"/>
        <n v="939367.14"/>
        <n v="1047658.09"/>
        <n v="990263.7"/>
        <n v="976393.43"/>
        <n v="1091020.3700000001"/>
        <n v="991104.4"/>
        <n v="949625.52"/>
        <n v="977062.44"/>
        <n v="999511.29"/>
        <n v="1007867.68"/>
        <n v="973250.41"/>
        <n v="1004523.59"/>
        <n v="976415.56"/>
        <n v="968896.68"/>
        <n v="948613.39"/>
        <n v="1230613.5"/>
        <n v="1168815.31"/>
        <n v="1162610.27"/>
        <n v="1150344.3899999999"/>
        <n v="1189556.47"/>
        <n v="1198014.97"/>
        <n v="1182099.8799999999"/>
        <n v="1282378.71"/>
        <n v="1160412.71"/>
        <n v="1245827.08"/>
        <n v="1268766.76"/>
        <n v="1180183.3899999999"/>
        <n v="948660.79"/>
        <n v="961685.98"/>
        <n v="771065.21"/>
        <n v="874615.32"/>
        <n v="843755.12"/>
        <n v="870914.69"/>
        <n v="982598.88"/>
        <n v="1108580.19"/>
        <n v="649289.75"/>
        <n v="747577.05"/>
        <n v="859258.17"/>
        <n v="850448.54"/>
        <n v="830601.39"/>
        <n v="762620.94"/>
        <n v="813352.41"/>
        <n v="835181.18"/>
        <n v="955466.84"/>
        <n v="855130.21"/>
        <n v="874453.88"/>
        <n v="827717.85"/>
        <n v="826820.71"/>
        <n v="819911.89"/>
        <n v="813486.55"/>
        <n v="922440.64"/>
        <n v="791637.53"/>
        <n v="653468.75"/>
        <n v="880576.33"/>
        <n v="903606.03"/>
        <n v="948964.99"/>
        <n v="671708.09"/>
        <n v="746901.03"/>
        <n v="849779.14"/>
        <n v="766571.1"/>
        <n v="796351.35"/>
        <n v="860293.46"/>
        <n v="772036.6"/>
        <n v="802383.63"/>
        <n v="932195.52"/>
        <n v="873415.01"/>
        <n v="985479.64"/>
        <n v="866216.36"/>
        <n v="888368.8"/>
        <n v="984833.35"/>
        <n v="866064.4"/>
        <n v="873643.14"/>
        <n v="467546.74"/>
        <n v="469563.7"/>
        <n v="480203.43"/>
        <n v="441434.2"/>
        <n v="435972.82"/>
        <n v="453016.91"/>
        <n v="489372.02"/>
        <n v="471088.88"/>
        <n v="467711.18"/>
        <n v="434252.15"/>
        <n v="471713.59"/>
        <n v="467442.94"/>
        <n v="431294.45"/>
        <n v="434471.38"/>
        <n v="422169.47"/>
        <n v="444351.61"/>
        <n v="405860.37"/>
        <n v="425804.79999999999"/>
        <n v="360266.09"/>
        <n v="404545.03"/>
        <n v="384659.85"/>
        <n v="417521.7"/>
        <n v="401501.2"/>
        <n v="402579.84"/>
        <n v="407506.78"/>
        <n v="385672.11"/>
        <n v="428727.61"/>
        <n v="393401.4"/>
        <n v="373703.95"/>
        <n v="374182.04"/>
        <n v="354270.77"/>
        <n v="377464.62"/>
        <n v="381017.75"/>
        <n v="380188.69"/>
        <n v="350276.29"/>
        <n v="352960.64"/>
        <n v="346137.87"/>
        <n v="313387.11"/>
        <n v="328498.92"/>
        <n v="293350.51"/>
        <n v="312298.37"/>
        <n v="329467.82"/>
        <n v="310982.87"/>
        <n v="335741.9"/>
        <n v="315396.71999999997"/>
        <n v="318674.93"/>
        <n v="331026.11"/>
        <n v="312467.52"/>
        <n v="330518.34000000003"/>
        <n v="306005.53000000003"/>
        <n v="338273.38"/>
        <n v="306578.89"/>
        <n v="304989.96999999997"/>
        <n v="298947.51"/>
        <n v="293728.57"/>
        <n v="277137.86"/>
        <n v="300236.84999999998"/>
        <n v="536006.73"/>
        <n v="529852.69999999995"/>
        <n v="519255.68"/>
        <n v="513015.35"/>
        <n v="540189.69999999995"/>
        <n v="513327.55"/>
        <n v="543234.77"/>
        <n v="479195.02"/>
        <n v="481915.11"/>
        <n v="498292.53"/>
        <n v="502456.04"/>
        <n v="508576.62"/>
        <n v="510427.53"/>
        <n v="510296.07"/>
        <n v="529877.93000000005"/>
        <n v="524483.65"/>
        <n v="539683.42000000004"/>
        <n v="517546.69"/>
        <n v="508213.14"/>
        <n v="511207.52"/>
        <n v="542464.02"/>
        <n v="583835.18000000005"/>
        <n v="522514.32"/>
        <n v="527572.25"/>
        <n v="505610.4"/>
        <n v="534578.78"/>
        <n v="543703.16"/>
        <n v="547513.30000000005"/>
        <n v="500381.23"/>
        <n v="509647.25"/>
        <n v="517021.3"/>
        <n v="489059.93"/>
        <n v="510787.46"/>
        <n v="502504.39"/>
        <n v="530367.82999999996"/>
        <n v="506273.74"/>
        <n v="522816.85"/>
        <n v="555925.6"/>
        <n v="501268.78"/>
        <n v="527117.81000000006"/>
        <n v="537224.52"/>
        <n v="558343.56999999995"/>
        <n v="555424.24"/>
        <n v="527041.46"/>
        <n v="525559.17000000004"/>
        <n v="535937.25"/>
        <n v="564848.78"/>
        <n v="535311.64"/>
        <n v="527983.04"/>
        <n v="531811.85"/>
        <n v="528940.78"/>
        <n v="519498.32"/>
        <n v="521959.28"/>
        <n v="500964.59"/>
        <n v="526838.14"/>
        <n v="546122.37"/>
        <n v="521810.75"/>
        <n v="358496.14"/>
        <n v="342214.9"/>
        <n v="372239.89"/>
        <n v="342023.92"/>
        <n v="368929.55"/>
        <n v="341630.46"/>
        <n v="383657.44"/>
        <n v="376184.88"/>
        <n v="354828.65"/>
        <n v="361181.48"/>
        <n v="343850.34"/>
        <n v="378574.44"/>
        <n v="377096.55"/>
        <n v="336227.69"/>
        <n v="360256.58"/>
        <n v="351271.36"/>
        <n v="380870.09"/>
        <n v="340147.20000000001"/>
        <n v="351925.36"/>
        <n v="355965.23"/>
        <n v="386344.54"/>
        <n v="402341.76"/>
        <n v="377672.46"/>
        <n v="405429.43"/>
        <n v="357897.18"/>
        <n v="382098.13"/>
        <n v="392152.3"/>
        <n v="422186.65"/>
        <n v="396826.06"/>
        <n v="381763.02"/>
        <n v="387334.04"/>
        <n v="399699.17"/>
        <n v="437631.44"/>
        <n v="387844.05"/>
        <n v="416953.51"/>
        <n v="397771.68"/>
        <n v="449516.29"/>
        <n v="436970.1"/>
        <n v="411116.95"/>
        <n v="411252.02"/>
        <n v="435401.64"/>
        <n v="478483.20000000001"/>
        <n v="457711.68"/>
        <n v="469787.38"/>
        <n v="471115.38"/>
        <n v="452792.53"/>
        <n v="499267.66"/>
        <n v="491755.69"/>
        <n v="429914.6"/>
        <n v="435579.7"/>
        <n v="448110.25"/>
        <n v="471086.22"/>
        <n v="469311.17"/>
        <n v="436690.13"/>
        <n v="490274.82"/>
        <n v="458479.01"/>
        <n v="437320.66"/>
        <n v="1230596.8"/>
        <n v="1266229.07"/>
        <n v="1266254.21"/>
        <n v="1244391.83"/>
        <n v="1463942.62"/>
        <n v="1327035.27"/>
        <n v="1355704.21"/>
        <n v="1512207.95"/>
        <n v="1371405.33"/>
        <n v="1352547.7"/>
        <n v="1330473.47"/>
        <n v="1409989.67"/>
        <n v="1345167.61"/>
        <n v="1279666.47"/>
        <n v="1219583.9099999999"/>
        <n v="1286598.5900000001"/>
        <n v="1293707.19"/>
        <n v="1291398.71"/>
        <n v="1431910.98"/>
        <n v="1630564.48"/>
        <n v="1224475.1200000001"/>
        <n v="1343773.94"/>
        <n v="1227893.8899999999"/>
        <n v="1316385.43"/>
        <n v="1283716.81"/>
        <n v="1316849.3600000001"/>
        <n v="1350646.16"/>
        <n v="1370920.87"/>
        <n v="1541745.59"/>
        <n v="1442092.08"/>
        <n v="1429829.36"/>
        <n v="1414564.53"/>
        <n v="1518790.89"/>
        <n v="1514055.97"/>
        <n v="1465089.85"/>
        <n v="1429345.86"/>
        <n v="1443884.39"/>
        <n v="1553629.59"/>
        <n v="1456957.38"/>
        <n v="1632894.58"/>
        <n v="1781528.77"/>
        <n v="1478537.93"/>
        <n v="1396150.15"/>
        <n v="1442988.44"/>
        <n v="1453047.02"/>
        <n v="1470764.35"/>
        <n v="1764847.94"/>
        <n v="1512227.34"/>
        <n v="1470792.41"/>
        <n v="1640476.77"/>
        <n v="1623442.24"/>
        <n v="1659221.99"/>
        <n v="1608277.74"/>
        <n v="1641867.92"/>
        <n v="1609811.75"/>
        <n v="1574408.67"/>
        <n v="1494417.07"/>
        <n v="1001943.8"/>
        <n v="955338.29"/>
        <n v="990152.28"/>
        <n v="899352.4"/>
        <n v="1041202.13"/>
        <n v="919839.19"/>
        <n v="1009797.06"/>
        <n v="1052429.03"/>
        <n v="1007574.67"/>
        <n v="1087578.78"/>
        <n v="1058250.9099999999"/>
        <n v="1057295.8700000001"/>
        <n v="976453.34"/>
        <n v="967310.82"/>
        <n v="891152.33"/>
        <n v="972405.38"/>
        <n v="968270.66"/>
        <n v="935481.32"/>
        <n v="1000582.06"/>
        <n v="1111215.72"/>
        <n v="894280.19"/>
        <n v="904261.65"/>
        <n v="931939.52"/>
        <n v="977070.62"/>
        <n v="860255.58"/>
        <n v="841889.08"/>
        <n v="947753.32"/>
        <n v="1016752.55"/>
        <n v="1075687.74"/>
        <n v="984336.04"/>
        <n v="1048866.3"/>
        <n v="1107366.06"/>
        <n v="1063818.2"/>
        <n v="955506.95"/>
        <n v="957298.26"/>
        <n v="1021391.99"/>
        <n v="1070389.98"/>
        <n v="1011321.18"/>
        <n v="1037687.07"/>
        <n v="1059676.6200000001"/>
        <n v="1158708.98"/>
        <n v="954576.86"/>
        <n v="979552.34"/>
        <n v="999785.48"/>
        <n v="927732.02"/>
        <n v="954233.87"/>
        <n v="1132064.23"/>
        <n v="993311.59"/>
        <n v="967729.35"/>
        <n v="1037464.27"/>
        <n v="1079386.8799999999"/>
        <n v="1182901.56"/>
        <n v="1068346.76"/>
        <n v="1007906.43"/>
        <n v="1088248.3999999999"/>
        <n v="1069112"/>
        <n v="982523.26"/>
        <n v="1086533.18"/>
        <n v="1075656.3400000001"/>
        <n v="1063557.49"/>
        <n v="1023997.71"/>
        <n v="1168826.3899999999"/>
        <n v="1082158.21"/>
        <n v="1175738.22"/>
        <n v="1305068.1000000001"/>
        <n v="1217199.3899999999"/>
        <n v="1273279.79"/>
        <n v="1176079.5900000001"/>
        <n v="1338132.72"/>
        <n v="1223355.5"/>
        <n v="1172672.27"/>
        <n v="1109216.3500000001"/>
        <n v="1162042.24"/>
        <n v="1163878.49"/>
        <n v="1175326.23"/>
        <n v="1220115.75"/>
        <n v="1434908.13"/>
        <n v="1153596.53"/>
        <n v="1179420.5"/>
        <n v="1150003.3600000001"/>
        <n v="1229257.7"/>
        <n v="1159089.6000000001"/>
        <n v="1179125.48"/>
        <n v="1206252.1200000001"/>
        <n v="1244956.9099999999"/>
        <n v="1297584.95"/>
        <n v="1311690.1100000001"/>
        <n v="1333347.78"/>
        <n v="1338862.58"/>
        <n v="1402233.69"/>
        <n v="1356689.88"/>
        <n v="1283849.3799999999"/>
        <n v="1280958.97"/>
        <n v="1277882.77"/>
        <n v="1315684.8600000001"/>
        <n v="1302499.23"/>
        <n v="1292436.23"/>
        <n v="1548661.45"/>
        <n v="1208191.6100000001"/>
        <n v="1208825.6000000001"/>
        <n v="1238844.56"/>
        <n v="1239813.26"/>
        <n v="1243814.77"/>
        <n v="1460234.31"/>
        <n v="1359770.73"/>
        <n v="1353285.1"/>
        <n v="1374891.36"/>
        <n v="1436383.84"/>
        <n v="1456300.89"/>
        <n v="1439607.35"/>
        <n v="1504545.94"/>
        <n v="1392143.82"/>
        <n v="1400160.95"/>
        <n v="1409544.97"/>
        <n v="543384.01"/>
        <n v="575709.96"/>
        <n v="554972.42000000004"/>
        <n v="588363.62"/>
        <n v="505907.41"/>
        <n v="582552.26"/>
        <n v="582846.22"/>
        <n v="556046.12"/>
        <n v="607218.6"/>
        <n v="507168.8"/>
        <n v="570069.48"/>
        <n v="579544.21"/>
        <n v="524658.06000000006"/>
        <n v="589091.04"/>
        <n v="481523.93"/>
        <n v="599759.44999999995"/>
        <n v="565390.4"/>
        <n v="588592.61"/>
        <n v="500250.8"/>
        <n v="585175.24"/>
        <n v="592947.75"/>
        <n v="586886.16"/>
        <n v="628063.88"/>
        <n v="570879.04"/>
        <n v="607294.56000000006"/>
        <n v="508432.17"/>
        <n v="620087.35"/>
        <n v="612337.35"/>
        <n v="545109.30000000005"/>
        <n v="616701.99"/>
        <n v="506343.83"/>
        <n v="593234.27"/>
        <n v="572603.32999999996"/>
        <n v="603147.26"/>
        <n v="537124.76"/>
        <n v="608390.93999999994"/>
        <n v="649111.23"/>
        <n v="597667.21"/>
        <n v="643125.29"/>
        <n v="511883.36"/>
        <n v="619133.48"/>
        <n v="636372.37"/>
        <n v="588448.21"/>
        <n v="674919.45"/>
        <n v="585895.34"/>
        <n v="659816.15"/>
        <n v="652312.11"/>
        <n v="609274.89"/>
        <n v="643603.68999999994"/>
        <n v="521953.78"/>
        <n v="642671.48"/>
        <n v="618702.09"/>
        <n v="573084.71"/>
        <n v="576620.31000000006"/>
        <n v="617405.35"/>
        <n v="593162.53"/>
        <n v="612379.9"/>
        <n v="647029.28"/>
        <n v="682918.99"/>
        <n v="658600.05000000005"/>
        <n v="645386.93999999994"/>
        <n v="650102.80000000005"/>
        <n v="693058.34"/>
        <n v="691498.6"/>
        <n v="682012.53"/>
        <n v="684023.95"/>
        <n v="667353.79"/>
        <n v="718748.33"/>
        <n v="698536.06"/>
        <n v="689326.91"/>
        <n v="722120.04"/>
        <n v="657108.77"/>
        <n v="713332.54"/>
        <n v="605960.19999999995"/>
        <n v="595421.23"/>
        <n v="557543.62"/>
        <n v="598679.02"/>
        <n v="611796.61"/>
        <n v="651521.77"/>
        <n v="635650.98"/>
        <n v="616345.25"/>
        <n v="629026.75"/>
        <n v="611585.54"/>
        <n v="650418.75"/>
        <n v="649148.74"/>
        <n v="630972.15"/>
        <n v="643041.71"/>
        <n v="586781.78"/>
        <n v="651147.82999999996"/>
        <n v="605956.59"/>
        <n v="595626.56000000006"/>
        <n v="594224.9"/>
        <n v="649128.23"/>
        <n v="642828.62"/>
        <n v="641905.37"/>
        <n v="615975.5"/>
        <n v="585028.26"/>
        <n v="617898.06999999995"/>
        <n v="670993.01"/>
        <n v="629176.71"/>
        <n v="662198.65"/>
        <n v="693249.98"/>
        <n v="636677.67000000004"/>
        <n v="658468.27"/>
        <n v="637964.19999999995"/>
        <n v="640159.04"/>
        <n v="605078.62"/>
        <n v="643032.51"/>
        <n v="645618.59"/>
        <n v="614378.93999999994"/>
        <n v="643558.78"/>
        <n v="663814.18000000005"/>
        <n v="642614.89"/>
        <n v="619369.72"/>
        <n v="281090.95"/>
        <n v="286857.13"/>
        <n v="284617.27"/>
        <n v="272190.83"/>
        <n v="286197.5"/>
        <n v="257361.3"/>
        <n v="285379.86"/>
        <n v="282351.82"/>
        <n v="296818.2"/>
        <n v="300628.19"/>
        <n v="280472.78000000003"/>
        <n v="296804.49"/>
        <n v="295880.12"/>
        <n v="283455.13"/>
        <n v="300152.45"/>
        <n v="279524.44"/>
        <n v="270516.84000000003"/>
        <n v="281909.78999999998"/>
        <n v="264214.12"/>
        <n v="278253.28000000003"/>
        <n v="288320.38"/>
        <n v="293953.08"/>
        <n v="307486.73"/>
        <n v="293984.53999999998"/>
        <n v="284496.14"/>
        <n v="281514.26"/>
        <n v="292498.61"/>
        <n v="299354.67"/>
        <n v="308950.03999999998"/>
        <n v="308770.42"/>
        <n v="315273.08"/>
        <n v="295339.01"/>
        <n v="298080.45"/>
        <n v="290399.65999999997"/>
        <n v="309543.52"/>
        <n v="295811.25"/>
        <n v="312577.36"/>
        <n v="307126.34000000003"/>
        <n v="312233.56"/>
        <n v="284309.34000000003"/>
        <n v="304300.90999999997"/>
        <n v="325327.93"/>
        <n v="325986.05"/>
        <n v="325377.96999999997"/>
        <n v="316687.21999999997"/>
        <n v="303438.24"/>
        <n v="320021.09999999998"/>
        <n v="326053.28000000003"/>
        <n v="341381.08"/>
        <n v="323410.94"/>
        <n v="340238.38"/>
        <n v="358461.58"/>
        <n v="342385.38"/>
        <n v="333594.81"/>
        <n v="338737.33"/>
        <n v="337390.44"/>
        <n v="337796.13"/>
        <n v="890689.51"/>
        <n v="656988.64"/>
        <n v="777951.22"/>
        <n v="765687.42"/>
        <n v="877235.96"/>
        <n v="833782.7"/>
        <n v="812190.76"/>
        <n v="837548.62"/>
        <n v="794698.77"/>
        <n v="800147.84"/>
        <n v="787062"/>
        <n v="746517.32"/>
        <n v="790144.7"/>
        <n v="721460.22"/>
        <n v="690007.76"/>
        <n v="745782.1"/>
        <n v="764014.06"/>
        <n v="765648.93"/>
        <n v="879244.9"/>
        <n v="1002364.34"/>
        <n v="680254.35"/>
        <n v="759442.33"/>
        <n v="766456"/>
        <n v="761880.36"/>
        <n v="714014.73"/>
        <n v="712425.76"/>
        <n v="750182.71"/>
        <n v="810150.64"/>
        <n v="877423.45"/>
        <n v="814395.17"/>
        <n v="791495.25"/>
        <n v="768718.11"/>
        <n v="765996.92"/>
        <n v="724180.89"/>
        <n v="726482.39"/>
        <n v="746129.56"/>
        <n v="753447.05"/>
        <n v="833429.22"/>
        <n v="808624.82"/>
        <n v="875699.81"/>
        <n v="957155.31"/>
        <n v="714081.05"/>
        <n v="757330.95"/>
        <n v="803657.12"/>
        <n v="782796.01"/>
        <n v="776968.87"/>
        <n v="899479.43"/>
        <n v="782300.68"/>
        <n v="770487.37"/>
        <n v="837144.63"/>
        <n v="795133"/>
        <n v="843361.1"/>
        <n v="725729.51"/>
        <n v="733037.32"/>
        <n v="766512.66"/>
        <n v="733455.07"/>
        <n v="734464.36"/>
        <m/>
      </sharedItems>
    </cacheField>
    <cacheField name="Holiday_Flag" numFmtId="0">
      <sharedItems containsString="0" containsBlank="1" containsNumber="1" containsInteger="1" minValue="0" maxValue="1" count="3">
        <n v="0"/>
        <n v="1"/>
        <m/>
      </sharedItems>
    </cacheField>
    <cacheField name="Temperature" numFmtId="2">
      <sharedItems containsString="0" containsBlank="1" containsNumber="1" minValue="-2.06" maxValue="100.07"/>
    </cacheField>
    <cacheField name="Fuel_Price" numFmtId="164">
      <sharedItems containsString="0" containsBlank="1" containsNumber="1" minValue="2.5129999999999999" maxValue="4.468"/>
    </cacheField>
    <cacheField name="CPI" numFmtId="0">
      <sharedItems containsString="0" containsBlank="1" containsNumber="1" minValue="126.0854516" maxValue="227.16939189999999"/>
    </cacheField>
    <cacheField name="Unemployment" numFmtId="2">
      <sharedItems containsString="0" containsBlank="1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Lima" refreshedDate="45988.916642013886" createdVersion="8" refreshedVersion="8" minRefreshableVersion="3" recordCount="45" xr:uid="{30F8703A-1DD6-48FF-8A0F-4C1022933973}">
  <cacheSource type="worksheet">
    <worksheetSource ref="AC74:AD119" sheet="Diagnóstica"/>
  </cacheSource>
  <cacheFields count="2">
    <cacheField name="Loja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Soma de Weekly_Sales" numFmtId="164">
      <sharedItems containsSemiMixedTypes="0" containsString="0" containsNumber="1" minValue="15238321.139999999" maxValue="123654115.52000001" count="45">
        <n v="91305173.030000016"/>
        <n v="111261408.29000002"/>
        <n v="23548991.5"/>
        <n v="119047758.56999999"/>
        <n v="18493210.620000001"/>
        <n v="90568529.220000044"/>
        <n v="32341729.079999994"/>
        <n v="52619595.950000003"/>
        <n v="31487839.230000004"/>
        <n v="108599830.23"/>
        <n v="78231038.799999997"/>
        <n v="58024045.580000006"/>
        <n v="113895600.75000001"/>
        <n v="118285799.76999997"/>
        <n v="35503840.100000009"/>
        <n v="29374670.950000003"/>
        <n v="51347414.190000005"/>
        <n v="62482538.569999993"/>
        <n v="83715436.999999985"/>
        <n v="123654115.52000001"/>
        <n v="41859207.719999991"/>
        <n v="59076630.18999999"/>
        <n v="79390179.800000027"/>
        <n v="79516727.180000007"/>
        <n v="40068097.139999986"/>
        <n v="59126473.479999997"/>
        <n v="101618599.37000003"/>
        <n v="81770506.329999983"/>
        <n v="30806139.210000005"/>
        <n v="25152040.160000004"/>
        <n v="79764831.070000023"/>
        <n v="65705390.340000018"/>
        <n v="15238321.139999999"/>
        <n v="55059912.460000008"/>
        <n v="52739751.870000027"/>
        <n v="21647564.54999999"/>
        <n v="29863637.080000009"/>
        <n v="23051454.650000002"/>
        <n v="81809726.219999984"/>
        <n v="57254759.219999991"/>
        <n v="72218185.230000004"/>
        <n v="33325351.510000005"/>
        <n v="36681125.710000001"/>
        <n v="17245287.700000003"/>
        <n v="44793091.72999998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6">
  <r>
    <x v="0"/>
    <d v="2010-05-02T00:00:00"/>
    <x v="0"/>
    <x v="0"/>
    <x v="0"/>
    <x v="0"/>
    <n v="42.31"/>
    <n v="2.5720000000000001"/>
    <n v="211.0963582"/>
    <n v="8.1059999999999999"/>
  </r>
  <r>
    <x v="0"/>
    <d v="2010-12-02T00:00:00"/>
    <x v="1"/>
    <x v="0"/>
    <x v="1"/>
    <x v="1"/>
    <n v="38.51"/>
    <n v="2.548"/>
    <n v="211.2421698"/>
    <n v="8.1059999999999999"/>
  </r>
  <r>
    <x v="0"/>
    <d v="2010-05-03T00:00:00"/>
    <x v="0"/>
    <x v="0"/>
    <x v="2"/>
    <x v="0"/>
    <n v="46.5"/>
    <n v="2.625"/>
    <n v="211.35014290000001"/>
    <n v="8.1059999999999999"/>
  </r>
  <r>
    <x v="0"/>
    <d v="2010-12-03T00:00:00"/>
    <x v="1"/>
    <x v="0"/>
    <x v="3"/>
    <x v="0"/>
    <n v="57.79"/>
    <n v="2.6669999999999998"/>
    <n v="211.3806429"/>
    <n v="8.1059999999999999"/>
  </r>
  <r>
    <x v="0"/>
    <d v="2010-02-04T00:00:00"/>
    <x v="2"/>
    <x v="0"/>
    <x v="4"/>
    <x v="0"/>
    <n v="62.27"/>
    <n v="2.7189999999999999"/>
    <n v="210.8204499"/>
    <n v="7.8079999999999998"/>
  </r>
  <r>
    <x v="0"/>
    <d v="2010-09-04T00:00:00"/>
    <x v="3"/>
    <x v="0"/>
    <x v="5"/>
    <x v="0"/>
    <n v="65.86"/>
    <n v="2.77"/>
    <n v="210.62285739999999"/>
    <n v="7.8079999999999998"/>
  </r>
  <r>
    <x v="0"/>
    <d v="2010-07-05T00:00:00"/>
    <x v="4"/>
    <x v="0"/>
    <x v="6"/>
    <x v="0"/>
    <n v="72.55"/>
    <n v="2.835"/>
    <n v="210.3399684"/>
    <n v="7.8079999999999998"/>
  </r>
  <r>
    <x v="0"/>
    <d v="2010-04-06T00:00:00"/>
    <x v="5"/>
    <x v="0"/>
    <x v="7"/>
    <x v="0"/>
    <n v="80.69"/>
    <n v="2.7050000000000001"/>
    <n v="211.1764278"/>
    <n v="7.8079999999999998"/>
  </r>
  <r>
    <x v="0"/>
    <d v="2010-11-06T00:00:00"/>
    <x v="6"/>
    <x v="0"/>
    <x v="8"/>
    <x v="0"/>
    <n v="80.430000000000007"/>
    <n v="2.6680000000000001"/>
    <n v="211.4560951"/>
    <n v="7.8079999999999998"/>
  </r>
  <r>
    <x v="0"/>
    <d v="2010-02-07T00:00:00"/>
    <x v="2"/>
    <x v="0"/>
    <x v="9"/>
    <x v="0"/>
    <n v="80.91"/>
    <n v="2.669"/>
    <n v="211.22353330000001"/>
    <n v="7.7869999999999999"/>
  </r>
  <r>
    <x v="0"/>
    <d v="2010-09-07T00:00:00"/>
    <x v="3"/>
    <x v="0"/>
    <x v="10"/>
    <x v="0"/>
    <n v="80.48"/>
    <n v="2.6419999999999999"/>
    <n v="211.10841400000001"/>
    <n v="7.7869999999999999"/>
  </r>
  <r>
    <x v="0"/>
    <d v="2010-06-08T00:00:00"/>
    <x v="7"/>
    <x v="0"/>
    <x v="11"/>
    <x v="0"/>
    <n v="87.16"/>
    <n v="2.6269999999999998"/>
    <n v="211.50466209999999"/>
    <n v="7.7869999999999999"/>
  </r>
  <r>
    <x v="0"/>
    <d v="2010-03-09T00:00:00"/>
    <x v="8"/>
    <x v="0"/>
    <x v="12"/>
    <x v="0"/>
    <n v="81.209999999999994"/>
    <n v="2.577"/>
    <n v="211.53124790000001"/>
    <n v="7.7869999999999999"/>
  </r>
  <r>
    <x v="0"/>
    <d v="2010-10-09T00:00:00"/>
    <x v="9"/>
    <x v="0"/>
    <x v="13"/>
    <x v="1"/>
    <n v="78.69"/>
    <n v="2.5649999999999999"/>
    <n v="211.4951902"/>
    <n v="7.7869999999999999"/>
  </r>
  <r>
    <x v="0"/>
    <d v="2010-01-10T00:00:00"/>
    <x v="10"/>
    <x v="0"/>
    <x v="14"/>
    <x v="0"/>
    <n v="71.89"/>
    <n v="2.6030000000000002"/>
    <n v="211.6719895"/>
    <n v="7.8380000000000001"/>
  </r>
  <r>
    <x v="0"/>
    <d v="2010-08-10T00:00:00"/>
    <x v="11"/>
    <x v="0"/>
    <x v="15"/>
    <x v="0"/>
    <n v="63.93"/>
    <n v="2.633"/>
    <n v="211.74675439999999"/>
    <n v="7.8380000000000001"/>
  </r>
  <r>
    <x v="0"/>
    <d v="2010-05-11T00:00:00"/>
    <x v="0"/>
    <x v="0"/>
    <x v="16"/>
    <x v="0"/>
    <n v="58.74"/>
    <n v="2.6890000000000001"/>
    <n v="211.95639389999999"/>
    <n v="7.8380000000000001"/>
  </r>
  <r>
    <x v="0"/>
    <d v="2010-12-11T00:00:00"/>
    <x v="1"/>
    <x v="0"/>
    <x v="17"/>
    <x v="0"/>
    <n v="59.61"/>
    <n v="2.7280000000000002"/>
    <n v="212.00394399999999"/>
    <n v="7.8380000000000001"/>
  </r>
  <r>
    <x v="0"/>
    <d v="2010-03-12T00:00:00"/>
    <x v="8"/>
    <x v="0"/>
    <x v="18"/>
    <x v="0"/>
    <n v="49.27"/>
    <n v="2.7080000000000002"/>
    <n v="211.607193"/>
    <n v="7.8380000000000001"/>
  </r>
  <r>
    <x v="0"/>
    <d v="2010-10-12T00:00:00"/>
    <x v="9"/>
    <x v="0"/>
    <x v="19"/>
    <x v="0"/>
    <n v="46.33"/>
    <n v="2.843"/>
    <n v="211.46595260000001"/>
    <n v="7.8380000000000001"/>
  </r>
  <r>
    <x v="0"/>
    <d v="2011-07-01T00:00:00"/>
    <x v="4"/>
    <x v="1"/>
    <x v="20"/>
    <x v="0"/>
    <n v="48.27"/>
    <n v="2.976"/>
    <n v="211.4047419"/>
    <n v="7.742"/>
  </r>
  <r>
    <x v="0"/>
    <d v="2011-04-02T00:00:00"/>
    <x v="5"/>
    <x v="1"/>
    <x v="21"/>
    <x v="0"/>
    <n v="42.27"/>
    <n v="2.9889999999999999"/>
    <n v="212.56688120000001"/>
    <n v="7.742"/>
  </r>
  <r>
    <x v="0"/>
    <d v="2011-11-02T00:00:00"/>
    <x v="6"/>
    <x v="1"/>
    <x v="22"/>
    <x v="1"/>
    <n v="36.39"/>
    <n v="3.0219999999999998"/>
    <n v="212.93670460000001"/>
    <n v="7.742"/>
  </r>
  <r>
    <x v="0"/>
    <d v="2011-04-03T00:00:00"/>
    <x v="5"/>
    <x v="1"/>
    <x v="23"/>
    <x v="0"/>
    <n v="59.58"/>
    <n v="3.2879999999999998"/>
    <n v="213.82333270000001"/>
    <n v="7.742"/>
  </r>
  <r>
    <x v="0"/>
    <d v="2011-11-03T00:00:00"/>
    <x v="6"/>
    <x v="1"/>
    <x v="24"/>
    <x v="0"/>
    <n v="53.56"/>
    <n v="3.4590000000000001"/>
    <n v="214.1110564"/>
    <n v="7.742"/>
  </r>
  <r>
    <x v="0"/>
    <d v="2011-01-04T00:00:00"/>
    <x v="10"/>
    <x v="1"/>
    <x v="25"/>
    <x v="0"/>
    <n v="59.17"/>
    <n v="3.524"/>
    <n v="214.8371664"/>
    <n v="7.6820000000000004"/>
  </r>
  <r>
    <x v="0"/>
    <d v="2011-08-04T00:00:00"/>
    <x v="11"/>
    <x v="1"/>
    <x v="26"/>
    <x v="0"/>
    <n v="67.84"/>
    <n v="3.6219999999999999"/>
    <n v="215.07439389999999"/>
    <n v="7.6820000000000004"/>
  </r>
  <r>
    <x v="0"/>
    <d v="2011-06-05T00:00:00"/>
    <x v="7"/>
    <x v="1"/>
    <x v="27"/>
    <x v="0"/>
    <n v="64.61"/>
    <n v="3.9060000000000001"/>
    <n v="215.79600350000001"/>
    <n v="7.6820000000000004"/>
  </r>
  <r>
    <x v="0"/>
    <d v="2011-03-06T00:00:00"/>
    <x v="8"/>
    <x v="1"/>
    <x v="28"/>
    <x v="0"/>
    <n v="83"/>
    <n v="3.6989999999999998"/>
    <n v="215.2736553"/>
    <n v="7.6820000000000004"/>
  </r>
  <r>
    <x v="0"/>
    <d v="2011-10-06T00:00:00"/>
    <x v="9"/>
    <x v="1"/>
    <x v="29"/>
    <x v="0"/>
    <n v="83.13"/>
    <n v="3.6480000000000001"/>
    <n v="215.0435229"/>
    <n v="7.6820000000000004"/>
  </r>
  <r>
    <x v="0"/>
    <d v="2011-01-07T00:00:00"/>
    <x v="10"/>
    <x v="1"/>
    <x v="30"/>
    <x v="0"/>
    <n v="85.55"/>
    <n v="3.524"/>
    <n v="215.1841368"/>
    <n v="7.9619999999999997"/>
  </r>
  <r>
    <x v="0"/>
    <d v="2011-08-07T00:00:00"/>
    <x v="11"/>
    <x v="1"/>
    <x v="31"/>
    <x v="0"/>
    <n v="85.83"/>
    <n v="3.48"/>
    <n v="215.2771754"/>
    <n v="7.9619999999999997"/>
  </r>
  <r>
    <x v="0"/>
    <d v="2011-05-08T00:00:00"/>
    <x v="0"/>
    <x v="1"/>
    <x v="32"/>
    <x v="0"/>
    <n v="91.65"/>
    <n v="3.6840000000000002"/>
    <n v="215.54461800000001"/>
    <n v="7.9619999999999997"/>
  </r>
  <r>
    <x v="0"/>
    <d v="2011-12-08T00:00:00"/>
    <x v="1"/>
    <x v="1"/>
    <x v="33"/>
    <x v="0"/>
    <n v="90.76"/>
    <n v="3.6379999999999999"/>
    <n v="215.6057878"/>
    <n v="7.9619999999999997"/>
  </r>
  <r>
    <x v="0"/>
    <d v="2011-02-09T00:00:00"/>
    <x v="2"/>
    <x v="1"/>
    <x v="34"/>
    <x v="0"/>
    <n v="87.83"/>
    <n v="3.5329999999999999"/>
    <n v="215.79714089999999"/>
    <n v="7.9619999999999997"/>
  </r>
  <r>
    <x v="0"/>
    <d v="2011-09-09T00:00:00"/>
    <x v="3"/>
    <x v="1"/>
    <x v="35"/>
    <x v="1"/>
    <n v="76"/>
    <n v="3.5459999999999998"/>
    <n v="215.86105599999999"/>
    <n v="7.9619999999999997"/>
  </r>
  <r>
    <x v="0"/>
    <d v="2011-07-10T00:00:00"/>
    <x v="4"/>
    <x v="1"/>
    <x v="36"/>
    <x v="0"/>
    <n v="69.31"/>
    <n v="3.2850000000000001"/>
    <n v="217.0453684"/>
    <n v="7.8659999999999997"/>
  </r>
  <r>
    <x v="0"/>
    <d v="2011-04-11T00:00:00"/>
    <x v="5"/>
    <x v="1"/>
    <x v="37"/>
    <x v="0"/>
    <n v="54.98"/>
    <n v="3.3319999999999999"/>
    <n v="217.83738199999999"/>
    <n v="7.8659999999999997"/>
  </r>
  <r>
    <x v="0"/>
    <d v="2011-11-11T00:00:00"/>
    <x v="6"/>
    <x v="1"/>
    <x v="38"/>
    <x v="0"/>
    <n v="59.11"/>
    <n v="3.2970000000000002"/>
    <n v="217.99808490000001"/>
    <n v="7.8659999999999997"/>
  </r>
  <r>
    <x v="0"/>
    <d v="2011-02-12T00:00:00"/>
    <x v="2"/>
    <x v="1"/>
    <x v="39"/>
    <x v="0"/>
    <n v="48.91"/>
    <n v="3.1720000000000002"/>
    <n v="218.71473330000001"/>
    <n v="7.8659999999999997"/>
  </r>
  <r>
    <x v="0"/>
    <d v="2011-09-12T00:00:00"/>
    <x v="3"/>
    <x v="1"/>
    <x v="40"/>
    <x v="0"/>
    <n v="43.93"/>
    <n v="3.1579999999999999"/>
    <n v="218.9618456"/>
    <n v="7.8659999999999997"/>
  </r>
  <r>
    <x v="0"/>
    <d v="2012-06-01T00:00:00"/>
    <x v="7"/>
    <x v="2"/>
    <x v="41"/>
    <x v="0"/>
    <n v="49.01"/>
    <n v="3.157"/>
    <n v="219.7142581"/>
    <n v="7.3479999999999999"/>
  </r>
  <r>
    <x v="0"/>
    <d v="2012-03-02T00:00:00"/>
    <x v="8"/>
    <x v="2"/>
    <x v="42"/>
    <x v="0"/>
    <n v="56.55"/>
    <n v="3.36"/>
    <n v="220.1720153"/>
    <n v="7.3479999999999999"/>
  </r>
  <r>
    <x v="0"/>
    <d v="2012-10-02T00:00:00"/>
    <x v="9"/>
    <x v="2"/>
    <x v="43"/>
    <x v="1"/>
    <n v="48.02"/>
    <n v="3.4089999999999998"/>
    <n v="220.2651783"/>
    <n v="7.3479999999999999"/>
  </r>
  <r>
    <x v="0"/>
    <d v="2012-02-03T00:00:00"/>
    <x v="2"/>
    <x v="2"/>
    <x v="44"/>
    <x v="0"/>
    <n v="60.96"/>
    <n v="3.63"/>
    <n v="220.84804539999999"/>
    <n v="7.3479999999999999"/>
  </r>
  <r>
    <x v="0"/>
    <d v="2012-09-03T00:00:00"/>
    <x v="3"/>
    <x v="2"/>
    <x v="45"/>
    <x v="0"/>
    <n v="58.76"/>
    <n v="3.669"/>
    <n v="221.05918869999999"/>
    <n v="7.3479999999999999"/>
  </r>
  <r>
    <x v="0"/>
    <d v="2012-06-04T00:00:00"/>
    <x v="7"/>
    <x v="2"/>
    <x v="46"/>
    <x v="0"/>
    <n v="70.430000000000007"/>
    <n v="3.891"/>
    <n v="221.43561120000001"/>
    <n v="7.1429999999999998"/>
  </r>
  <r>
    <x v="0"/>
    <d v="2012-04-05T00:00:00"/>
    <x v="5"/>
    <x v="2"/>
    <x v="47"/>
    <x v="0"/>
    <n v="75.55"/>
    <n v="3.7490000000000001"/>
    <n v="221.67179999999999"/>
    <n v="7.1429999999999998"/>
  </r>
  <r>
    <x v="0"/>
    <d v="2012-11-05T00:00:00"/>
    <x v="6"/>
    <x v="2"/>
    <x v="48"/>
    <x v="0"/>
    <n v="73.77"/>
    <n v="3.6880000000000002"/>
    <n v="221.72566320000001"/>
    <n v="7.1429999999999998"/>
  </r>
  <r>
    <x v="0"/>
    <d v="2012-01-06T00:00:00"/>
    <x v="10"/>
    <x v="2"/>
    <x v="49"/>
    <x v="0"/>
    <n v="77.95"/>
    <n v="3.5009999999999999"/>
    <n v="221.74721389999999"/>
    <n v="7.1429999999999998"/>
  </r>
  <r>
    <x v="0"/>
    <d v="2012-08-06T00:00:00"/>
    <x v="11"/>
    <x v="2"/>
    <x v="50"/>
    <x v="0"/>
    <n v="78.3"/>
    <n v="3.452"/>
    <n v="221.7494839"/>
    <n v="7.1429999999999998"/>
  </r>
  <r>
    <x v="0"/>
    <d v="2012-06-07T00:00:00"/>
    <x v="7"/>
    <x v="2"/>
    <x v="51"/>
    <x v="0"/>
    <n v="81.569999999999993"/>
    <n v="3.2269999999999999"/>
    <n v="221.88377890000001"/>
    <n v="6.9080000000000004"/>
  </r>
  <r>
    <x v="0"/>
    <d v="2012-03-08T00:00:00"/>
    <x v="8"/>
    <x v="2"/>
    <x v="52"/>
    <x v="0"/>
    <n v="86.11"/>
    <n v="3.4169999999999998"/>
    <n v="221.94986420000001"/>
    <n v="6.9080000000000004"/>
  </r>
  <r>
    <x v="0"/>
    <d v="2012-10-08T00:00:00"/>
    <x v="9"/>
    <x v="2"/>
    <x v="53"/>
    <x v="0"/>
    <n v="85.05"/>
    <n v="3.4940000000000002"/>
    <n v="221.95843289999999"/>
    <n v="6.9080000000000004"/>
  </r>
  <r>
    <x v="0"/>
    <d v="2012-07-09T00:00:00"/>
    <x v="4"/>
    <x v="2"/>
    <x v="54"/>
    <x v="1"/>
    <n v="83.96"/>
    <n v="3.73"/>
    <n v="222.43901529999999"/>
    <n v="6.9080000000000004"/>
  </r>
  <r>
    <x v="0"/>
    <d v="2012-05-10T00:00:00"/>
    <x v="0"/>
    <x v="2"/>
    <x v="55"/>
    <x v="0"/>
    <n v="68.55"/>
    <n v="3.617"/>
    <n v="223.18147719999999"/>
    <n v="6.5730000000000004"/>
  </r>
  <r>
    <x v="0"/>
    <d v="2012-12-10T00:00:00"/>
    <x v="1"/>
    <x v="2"/>
    <x v="56"/>
    <x v="0"/>
    <n v="62.99"/>
    <n v="3.601"/>
    <n v="223.38129649999999"/>
    <n v="6.5730000000000004"/>
  </r>
  <r>
    <x v="1"/>
    <d v="2010-05-02T00:00:00"/>
    <x v="0"/>
    <x v="0"/>
    <x v="57"/>
    <x v="0"/>
    <n v="40.19"/>
    <n v="2.5720000000000001"/>
    <n v="210.7526053"/>
    <n v="8.3239999999999998"/>
  </r>
  <r>
    <x v="1"/>
    <d v="2010-12-02T00:00:00"/>
    <x v="1"/>
    <x v="0"/>
    <x v="58"/>
    <x v="1"/>
    <n v="38.49"/>
    <n v="2.548"/>
    <n v="210.89799350000001"/>
    <n v="8.3239999999999998"/>
  </r>
  <r>
    <x v="1"/>
    <d v="2010-05-03T00:00:00"/>
    <x v="0"/>
    <x v="0"/>
    <x v="59"/>
    <x v="0"/>
    <n v="47.17"/>
    <n v="2.625"/>
    <n v="211.00675419999999"/>
    <n v="8.3239999999999998"/>
  </r>
  <r>
    <x v="1"/>
    <d v="2010-12-03T00:00:00"/>
    <x v="1"/>
    <x v="0"/>
    <x v="60"/>
    <x v="0"/>
    <n v="57.56"/>
    <n v="2.6669999999999998"/>
    <n v="211.03755100000001"/>
    <n v="8.3239999999999998"/>
  </r>
  <r>
    <x v="1"/>
    <d v="2010-02-04T00:00:00"/>
    <x v="2"/>
    <x v="0"/>
    <x v="61"/>
    <x v="0"/>
    <n v="63.27"/>
    <n v="2.7189999999999999"/>
    <n v="210.4798874"/>
    <n v="8.1999999999999993"/>
  </r>
  <r>
    <x v="1"/>
    <d v="2010-09-04T00:00:00"/>
    <x v="3"/>
    <x v="0"/>
    <x v="62"/>
    <x v="0"/>
    <n v="65.41"/>
    <n v="2.77"/>
    <n v="210.28316530000001"/>
    <n v="8.1999999999999993"/>
  </r>
  <r>
    <x v="1"/>
    <d v="2010-07-05T00:00:00"/>
    <x v="4"/>
    <x v="0"/>
    <x v="63"/>
    <x v="0"/>
    <n v="71.28"/>
    <n v="2.835"/>
    <n v="210.00110179999999"/>
    <n v="8.1999999999999993"/>
  </r>
  <r>
    <x v="1"/>
    <d v="2010-04-06T00:00:00"/>
    <x v="5"/>
    <x v="0"/>
    <x v="64"/>
    <x v="0"/>
    <n v="81.81"/>
    <n v="2.7050000000000001"/>
    <n v="210.83361600000001"/>
    <n v="8.1999999999999993"/>
  </r>
  <r>
    <x v="1"/>
    <d v="2010-11-06T00:00:00"/>
    <x v="6"/>
    <x v="0"/>
    <x v="65"/>
    <x v="0"/>
    <n v="83.4"/>
    <n v="2.6680000000000001"/>
    <n v="211.1120018"/>
    <n v="8.1999999999999993"/>
  </r>
  <r>
    <x v="1"/>
    <d v="2010-02-07T00:00:00"/>
    <x v="2"/>
    <x v="0"/>
    <x v="66"/>
    <x v="0"/>
    <n v="82.74"/>
    <n v="2.669"/>
    <n v="210.88037259999999"/>
    <n v="8.0990000000000002"/>
  </r>
  <r>
    <x v="1"/>
    <d v="2010-09-07T00:00:00"/>
    <x v="3"/>
    <x v="0"/>
    <x v="67"/>
    <x v="0"/>
    <n v="82.59"/>
    <n v="2.6419999999999999"/>
    <n v="210.7657317"/>
    <n v="8.0990000000000002"/>
  </r>
  <r>
    <x v="1"/>
    <d v="2010-06-08T00:00:00"/>
    <x v="7"/>
    <x v="0"/>
    <x v="68"/>
    <x v="0"/>
    <n v="89.53"/>
    <n v="2.6269999999999998"/>
    <n v="211.16080489999999"/>
    <n v="8.0990000000000002"/>
  </r>
  <r>
    <x v="1"/>
    <d v="2010-03-09T00:00:00"/>
    <x v="8"/>
    <x v="0"/>
    <x v="69"/>
    <x v="0"/>
    <n v="81.83"/>
    <n v="2.577"/>
    <n v="211.18869309999999"/>
    <n v="8.0990000000000002"/>
  </r>
  <r>
    <x v="1"/>
    <d v="2010-10-09T00:00:00"/>
    <x v="9"/>
    <x v="0"/>
    <x v="70"/>
    <x v="1"/>
    <n v="79.09"/>
    <n v="2.5649999999999999"/>
    <n v="211.15321040000001"/>
    <n v="8.0990000000000002"/>
  </r>
  <r>
    <x v="1"/>
    <d v="2010-01-10T00:00:00"/>
    <x v="10"/>
    <x v="0"/>
    <x v="71"/>
    <x v="0"/>
    <n v="69.239999999999995"/>
    <n v="2.6030000000000002"/>
    <n v="211.32987420000001"/>
    <n v="8.1630000000000003"/>
  </r>
  <r>
    <x v="1"/>
    <d v="2010-08-10T00:00:00"/>
    <x v="11"/>
    <x v="0"/>
    <x v="72"/>
    <x v="0"/>
    <n v="63.19"/>
    <n v="2.633"/>
    <n v="211.4044906"/>
    <n v="8.1630000000000003"/>
  </r>
  <r>
    <x v="1"/>
    <d v="2010-05-11T00:00:00"/>
    <x v="0"/>
    <x v="0"/>
    <x v="73"/>
    <x v="0"/>
    <n v="57.85"/>
    <n v="2.6890000000000001"/>
    <n v="211.61350530000001"/>
    <n v="8.1630000000000003"/>
  </r>
  <r>
    <x v="1"/>
    <d v="2010-12-11T00:00:00"/>
    <x v="1"/>
    <x v="0"/>
    <x v="74"/>
    <x v="0"/>
    <n v="59.69"/>
    <n v="2.7280000000000002"/>
    <n v="211.6608975"/>
    <n v="8.1630000000000003"/>
  </r>
  <r>
    <x v="1"/>
    <d v="2010-03-12T00:00:00"/>
    <x v="8"/>
    <x v="0"/>
    <x v="75"/>
    <x v="0"/>
    <n v="49.33"/>
    <n v="2.7080000000000002"/>
    <n v="211.26554300000001"/>
    <n v="8.1630000000000003"/>
  </r>
  <r>
    <x v="1"/>
    <d v="2010-10-12T00:00:00"/>
    <x v="9"/>
    <x v="0"/>
    <x v="76"/>
    <x v="0"/>
    <n v="45.5"/>
    <n v="2.843"/>
    <n v="211.12479930000001"/>
    <n v="8.1630000000000003"/>
  </r>
  <r>
    <x v="1"/>
    <d v="2011-07-01T00:00:00"/>
    <x v="4"/>
    <x v="1"/>
    <x v="77"/>
    <x v="0"/>
    <n v="44.69"/>
    <n v="2.976"/>
    <n v="211.06488809999999"/>
    <n v="8.0280000000000005"/>
  </r>
  <r>
    <x v="1"/>
    <d v="2011-04-02T00:00:00"/>
    <x v="5"/>
    <x v="1"/>
    <x v="78"/>
    <x v="0"/>
    <n v="38.25"/>
    <n v="2.9889999999999999"/>
    <n v="212.22406459999999"/>
    <n v="8.0280000000000005"/>
  </r>
  <r>
    <x v="1"/>
    <d v="2011-11-02T00:00:00"/>
    <x v="6"/>
    <x v="1"/>
    <x v="79"/>
    <x v="1"/>
    <n v="33.19"/>
    <n v="3.0219999999999998"/>
    <n v="212.5928624"/>
    <n v="8.0280000000000005"/>
  </r>
  <r>
    <x v="1"/>
    <d v="2011-04-03T00:00:00"/>
    <x v="5"/>
    <x v="1"/>
    <x v="80"/>
    <x v="0"/>
    <n v="57.77"/>
    <n v="3.2879999999999998"/>
    <n v="213.4775305"/>
    <n v="8.0280000000000005"/>
  </r>
  <r>
    <x v="1"/>
    <d v="2011-11-03T00:00:00"/>
    <x v="6"/>
    <x v="1"/>
    <x v="81"/>
    <x v="0"/>
    <n v="52.7"/>
    <n v="3.4590000000000001"/>
    <n v="213.76464010000001"/>
    <n v="8.0280000000000005"/>
  </r>
  <r>
    <x v="1"/>
    <d v="2011-01-04T00:00:00"/>
    <x v="10"/>
    <x v="1"/>
    <x v="82"/>
    <x v="0"/>
    <n v="55.43"/>
    <n v="3.524"/>
    <n v="214.4886908"/>
    <n v="7.931"/>
  </r>
  <r>
    <x v="1"/>
    <d v="2011-08-04T00:00:00"/>
    <x v="11"/>
    <x v="1"/>
    <x v="83"/>
    <x v="0"/>
    <n v="67"/>
    <n v="3.6219999999999999"/>
    <n v="214.72522420000001"/>
    <n v="7.931"/>
  </r>
  <r>
    <x v="1"/>
    <d v="2011-06-05T00:00:00"/>
    <x v="7"/>
    <x v="1"/>
    <x v="84"/>
    <x v="0"/>
    <n v="61.48"/>
    <n v="3.9060000000000001"/>
    <n v="215.44487090000001"/>
    <n v="7.931"/>
  </r>
  <r>
    <x v="1"/>
    <d v="2011-03-06T00:00:00"/>
    <x v="8"/>
    <x v="1"/>
    <x v="85"/>
    <x v="0"/>
    <n v="83.07"/>
    <n v="3.6989999999999998"/>
    <n v="214.92548650000001"/>
    <n v="7.931"/>
  </r>
  <r>
    <x v="1"/>
    <d v="2011-10-06T00:00:00"/>
    <x v="9"/>
    <x v="1"/>
    <x v="86"/>
    <x v="0"/>
    <n v="83.4"/>
    <n v="3.6480000000000001"/>
    <n v="214.69649079999999"/>
    <n v="7.931"/>
  </r>
  <r>
    <x v="1"/>
    <d v="2011-01-07T00:00:00"/>
    <x v="10"/>
    <x v="1"/>
    <x v="87"/>
    <x v="0"/>
    <n v="85.69"/>
    <n v="3.524"/>
    <n v="214.83686779999999"/>
    <n v="7.8520000000000003"/>
  </r>
  <r>
    <x v="1"/>
    <d v="2011-08-07T00:00:00"/>
    <x v="11"/>
    <x v="1"/>
    <x v="88"/>
    <x v="0"/>
    <n v="87.7"/>
    <n v="3.48"/>
    <n v="214.92962489999999"/>
    <n v="7.8520000000000003"/>
  </r>
  <r>
    <x v="1"/>
    <d v="2011-05-08T00:00:00"/>
    <x v="0"/>
    <x v="1"/>
    <x v="89"/>
    <x v="0"/>
    <n v="93.34"/>
    <n v="3.6840000000000002"/>
    <n v="215.19785150000001"/>
    <n v="7.8520000000000003"/>
  </r>
  <r>
    <x v="1"/>
    <d v="2011-12-08T00:00:00"/>
    <x v="1"/>
    <x v="1"/>
    <x v="90"/>
    <x v="0"/>
    <n v="91.58"/>
    <n v="3.6379999999999999"/>
    <n v="215.25932109999999"/>
    <n v="7.8520000000000003"/>
  </r>
  <r>
    <x v="1"/>
    <d v="2011-02-09T00:00:00"/>
    <x v="2"/>
    <x v="1"/>
    <x v="91"/>
    <x v="0"/>
    <n v="89.64"/>
    <n v="3.5329999999999999"/>
    <n v="215.45086319999999"/>
    <n v="7.8520000000000003"/>
  </r>
  <r>
    <x v="1"/>
    <d v="2011-09-09T00:00:00"/>
    <x v="3"/>
    <x v="1"/>
    <x v="92"/>
    <x v="1"/>
    <n v="77.97"/>
    <n v="3.5459999999999998"/>
    <n v="215.51482949999999"/>
    <n v="7.8520000000000003"/>
  </r>
  <r>
    <x v="1"/>
    <d v="2011-07-10T00:00:00"/>
    <x v="4"/>
    <x v="1"/>
    <x v="93"/>
    <x v="0"/>
    <n v="69.92"/>
    <n v="3.2850000000000001"/>
    <n v="216.69583109999999"/>
    <n v="7.4409999999999998"/>
  </r>
  <r>
    <x v="1"/>
    <d v="2011-04-11T00:00:00"/>
    <x v="5"/>
    <x v="1"/>
    <x v="94"/>
    <x v="0"/>
    <n v="55.53"/>
    <n v="3.3319999999999999"/>
    <n v="217.48536050000001"/>
    <n v="7.4409999999999998"/>
  </r>
  <r>
    <x v="1"/>
    <d v="2011-11-11T00:00:00"/>
    <x v="6"/>
    <x v="1"/>
    <x v="95"/>
    <x v="0"/>
    <n v="59.33"/>
    <n v="3.2970000000000002"/>
    <n v="217.6455387"/>
    <n v="7.4409999999999998"/>
  </r>
  <r>
    <x v="1"/>
    <d v="2011-02-12T00:00:00"/>
    <x v="2"/>
    <x v="1"/>
    <x v="96"/>
    <x v="0"/>
    <n v="48.74"/>
    <n v="3.1720000000000002"/>
    <n v="218.35903189999999"/>
    <n v="7.4409999999999998"/>
  </r>
  <r>
    <x v="1"/>
    <d v="2011-09-12T00:00:00"/>
    <x v="3"/>
    <x v="1"/>
    <x v="97"/>
    <x v="0"/>
    <n v="41.76"/>
    <n v="3.1579999999999999"/>
    <n v="218.60503700000001"/>
    <n v="7.4409999999999998"/>
  </r>
  <r>
    <x v="1"/>
    <d v="2012-06-01T00:00:00"/>
    <x v="7"/>
    <x v="2"/>
    <x v="98"/>
    <x v="0"/>
    <n v="46.75"/>
    <n v="3.157"/>
    <n v="219.355063"/>
    <n v="7.0570000000000004"/>
  </r>
  <r>
    <x v="1"/>
    <d v="2012-03-02T00:00:00"/>
    <x v="8"/>
    <x v="2"/>
    <x v="99"/>
    <x v="0"/>
    <n v="55.21"/>
    <n v="3.36"/>
    <n v="219.81188539999999"/>
    <n v="7.0570000000000004"/>
  </r>
  <r>
    <x v="1"/>
    <d v="2012-10-02T00:00:00"/>
    <x v="9"/>
    <x v="2"/>
    <x v="100"/>
    <x v="1"/>
    <n v="46.98"/>
    <n v="3.4089999999999998"/>
    <n v="219.90490729999999"/>
    <n v="7.0570000000000004"/>
  </r>
  <r>
    <x v="1"/>
    <d v="2012-02-03T00:00:00"/>
    <x v="2"/>
    <x v="2"/>
    <x v="101"/>
    <x v="0"/>
    <n v="58.79"/>
    <n v="3.63"/>
    <n v="220.48668860000001"/>
    <n v="7.0570000000000004"/>
  </r>
  <r>
    <x v="1"/>
    <d v="2012-09-03T00:00:00"/>
    <x v="3"/>
    <x v="2"/>
    <x v="102"/>
    <x v="0"/>
    <n v="57.11"/>
    <n v="3.669"/>
    <n v="220.69743320000001"/>
    <n v="7.0570000000000004"/>
  </r>
  <r>
    <x v="1"/>
    <d v="2012-06-04T00:00:00"/>
    <x v="7"/>
    <x v="2"/>
    <x v="103"/>
    <x v="0"/>
    <n v="68.430000000000007"/>
    <n v="3.891"/>
    <n v="221.07376379999999"/>
    <n v="6.891"/>
  </r>
  <r>
    <x v="1"/>
    <d v="2012-04-05T00:00:00"/>
    <x v="5"/>
    <x v="2"/>
    <x v="104"/>
    <x v="0"/>
    <n v="76.73"/>
    <n v="3.7490000000000001"/>
    <n v="221.30951659999999"/>
    <n v="6.891"/>
  </r>
  <r>
    <x v="1"/>
    <d v="2012-11-05T00:00:00"/>
    <x v="6"/>
    <x v="2"/>
    <x v="105"/>
    <x v="0"/>
    <n v="73.87"/>
    <n v="3.6880000000000002"/>
    <n v="221.3632212"/>
    <n v="6.891"/>
  </r>
  <r>
    <x v="1"/>
    <d v="2012-01-06T00:00:00"/>
    <x v="10"/>
    <x v="2"/>
    <x v="106"/>
    <x v="0"/>
    <n v="78.38"/>
    <n v="3.5009999999999999"/>
    <n v="221.38527479999999"/>
    <n v="6.891"/>
  </r>
  <r>
    <x v="1"/>
    <d v="2012-08-06T00:00:00"/>
    <x v="11"/>
    <x v="2"/>
    <x v="107"/>
    <x v="0"/>
    <n v="78.69"/>
    <n v="3.452"/>
    <n v="221.38774670000001"/>
    <n v="6.891"/>
  </r>
  <r>
    <x v="1"/>
    <d v="2012-06-07T00:00:00"/>
    <x v="7"/>
    <x v="2"/>
    <x v="108"/>
    <x v="0"/>
    <n v="84.2"/>
    <n v="3.2269999999999999"/>
    <n v="221.52150639999999"/>
    <n v="6.5650000000000004"/>
  </r>
  <r>
    <x v="1"/>
    <d v="2012-03-08T00:00:00"/>
    <x v="8"/>
    <x v="2"/>
    <x v="109"/>
    <x v="0"/>
    <n v="90.22"/>
    <n v="3.4169999999999998"/>
    <n v="221.58697989999999"/>
    <n v="6.5650000000000004"/>
  </r>
  <r>
    <x v="1"/>
    <d v="2012-10-08T00:00:00"/>
    <x v="9"/>
    <x v="2"/>
    <x v="110"/>
    <x v="0"/>
    <n v="88.55"/>
    <n v="3.4940000000000002"/>
    <n v="221.59541379999999"/>
    <n v="6.5650000000000004"/>
  </r>
  <r>
    <x v="1"/>
    <d v="2012-07-09T00:00:00"/>
    <x v="4"/>
    <x v="2"/>
    <x v="111"/>
    <x v="1"/>
    <n v="87.65"/>
    <n v="3.73"/>
    <n v="222.07476349999999"/>
    <n v="6.5650000000000004"/>
  </r>
  <r>
    <x v="1"/>
    <d v="2012-05-10T00:00:00"/>
    <x v="0"/>
    <x v="2"/>
    <x v="112"/>
    <x v="0"/>
    <n v="70.27"/>
    <n v="3.617"/>
    <n v="222.8159296"/>
    <n v="6.17"/>
  </r>
  <r>
    <x v="1"/>
    <d v="2012-12-10T00:00:00"/>
    <x v="1"/>
    <x v="2"/>
    <x v="113"/>
    <x v="0"/>
    <n v="60.97"/>
    <n v="3.601"/>
    <n v="223.0154263"/>
    <n v="6.17"/>
  </r>
  <r>
    <x v="2"/>
    <d v="2010-05-02T00:00:00"/>
    <x v="0"/>
    <x v="0"/>
    <x v="114"/>
    <x v="0"/>
    <n v="45.71"/>
    <n v="2.5720000000000001"/>
    <n v="214.42488119999999"/>
    <n v="7.3680000000000003"/>
  </r>
  <r>
    <x v="2"/>
    <d v="2010-12-02T00:00:00"/>
    <x v="1"/>
    <x v="0"/>
    <x v="115"/>
    <x v="1"/>
    <n v="47.93"/>
    <n v="2.548"/>
    <n v="214.5747916"/>
    <n v="7.3680000000000003"/>
  </r>
  <r>
    <x v="2"/>
    <d v="2010-05-03T00:00:00"/>
    <x v="0"/>
    <x v="0"/>
    <x v="116"/>
    <x v="0"/>
    <n v="53.04"/>
    <n v="2.625"/>
    <n v="214.6751386"/>
    <n v="7.3680000000000003"/>
  </r>
  <r>
    <x v="2"/>
    <d v="2010-12-03T00:00:00"/>
    <x v="1"/>
    <x v="0"/>
    <x v="117"/>
    <x v="0"/>
    <n v="63.08"/>
    <n v="2.6669999999999998"/>
    <n v="214.70276459999999"/>
    <n v="7.3680000000000003"/>
  </r>
  <r>
    <x v="2"/>
    <d v="2010-02-04T00:00:00"/>
    <x v="2"/>
    <x v="0"/>
    <x v="118"/>
    <x v="0"/>
    <n v="65.56"/>
    <n v="2.7189999999999999"/>
    <n v="214.1180803"/>
    <n v="7.343"/>
  </r>
  <r>
    <x v="2"/>
    <d v="2010-09-04T00:00:00"/>
    <x v="3"/>
    <x v="0"/>
    <x v="119"/>
    <x v="0"/>
    <n v="68"/>
    <n v="2.77"/>
    <n v="213.9120595"/>
    <n v="7.343"/>
  </r>
  <r>
    <x v="2"/>
    <d v="2010-07-05T00:00:00"/>
    <x v="4"/>
    <x v="0"/>
    <x v="120"/>
    <x v="0"/>
    <n v="73.47"/>
    <n v="2.835"/>
    <n v="213.6211778"/>
    <n v="7.343"/>
  </r>
  <r>
    <x v="2"/>
    <d v="2010-04-06T00:00:00"/>
    <x v="5"/>
    <x v="0"/>
    <x v="121"/>
    <x v="0"/>
    <n v="78.53"/>
    <n v="2.7050000000000001"/>
    <n v="214.49583820000001"/>
    <n v="7.343"/>
  </r>
  <r>
    <x v="2"/>
    <d v="2010-11-06T00:00:00"/>
    <x v="6"/>
    <x v="0"/>
    <x v="122"/>
    <x v="0"/>
    <n v="82.1"/>
    <n v="2.6680000000000001"/>
    <n v="214.787913"/>
    <n v="7.343"/>
  </r>
  <r>
    <x v="2"/>
    <d v="2010-02-07T00:00:00"/>
    <x v="2"/>
    <x v="0"/>
    <x v="123"/>
    <x v="0"/>
    <n v="82.2"/>
    <n v="2.669"/>
    <n v="214.54632219999999"/>
    <n v="7.3460000000000001"/>
  </r>
  <r>
    <x v="2"/>
    <d v="2010-09-07T00:00:00"/>
    <x v="3"/>
    <x v="0"/>
    <x v="124"/>
    <x v="0"/>
    <n v="81.75"/>
    <n v="2.6419999999999999"/>
    <n v="214.4265704"/>
    <n v="7.3460000000000001"/>
  </r>
  <r>
    <x v="2"/>
    <d v="2010-06-08T00:00:00"/>
    <x v="7"/>
    <x v="0"/>
    <x v="125"/>
    <x v="0"/>
    <n v="85.13"/>
    <n v="2.6269999999999998"/>
    <n v="214.83419520000001"/>
    <n v="7.3460000000000001"/>
  </r>
  <r>
    <x v="2"/>
    <d v="2010-03-09T00:00:00"/>
    <x v="8"/>
    <x v="0"/>
    <x v="126"/>
    <x v="0"/>
    <n v="84.16"/>
    <n v="2.577"/>
    <n v="214.84816850000001"/>
    <n v="7.3460000000000001"/>
  </r>
  <r>
    <x v="2"/>
    <d v="2010-10-09T00:00:00"/>
    <x v="9"/>
    <x v="0"/>
    <x v="127"/>
    <x v="1"/>
    <n v="80.84"/>
    <n v="2.5649999999999999"/>
    <n v="214.8065431"/>
    <n v="7.3460000000000001"/>
  </r>
  <r>
    <x v="2"/>
    <d v="2010-01-10T00:00:00"/>
    <x v="10"/>
    <x v="0"/>
    <x v="128"/>
    <x v="0"/>
    <n v="73.599999999999994"/>
    <n v="2.6030000000000002"/>
    <n v="214.98465479999999"/>
    <n v="7.5640000000000001"/>
  </r>
  <r>
    <x v="2"/>
    <d v="2010-08-10T00:00:00"/>
    <x v="11"/>
    <x v="0"/>
    <x v="129"/>
    <x v="0"/>
    <n v="66.989999999999995"/>
    <n v="2.633"/>
    <n v="215.060858"/>
    <n v="7.5640000000000001"/>
  </r>
  <r>
    <x v="2"/>
    <d v="2010-05-11T00:00:00"/>
    <x v="0"/>
    <x v="0"/>
    <x v="130"/>
    <x v="0"/>
    <n v="62.94"/>
    <n v="2.6890000000000001"/>
    <n v="215.27654720000001"/>
    <n v="7.5640000000000001"/>
  </r>
  <r>
    <x v="2"/>
    <d v="2010-12-11T00:00:00"/>
    <x v="1"/>
    <x v="0"/>
    <x v="131"/>
    <x v="0"/>
    <n v="62.79"/>
    <n v="2.7280000000000002"/>
    <n v="215.32562580000001"/>
    <n v="7.5640000000000001"/>
  </r>
  <r>
    <x v="2"/>
    <d v="2010-03-12T00:00:00"/>
    <x v="8"/>
    <x v="0"/>
    <x v="132"/>
    <x v="0"/>
    <n v="53.76"/>
    <n v="2.7080000000000002"/>
    <n v="214.9153531"/>
    <n v="7.5640000000000001"/>
  </r>
  <r>
    <x v="2"/>
    <d v="2010-10-12T00:00:00"/>
    <x v="9"/>
    <x v="0"/>
    <x v="133"/>
    <x v="0"/>
    <n v="51.13"/>
    <n v="2.843"/>
    <n v="214.76930369999999"/>
    <n v="7.5640000000000001"/>
  </r>
  <r>
    <x v="2"/>
    <d v="2011-07-01T00:00:00"/>
    <x v="4"/>
    <x v="1"/>
    <x v="134"/>
    <x v="0"/>
    <n v="53.35"/>
    <n v="2.976"/>
    <n v="214.69551039999999"/>
    <n v="7.5510000000000002"/>
  </r>
  <r>
    <x v="2"/>
    <d v="2011-04-02T00:00:00"/>
    <x v="5"/>
    <x v="1"/>
    <x v="135"/>
    <x v="0"/>
    <n v="45.95"/>
    <n v="2.9889999999999999"/>
    <n v="215.88633669999999"/>
    <n v="7.5510000000000002"/>
  </r>
  <r>
    <x v="2"/>
    <d v="2011-11-02T00:00:00"/>
    <x v="6"/>
    <x v="1"/>
    <x v="136"/>
    <x v="1"/>
    <n v="43.57"/>
    <n v="3.0219999999999998"/>
    <n v="216.2660913"/>
    <n v="7.5510000000000002"/>
  </r>
  <r>
    <x v="2"/>
    <d v="2011-04-03T00:00:00"/>
    <x v="5"/>
    <x v="1"/>
    <x v="137"/>
    <x v="0"/>
    <n v="65.11"/>
    <n v="3.2879999999999998"/>
    <n v="217.1716979"/>
    <n v="7.5510000000000002"/>
  </r>
  <r>
    <x v="2"/>
    <d v="2011-11-03T00:00:00"/>
    <x v="6"/>
    <x v="1"/>
    <x v="138"/>
    <x v="0"/>
    <n v="61.29"/>
    <n v="3.4590000000000001"/>
    <n v="217.46536829999999"/>
    <n v="7.5510000000000002"/>
  </r>
  <r>
    <x v="2"/>
    <d v="2011-01-04T00:00:00"/>
    <x v="10"/>
    <x v="1"/>
    <x v="139"/>
    <x v="0"/>
    <n v="68.760000000000005"/>
    <n v="3.524"/>
    <n v="218.21141840000001"/>
    <n v="7.5739999999999998"/>
  </r>
  <r>
    <x v="2"/>
    <d v="2011-08-04T00:00:00"/>
    <x v="11"/>
    <x v="1"/>
    <x v="140"/>
    <x v="0"/>
    <n v="72.55"/>
    <n v="3.6219999999999999"/>
    <n v="218.45536630000001"/>
    <n v="7.5739999999999998"/>
  </r>
  <r>
    <x v="2"/>
    <d v="2011-06-05T00:00:00"/>
    <x v="7"/>
    <x v="1"/>
    <x v="141"/>
    <x v="0"/>
    <n v="69.45"/>
    <n v="3.9060000000000001"/>
    <n v="219.1959827"/>
    <n v="7.5739999999999998"/>
  </r>
  <r>
    <x v="2"/>
    <d v="2011-03-06T00:00:00"/>
    <x v="8"/>
    <x v="1"/>
    <x v="142"/>
    <x v="0"/>
    <n v="84.29"/>
    <n v="3.6989999999999998"/>
    <n v="218.6449369"/>
    <n v="7.5739999999999998"/>
  </r>
  <r>
    <x v="2"/>
    <d v="2011-10-06T00:00:00"/>
    <x v="9"/>
    <x v="1"/>
    <x v="143"/>
    <x v="0"/>
    <n v="84.84"/>
    <n v="3.6480000000000001"/>
    <n v="218.4037974"/>
    <n v="7.5739999999999998"/>
  </r>
  <r>
    <x v="2"/>
    <d v="2011-01-07T00:00:00"/>
    <x v="10"/>
    <x v="1"/>
    <x v="144"/>
    <x v="0"/>
    <n v="85.1"/>
    <n v="3.524"/>
    <n v="218.54670519999999"/>
    <n v="7.5670000000000002"/>
  </r>
  <r>
    <x v="2"/>
    <d v="2011-08-07T00:00:00"/>
    <x v="11"/>
    <x v="1"/>
    <x v="145"/>
    <x v="0"/>
    <n v="85.38"/>
    <n v="3.48"/>
    <n v="218.64247040000001"/>
    <n v="7.5670000000000002"/>
  </r>
  <r>
    <x v="2"/>
    <d v="2011-05-08T00:00:00"/>
    <x v="0"/>
    <x v="1"/>
    <x v="146"/>
    <x v="0"/>
    <n v="88.45"/>
    <n v="3.6840000000000002"/>
    <n v="218.90232090000001"/>
    <n v="7.5670000000000002"/>
  </r>
  <r>
    <x v="2"/>
    <d v="2011-12-08T00:00:00"/>
    <x v="1"/>
    <x v="1"/>
    <x v="147"/>
    <x v="0"/>
    <n v="88.88"/>
    <n v="3.6379999999999999"/>
    <n v="218.96058729999999"/>
    <n v="7.5670000000000002"/>
  </r>
  <r>
    <x v="2"/>
    <d v="2011-02-09T00:00:00"/>
    <x v="2"/>
    <x v="1"/>
    <x v="148"/>
    <x v="0"/>
    <n v="89.12"/>
    <n v="3.5329999999999999"/>
    <n v="219.1501106"/>
    <n v="7.5670000000000002"/>
  </r>
  <r>
    <x v="2"/>
    <d v="2011-09-09T00:00:00"/>
    <x v="3"/>
    <x v="1"/>
    <x v="149"/>
    <x v="1"/>
    <n v="81.72"/>
    <n v="3.5459999999999998"/>
    <n v="219.21353049999999"/>
    <n v="7.5670000000000002"/>
  </r>
  <r>
    <x v="2"/>
    <d v="2011-07-10T00:00:00"/>
    <x v="4"/>
    <x v="1"/>
    <x v="150"/>
    <x v="0"/>
    <n v="75.540000000000006"/>
    <n v="3.2850000000000001"/>
    <n v="220.42990069999999"/>
    <n v="7.1970000000000001"/>
  </r>
  <r>
    <x v="2"/>
    <d v="2011-04-11T00:00:00"/>
    <x v="5"/>
    <x v="1"/>
    <x v="151"/>
    <x v="0"/>
    <n v="59.31"/>
    <n v="3.3319999999999999"/>
    <n v="221.245968"/>
    <n v="7.1970000000000001"/>
  </r>
  <r>
    <x v="2"/>
    <d v="2011-11-11T00:00:00"/>
    <x v="6"/>
    <x v="1"/>
    <x v="152"/>
    <x v="0"/>
    <n v="61.7"/>
    <n v="3.2970000000000002"/>
    <n v="221.4117517"/>
    <n v="7.1970000000000001"/>
  </r>
  <r>
    <x v="2"/>
    <d v="2011-02-12T00:00:00"/>
    <x v="2"/>
    <x v="1"/>
    <x v="153"/>
    <x v="0"/>
    <n v="54.97"/>
    <n v="3.1720000000000002"/>
    <n v="222.15895190000001"/>
    <n v="7.1970000000000001"/>
  </r>
  <r>
    <x v="2"/>
    <d v="2011-09-12T00:00:00"/>
    <x v="3"/>
    <x v="1"/>
    <x v="154"/>
    <x v="0"/>
    <n v="49.26"/>
    <n v="3.1579999999999999"/>
    <n v="222.41678519999999"/>
    <n v="7.1970000000000001"/>
  </r>
  <r>
    <x v="2"/>
    <d v="2012-06-01T00:00:00"/>
    <x v="7"/>
    <x v="2"/>
    <x v="155"/>
    <x v="0"/>
    <n v="52.42"/>
    <n v="3.157"/>
    <n v="223.19230490000001"/>
    <n v="6.8330000000000002"/>
  </r>
  <r>
    <x v="2"/>
    <d v="2012-03-02T00:00:00"/>
    <x v="8"/>
    <x v="2"/>
    <x v="156"/>
    <x v="0"/>
    <n v="59.33"/>
    <n v="3.36"/>
    <n v="223.65911370000001"/>
    <n v="6.8330000000000002"/>
  </r>
  <r>
    <x v="2"/>
    <d v="2012-10-02T00:00:00"/>
    <x v="9"/>
    <x v="2"/>
    <x v="157"/>
    <x v="1"/>
    <n v="51.65"/>
    <n v="3.4089999999999998"/>
    <n v="223.75364300000001"/>
    <n v="6.8330000000000002"/>
  </r>
  <r>
    <x v="2"/>
    <d v="2012-02-03T00:00:00"/>
    <x v="2"/>
    <x v="2"/>
    <x v="158"/>
    <x v="0"/>
    <n v="61.65"/>
    <n v="3.63"/>
    <n v="224.3470245"/>
    <n v="6.8330000000000002"/>
  </r>
  <r>
    <x v="2"/>
    <d v="2012-09-03T00:00:00"/>
    <x v="3"/>
    <x v="2"/>
    <x v="159"/>
    <x v="0"/>
    <n v="60.71"/>
    <n v="3.669"/>
    <n v="224.56202909999999"/>
    <n v="6.8330000000000002"/>
  </r>
  <r>
    <x v="2"/>
    <d v="2012-06-04T00:00:00"/>
    <x v="7"/>
    <x v="2"/>
    <x v="160"/>
    <x v="0"/>
    <n v="73.010000000000005"/>
    <n v="3.891"/>
    <n v="224.93934049999999"/>
    <n v="6.6639999999999997"/>
  </r>
  <r>
    <x v="2"/>
    <d v="2012-04-05T00:00:00"/>
    <x v="5"/>
    <x v="2"/>
    <x v="161"/>
    <x v="0"/>
    <n v="79.510000000000005"/>
    <n v="3.7490000000000001"/>
    <n v="225.1797511"/>
    <n v="6.6639999999999997"/>
  </r>
  <r>
    <x v="2"/>
    <d v="2012-11-05T00:00:00"/>
    <x v="6"/>
    <x v="2"/>
    <x v="162"/>
    <x v="0"/>
    <n v="75.19"/>
    <n v="3.6880000000000002"/>
    <n v="225.2351496"/>
    <n v="6.6639999999999997"/>
  </r>
  <r>
    <x v="2"/>
    <d v="2012-01-06T00:00:00"/>
    <x v="10"/>
    <x v="2"/>
    <x v="163"/>
    <x v="0"/>
    <n v="81.55"/>
    <n v="3.5009999999999999"/>
    <n v="225.25183129999999"/>
    <n v="6.6639999999999997"/>
  </r>
  <r>
    <x v="2"/>
    <d v="2012-08-06T00:00:00"/>
    <x v="11"/>
    <x v="2"/>
    <x v="164"/>
    <x v="0"/>
    <n v="81.650000000000006"/>
    <n v="3.452"/>
    <n v="225.25214579999999"/>
    <n v="6.6639999999999997"/>
  </r>
  <r>
    <x v="2"/>
    <d v="2012-06-07T00:00:00"/>
    <x v="7"/>
    <x v="2"/>
    <x v="165"/>
    <x v="0"/>
    <n v="83.14"/>
    <n v="3.2269999999999999"/>
    <n v="225.39162540000001"/>
    <n v="6.3339999999999996"/>
  </r>
  <r>
    <x v="2"/>
    <d v="2012-03-08T00:00:00"/>
    <x v="8"/>
    <x v="2"/>
    <x v="166"/>
    <x v="0"/>
    <n v="86.55"/>
    <n v="3.4169999999999998"/>
    <n v="225.4636332"/>
    <n v="6.3339999999999996"/>
  </r>
  <r>
    <x v="2"/>
    <d v="2012-10-08T00:00:00"/>
    <x v="9"/>
    <x v="2"/>
    <x v="167"/>
    <x v="0"/>
    <n v="85.85"/>
    <n v="3.4940000000000002"/>
    <n v="225.47350850000001"/>
    <n v="6.3339999999999996"/>
  </r>
  <r>
    <x v="2"/>
    <d v="2012-07-09T00:00:00"/>
    <x v="4"/>
    <x v="2"/>
    <x v="168"/>
    <x v="1"/>
    <n v="84.99"/>
    <n v="3.73"/>
    <n v="225.96602630000001"/>
    <n v="6.3339999999999996"/>
  </r>
  <r>
    <x v="2"/>
    <d v="2012-05-10T00:00:00"/>
    <x v="0"/>
    <x v="2"/>
    <x v="169"/>
    <x v="0"/>
    <n v="72.739999999999995"/>
    <n v="3.617"/>
    <n v="226.72103559999999"/>
    <n v="6.0339999999999998"/>
  </r>
  <r>
    <x v="2"/>
    <d v="2012-12-10T00:00:00"/>
    <x v="1"/>
    <x v="2"/>
    <x v="170"/>
    <x v="0"/>
    <n v="70.31"/>
    <n v="3.601"/>
    <n v="226.9239785"/>
    <n v="6.0339999999999998"/>
  </r>
  <r>
    <x v="3"/>
    <d v="2010-05-02T00:00:00"/>
    <x v="0"/>
    <x v="0"/>
    <x v="171"/>
    <x v="0"/>
    <n v="43.76"/>
    <n v="2.5979999999999999"/>
    <n v="126.4420645"/>
    <n v="8.6229999999999993"/>
  </r>
  <r>
    <x v="3"/>
    <d v="2010-12-02T00:00:00"/>
    <x v="1"/>
    <x v="0"/>
    <x v="172"/>
    <x v="1"/>
    <n v="28.84"/>
    <n v="2.573"/>
    <n v="126.49625810000001"/>
    <n v="8.6229999999999993"/>
  </r>
  <r>
    <x v="3"/>
    <d v="2010-05-03T00:00:00"/>
    <x v="0"/>
    <x v="0"/>
    <x v="173"/>
    <x v="0"/>
    <n v="43.49"/>
    <n v="2.6539999999999999"/>
    <n v="126.5782857"/>
    <n v="8.6229999999999993"/>
  </r>
  <r>
    <x v="3"/>
    <d v="2010-12-03T00:00:00"/>
    <x v="1"/>
    <x v="0"/>
    <x v="174"/>
    <x v="0"/>
    <n v="49.63"/>
    <n v="2.7040000000000002"/>
    <n v="126.60428570000001"/>
    <n v="8.6229999999999993"/>
  </r>
  <r>
    <x v="3"/>
    <d v="2010-02-04T00:00:00"/>
    <x v="2"/>
    <x v="0"/>
    <x v="175"/>
    <x v="0"/>
    <n v="48.77"/>
    <n v="2.74"/>
    <n v="126.6034839"/>
    <n v="7.8959999999999999"/>
  </r>
  <r>
    <x v="3"/>
    <d v="2010-09-04T00:00:00"/>
    <x v="3"/>
    <x v="0"/>
    <x v="176"/>
    <x v="0"/>
    <n v="54.16"/>
    <n v="2.7730000000000001"/>
    <n v="126.6019032"/>
    <n v="7.8959999999999999"/>
  </r>
  <r>
    <x v="3"/>
    <d v="2010-07-05T00:00:00"/>
    <x v="4"/>
    <x v="0"/>
    <x v="177"/>
    <x v="0"/>
    <n v="56.77"/>
    <n v="2.8359999999999999"/>
    <n v="126.2898"/>
    <n v="7.8959999999999999"/>
  </r>
  <r>
    <x v="3"/>
    <d v="2010-04-06T00:00:00"/>
    <x v="5"/>
    <x v="0"/>
    <x v="178"/>
    <x v="0"/>
    <n v="70.83"/>
    <n v="2.7010000000000001"/>
    <n v="126.1360645"/>
    <n v="7.8959999999999999"/>
  </r>
  <r>
    <x v="3"/>
    <d v="2010-11-06T00:00:00"/>
    <x v="6"/>
    <x v="0"/>
    <x v="179"/>
    <x v="0"/>
    <n v="78.45"/>
    <n v="2.6680000000000001"/>
    <n v="126.1119032"/>
    <n v="7.8959999999999999"/>
  </r>
  <r>
    <x v="3"/>
    <d v="2010-02-07T00:00:00"/>
    <x v="2"/>
    <x v="0"/>
    <x v="180"/>
    <x v="0"/>
    <n v="73.66"/>
    <n v="2.6680000000000001"/>
    <n v="126.1392"/>
    <n v="7.3719999999999999"/>
  </r>
  <r>
    <x v="3"/>
    <d v="2010-09-07T00:00:00"/>
    <x v="3"/>
    <x v="0"/>
    <x v="181"/>
    <x v="0"/>
    <n v="80.349999999999994"/>
    <n v="2.637"/>
    <n v="126.15179999999999"/>
    <n v="7.3719999999999999"/>
  </r>
  <r>
    <x v="3"/>
    <d v="2010-06-08T00:00:00"/>
    <x v="7"/>
    <x v="0"/>
    <x v="182"/>
    <x v="0"/>
    <n v="76.53"/>
    <n v="2.64"/>
    <n v="126.0854516"/>
    <n v="7.3719999999999999"/>
  </r>
  <r>
    <x v="3"/>
    <d v="2010-03-09T00:00:00"/>
    <x v="8"/>
    <x v="0"/>
    <x v="183"/>
    <x v="0"/>
    <n v="76.8"/>
    <n v="2.5840000000000001"/>
    <n v="126.1019355"/>
    <n v="7.3719999999999999"/>
  </r>
  <r>
    <x v="3"/>
    <d v="2010-10-09T00:00:00"/>
    <x v="9"/>
    <x v="0"/>
    <x v="184"/>
    <x v="1"/>
    <n v="73.540000000000006"/>
    <n v="2.5739999999999998"/>
    <n v="126.1145806"/>
    <n v="7.3719999999999999"/>
  </r>
  <r>
    <x v="3"/>
    <d v="2010-01-10T00:00:00"/>
    <x v="10"/>
    <x v="0"/>
    <x v="185"/>
    <x v="0"/>
    <n v="63.96"/>
    <n v="2.6190000000000002"/>
    <n v="126.2346"/>
    <n v="7.1269999999999998"/>
  </r>
  <r>
    <x v="3"/>
    <d v="2010-08-10T00:00:00"/>
    <x v="11"/>
    <x v="0"/>
    <x v="186"/>
    <x v="0"/>
    <n v="67.73"/>
    <n v="2.645"/>
    <n v="126.2791667"/>
    <n v="7.1269999999999998"/>
  </r>
  <r>
    <x v="3"/>
    <d v="2010-05-11T00:00:00"/>
    <x v="0"/>
    <x v="0"/>
    <x v="187"/>
    <x v="0"/>
    <n v="51.6"/>
    <n v="2.6989999999999998"/>
    <n v="126.4912903"/>
    <n v="7.1269999999999998"/>
  </r>
  <r>
    <x v="3"/>
    <d v="2010-12-11T00:00:00"/>
    <x v="1"/>
    <x v="0"/>
    <x v="188"/>
    <x v="0"/>
    <n v="52.65"/>
    <n v="2.7410000000000001"/>
    <n v="126.54616129999999"/>
    <n v="7.1269999999999998"/>
  </r>
  <r>
    <x v="3"/>
    <d v="2010-03-12T00:00:00"/>
    <x v="8"/>
    <x v="0"/>
    <x v="189"/>
    <x v="0"/>
    <n v="46.4"/>
    <n v="2.7269999999999999"/>
    <n v="126.7313333"/>
    <n v="7.1269999999999998"/>
  </r>
  <r>
    <x v="3"/>
    <d v="2010-10-12T00:00:00"/>
    <x v="9"/>
    <x v="0"/>
    <x v="190"/>
    <x v="0"/>
    <n v="42.4"/>
    <n v="2.86"/>
    <n v="126.79340000000001"/>
    <n v="7.1269999999999998"/>
  </r>
  <r>
    <x v="3"/>
    <d v="2011-07-01T00:00:00"/>
    <x v="4"/>
    <x v="1"/>
    <x v="191"/>
    <x v="0"/>
    <n v="39.340000000000003"/>
    <n v="2.98"/>
    <n v="127.1917742"/>
    <n v="6.51"/>
  </r>
  <r>
    <x v="3"/>
    <d v="2011-04-02T00:00:00"/>
    <x v="5"/>
    <x v="1"/>
    <x v="192"/>
    <x v="0"/>
    <n v="34.61"/>
    <n v="2.996"/>
    <n v="127.7195806"/>
    <n v="6.51"/>
  </r>
  <r>
    <x v="3"/>
    <d v="2011-11-02T00:00:00"/>
    <x v="6"/>
    <x v="1"/>
    <x v="193"/>
    <x v="1"/>
    <n v="33.29"/>
    <n v="3.0329999999999999"/>
    <n v="127.859129"/>
    <n v="6.51"/>
  </r>
  <r>
    <x v="3"/>
    <d v="2011-04-03T00:00:00"/>
    <x v="5"/>
    <x v="1"/>
    <x v="194"/>
    <x v="0"/>
    <n v="46.56"/>
    <n v="3.3050000000000002"/>
    <n v="128.26474999999999"/>
    <n v="6.51"/>
  </r>
  <r>
    <x v="3"/>
    <d v="2011-11-03T00:00:00"/>
    <x v="6"/>
    <x v="1"/>
    <x v="195"/>
    <x v="0"/>
    <n v="50.93"/>
    <n v="3.4609999999999999"/>
    <n v="128.39949999999999"/>
    <n v="6.51"/>
  </r>
  <r>
    <x v="3"/>
    <d v="2011-01-04T00:00:00"/>
    <x v="10"/>
    <x v="1"/>
    <x v="196"/>
    <x v="0"/>
    <n v="56.99"/>
    <n v="3.5209999999999999"/>
    <n v="128.71993549999999"/>
    <n v="5.9459999999999997"/>
  </r>
  <r>
    <x v="3"/>
    <d v="2011-08-04T00:00:00"/>
    <x v="11"/>
    <x v="1"/>
    <x v="197"/>
    <x v="0"/>
    <n v="62.61"/>
    <n v="3.605"/>
    <n v="128.82380649999999"/>
    <n v="5.9459999999999997"/>
  </r>
  <r>
    <x v="3"/>
    <d v="2011-06-05T00:00:00"/>
    <x v="7"/>
    <x v="1"/>
    <x v="198"/>
    <x v="0"/>
    <n v="63.41"/>
    <n v="3.8660000000000001"/>
    <n v="129.04443330000001"/>
    <n v="5.9459999999999997"/>
  </r>
  <r>
    <x v="3"/>
    <d v="2011-03-06T00:00:00"/>
    <x v="8"/>
    <x v="1"/>
    <x v="199"/>
    <x v="0"/>
    <n v="78.260000000000005"/>
    <n v="3.6829999999999998"/>
    <n v="129.04903229999999"/>
    <n v="5.9459999999999997"/>
  </r>
  <r>
    <x v="3"/>
    <d v="2011-10-06T00:00:00"/>
    <x v="9"/>
    <x v="1"/>
    <x v="200"/>
    <x v="0"/>
    <n v="80.05"/>
    <n v="3.64"/>
    <n v="129.03570970000001"/>
    <n v="5.9459999999999997"/>
  </r>
  <r>
    <x v="3"/>
    <d v="2011-01-07T00:00:00"/>
    <x v="10"/>
    <x v="1"/>
    <x v="201"/>
    <x v="0"/>
    <n v="84.54"/>
    <n v="3.504"/>
    <n v="129.08940000000001"/>
    <n v="5.6440000000000001"/>
  </r>
  <r>
    <x v="3"/>
    <d v="2011-08-07T00:00:00"/>
    <x v="11"/>
    <x v="1"/>
    <x v="202"/>
    <x v="0"/>
    <n v="84.59"/>
    <n v="3.4689999999999999"/>
    <n v="129.11250000000001"/>
    <n v="5.6440000000000001"/>
  </r>
  <r>
    <x v="3"/>
    <d v="2011-05-08T00:00:00"/>
    <x v="0"/>
    <x v="1"/>
    <x v="203"/>
    <x v="0"/>
    <n v="86.09"/>
    <n v="3.6619999999999999"/>
    <n v="129.18464520000001"/>
    <n v="5.6440000000000001"/>
  </r>
  <r>
    <x v="3"/>
    <d v="2011-12-08T00:00:00"/>
    <x v="1"/>
    <x v="1"/>
    <x v="204"/>
    <x v="0"/>
    <n v="82.98"/>
    <n v="3.617"/>
    <n v="129.2015806"/>
    <n v="5.6440000000000001"/>
  </r>
  <r>
    <x v="3"/>
    <d v="2011-02-09T00:00:00"/>
    <x v="2"/>
    <x v="1"/>
    <x v="205"/>
    <x v="0"/>
    <n v="77.989999999999995"/>
    <n v="3.5329999999999999"/>
    <n v="129.32593550000001"/>
    <n v="5.6440000000000001"/>
  </r>
  <r>
    <x v="3"/>
    <d v="2011-09-09T00:00:00"/>
    <x v="3"/>
    <x v="1"/>
    <x v="206"/>
    <x v="1"/>
    <n v="73.34"/>
    <n v="3.5539999999999998"/>
    <n v="129.36861289999999"/>
    <n v="5.6440000000000001"/>
  </r>
  <r>
    <x v="3"/>
    <d v="2011-07-10T00:00:00"/>
    <x v="4"/>
    <x v="1"/>
    <x v="207"/>
    <x v="0"/>
    <n v="65.790000000000006"/>
    <n v="3.2989999999999999"/>
    <n v="129.69380000000001"/>
    <n v="5.1429999999999998"/>
  </r>
  <r>
    <x v="3"/>
    <d v="2011-04-11T00:00:00"/>
    <x v="5"/>
    <x v="1"/>
    <x v="208"/>
    <x v="0"/>
    <n v="49.86"/>
    <n v="3.3220000000000001"/>
    <n v="129.8051935"/>
    <n v="5.1429999999999998"/>
  </r>
  <r>
    <x v="3"/>
    <d v="2011-11-11T00:00:00"/>
    <x v="6"/>
    <x v="1"/>
    <x v="209"/>
    <x v="0"/>
    <n v="47.12"/>
    <n v="3.286"/>
    <n v="129.81670969999999"/>
    <n v="5.1429999999999998"/>
  </r>
  <r>
    <x v="3"/>
    <d v="2011-02-12T00:00:00"/>
    <x v="2"/>
    <x v="1"/>
    <x v="210"/>
    <x v="0"/>
    <n v="38.71"/>
    <n v="3.1760000000000002"/>
    <n v="129.84596669999999"/>
    <n v="5.1429999999999998"/>
  </r>
  <r>
    <x v="3"/>
    <d v="2011-09-12T00:00:00"/>
    <x v="3"/>
    <x v="1"/>
    <x v="211"/>
    <x v="0"/>
    <n v="31.64"/>
    <n v="3.153"/>
    <n v="129.85553329999999"/>
    <n v="5.1429999999999998"/>
  </r>
  <r>
    <x v="3"/>
    <d v="2012-06-01T00:00:00"/>
    <x v="7"/>
    <x v="2"/>
    <x v="212"/>
    <x v="0"/>
    <n v="38.64"/>
    <n v="3.1579999999999999"/>
    <n v="130.15751610000001"/>
    <n v="4.6070000000000002"/>
  </r>
  <r>
    <x v="3"/>
    <d v="2012-03-02T00:00:00"/>
    <x v="8"/>
    <x v="2"/>
    <x v="213"/>
    <x v="0"/>
    <n v="41.81"/>
    <n v="3.3540000000000001"/>
    <n v="130.34967739999999"/>
    <n v="4.6070000000000002"/>
  </r>
  <r>
    <x v="3"/>
    <d v="2012-10-02T00:00:00"/>
    <x v="9"/>
    <x v="2"/>
    <x v="214"/>
    <x v="1"/>
    <n v="33"/>
    <n v="3.411"/>
    <n v="130.3849032"/>
    <n v="4.6070000000000002"/>
  </r>
  <r>
    <x v="3"/>
    <d v="2012-02-03T00:00:00"/>
    <x v="2"/>
    <x v="2"/>
    <x v="215"/>
    <x v="0"/>
    <n v="50.38"/>
    <n v="3.6190000000000002"/>
    <n v="130.64579309999999"/>
    <n v="4.6070000000000002"/>
  </r>
  <r>
    <x v="3"/>
    <d v="2012-09-03T00:00:00"/>
    <x v="3"/>
    <x v="2"/>
    <x v="216"/>
    <x v="0"/>
    <n v="53.63"/>
    <n v="3.6669999999999998"/>
    <n v="130.74137930000001"/>
    <n v="4.6070000000000002"/>
  </r>
  <r>
    <x v="3"/>
    <d v="2012-06-04T00:00:00"/>
    <x v="7"/>
    <x v="2"/>
    <x v="217"/>
    <x v="0"/>
    <n v="67.69"/>
    <n v="3.8639999999999999"/>
    <n v="131.03754839999999"/>
    <n v="4.3079999999999998"/>
  </r>
  <r>
    <x v="3"/>
    <d v="2012-04-05T00:00:00"/>
    <x v="5"/>
    <x v="2"/>
    <x v="218"/>
    <x v="0"/>
    <n v="80.14"/>
    <n v="3.7469999999999999"/>
    <n v="131.136"/>
    <n v="4.3079999999999998"/>
  </r>
  <r>
    <x v="3"/>
    <d v="2012-11-05T00:00:00"/>
    <x v="6"/>
    <x v="2"/>
    <x v="219"/>
    <x v="0"/>
    <n v="67.64"/>
    <n v="3.6850000000000001"/>
    <n v="131.1453333"/>
    <n v="4.3079999999999998"/>
  </r>
  <r>
    <x v="3"/>
    <d v="2012-01-06T00:00:00"/>
    <x v="10"/>
    <x v="2"/>
    <x v="220"/>
    <x v="0"/>
    <n v="77.41"/>
    <n v="3.4830000000000001"/>
    <n v="130.95922580000001"/>
    <n v="4.3079999999999998"/>
  </r>
  <r>
    <x v="3"/>
    <d v="2012-08-06T00:00:00"/>
    <x v="11"/>
    <x v="2"/>
    <x v="221"/>
    <x v="0"/>
    <n v="78.11"/>
    <n v="3.4329999999999998"/>
    <n v="130.88967740000001"/>
    <n v="4.3079999999999998"/>
  </r>
  <r>
    <x v="3"/>
    <d v="2012-06-07T00:00:00"/>
    <x v="7"/>
    <x v="2"/>
    <x v="222"/>
    <x v="0"/>
    <n v="80.37"/>
    <n v="3.1869999999999998"/>
    <n v="130.7196333"/>
    <n v="4.077"/>
  </r>
  <r>
    <x v="3"/>
    <d v="2012-03-08T00:00:00"/>
    <x v="8"/>
    <x v="2"/>
    <x v="223"/>
    <x v="0"/>
    <n v="83.86"/>
    <n v="3.3740000000000001"/>
    <n v="130.73787100000001"/>
    <n v="4.077"/>
  </r>
  <r>
    <x v="3"/>
    <d v="2012-10-08T00:00:00"/>
    <x v="9"/>
    <x v="2"/>
    <x v="224"/>
    <x v="0"/>
    <n v="83.21"/>
    <n v="3.476"/>
    <n v="130.7561613"/>
    <n v="4.077"/>
  </r>
  <r>
    <x v="3"/>
    <d v="2012-07-09T00:00:00"/>
    <x v="4"/>
    <x v="2"/>
    <x v="225"/>
    <x v="1"/>
    <n v="82.09"/>
    <n v="3.7090000000000001"/>
    <n v="130.9325484"/>
    <n v="4.077"/>
  </r>
  <r>
    <x v="3"/>
    <d v="2012-05-10T00:00:00"/>
    <x v="0"/>
    <x v="2"/>
    <x v="226"/>
    <x v="0"/>
    <n v="63.07"/>
    <n v="3.62"/>
    <n v="131.0756667"/>
    <n v="3.879"/>
  </r>
  <r>
    <x v="3"/>
    <d v="2012-12-10T00:00:00"/>
    <x v="1"/>
    <x v="2"/>
    <x v="227"/>
    <x v="0"/>
    <n v="57.11"/>
    <n v="3.6030000000000002"/>
    <n v="131.1083333"/>
    <n v="3.879"/>
  </r>
  <r>
    <x v="4"/>
    <d v="2010-05-02T00:00:00"/>
    <x v="0"/>
    <x v="0"/>
    <x v="228"/>
    <x v="0"/>
    <n v="39.700000000000003"/>
    <n v="2.5720000000000001"/>
    <n v="211.65397160000001"/>
    <n v="6.5659999999999998"/>
  </r>
  <r>
    <x v="4"/>
    <d v="2010-12-02T00:00:00"/>
    <x v="1"/>
    <x v="0"/>
    <x v="229"/>
    <x v="1"/>
    <n v="39.81"/>
    <n v="2.548"/>
    <n v="211.8004698"/>
    <n v="6.5659999999999998"/>
  </r>
  <r>
    <x v="4"/>
    <d v="2010-05-03T00:00:00"/>
    <x v="0"/>
    <x v="0"/>
    <x v="230"/>
    <x v="0"/>
    <n v="48.89"/>
    <n v="2.625"/>
    <n v="211.9071653"/>
    <n v="6.5659999999999998"/>
  </r>
  <r>
    <x v="4"/>
    <d v="2010-12-03T00:00:00"/>
    <x v="1"/>
    <x v="0"/>
    <x v="231"/>
    <x v="0"/>
    <n v="58.5"/>
    <n v="2.6669999999999998"/>
    <n v="211.93718390000001"/>
    <n v="6.5659999999999998"/>
  </r>
  <r>
    <x v="4"/>
    <d v="2010-02-04T00:00:00"/>
    <x v="2"/>
    <x v="0"/>
    <x v="232"/>
    <x v="0"/>
    <n v="63.18"/>
    <n v="2.7189999999999999"/>
    <n v="211.37288799999999"/>
    <n v="6.4649999999999999"/>
  </r>
  <r>
    <x v="4"/>
    <d v="2010-09-04T00:00:00"/>
    <x v="3"/>
    <x v="0"/>
    <x v="233"/>
    <x v="0"/>
    <n v="65.19"/>
    <n v="2.77"/>
    <n v="211.17388349999999"/>
    <n v="6.4649999999999999"/>
  </r>
  <r>
    <x v="4"/>
    <d v="2010-07-05T00:00:00"/>
    <x v="4"/>
    <x v="0"/>
    <x v="234"/>
    <x v="0"/>
    <n v="71.53"/>
    <n v="2.835"/>
    <n v="210.8896556"/>
    <n v="6.4649999999999999"/>
  </r>
  <r>
    <x v="4"/>
    <d v="2010-04-06T00:00:00"/>
    <x v="5"/>
    <x v="0"/>
    <x v="235"/>
    <x v="0"/>
    <n v="79.540000000000006"/>
    <n v="2.7050000000000001"/>
    <n v="211.7325146"/>
    <n v="6.4649999999999999"/>
  </r>
  <r>
    <x v="4"/>
    <d v="2010-11-06T00:00:00"/>
    <x v="6"/>
    <x v="0"/>
    <x v="236"/>
    <x v="0"/>
    <n v="80.7"/>
    <n v="2.6680000000000001"/>
    <n v="212.01426050000001"/>
    <n v="6.4649999999999999"/>
  </r>
  <r>
    <x v="4"/>
    <d v="2010-02-07T00:00:00"/>
    <x v="2"/>
    <x v="0"/>
    <x v="237"/>
    <x v="0"/>
    <n v="81.25"/>
    <n v="2.669"/>
    <n v="211.78018610000001"/>
    <n v="6.4960000000000004"/>
  </r>
  <r>
    <x v="4"/>
    <d v="2010-09-07T00:00:00"/>
    <x v="3"/>
    <x v="0"/>
    <x v="238"/>
    <x v="0"/>
    <n v="81.14"/>
    <n v="2.6419999999999999"/>
    <n v="211.66429070000001"/>
    <n v="6.4960000000000004"/>
  </r>
  <r>
    <x v="4"/>
    <d v="2010-06-08T00:00:00"/>
    <x v="7"/>
    <x v="0"/>
    <x v="239"/>
    <x v="0"/>
    <n v="86.1"/>
    <n v="2.6269999999999998"/>
    <n v="212.06244469999999"/>
    <n v="6.4960000000000004"/>
  </r>
  <r>
    <x v="4"/>
    <d v="2010-03-09T00:00:00"/>
    <x v="8"/>
    <x v="0"/>
    <x v="240"/>
    <x v="0"/>
    <n v="84.06"/>
    <n v="2.577"/>
    <n v="212.08691759999999"/>
    <n v="6.4960000000000004"/>
  </r>
  <r>
    <x v="4"/>
    <d v="2010-10-09T00:00:00"/>
    <x v="9"/>
    <x v="0"/>
    <x v="241"/>
    <x v="1"/>
    <n v="79.86"/>
    <n v="2.5649999999999999"/>
    <n v="212.04992709999999"/>
    <n v="6.4960000000000004"/>
  </r>
  <r>
    <x v="4"/>
    <d v="2010-01-10T00:00:00"/>
    <x v="10"/>
    <x v="0"/>
    <x v="242"/>
    <x v="0"/>
    <n v="71.099999999999994"/>
    <n v="2.6030000000000002"/>
    <n v="212.22694630000001"/>
    <n v="6.7679999999999998"/>
  </r>
  <r>
    <x v="4"/>
    <d v="2010-08-10T00:00:00"/>
    <x v="11"/>
    <x v="0"/>
    <x v="243"/>
    <x v="0"/>
    <n v="64.989999999999995"/>
    <n v="2.633"/>
    <n v="212.30195219999999"/>
    <n v="6.7679999999999998"/>
  </r>
  <r>
    <x v="4"/>
    <d v="2010-05-11T00:00:00"/>
    <x v="0"/>
    <x v="0"/>
    <x v="244"/>
    <x v="0"/>
    <n v="58.88"/>
    <n v="2.6890000000000001"/>
    <n v="212.5126051"/>
    <n v="6.7679999999999998"/>
  </r>
  <r>
    <x v="4"/>
    <d v="2010-12-11T00:00:00"/>
    <x v="1"/>
    <x v="0"/>
    <x v="245"/>
    <x v="0"/>
    <n v="62.37"/>
    <n v="2.7280000000000002"/>
    <n v="212.5604113"/>
    <n v="6.7679999999999998"/>
  </r>
  <r>
    <x v="4"/>
    <d v="2010-03-12T00:00:00"/>
    <x v="8"/>
    <x v="0"/>
    <x v="246"/>
    <x v="0"/>
    <n v="51.31"/>
    <n v="2.7080000000000002"/>
    <n v="212.16139509999999"/>
    <n v="6.7679999999999998"/>
  </r>
  <r>
    <x v="4"/>
    <d v="2010-10-12T00:00:00"/>
    <x v="9"/>
    <x v="0"/>
    <x v="247"/>
    <x v="0"/>
    <n v="48.27"/>
    <n v="2.843"/>
    <n v="212.0193491"/>
    <n v="6.7679999999999998"/>
  </r>
  <r>
    <x v="4"/>
    <d v="2011-07-01T00:00:00"/>
    <x v="4"/>
    <x v="1"/>
    <x v="248"/>
    <x v="0"/>
    <n v="48.3"/>
    <n v="2.976"/>
    <n v="211.9560305"/>
    <n v="6.6340000000000003"/>
  </r>
  <r>
    <x v="4"/>
    <d v="2011-04-02T00:00:00"/>
    <x v="5"/>
    <x v="1"/>
    <x v="249"/>
    <x v="0"/>
    <n v="41.67"/>
    <n v="2.9889999999999999"/>
    <n v="213.1229755"/>
    <n v="6.6340000000000003"/>
  </r>
  <r>
    <x v="4"/>
    <d v="2011-11-02T00:00:00"/>
    <x v="6"/>
    <x v="1"/>
    <x v="250"/>
    <x v="1"/>
    <n v="38.25"/>
    <n v="3.0219999999999998"/>
    <n v="213.49446270000001"/>
    <n v="6.6340000000000003"/>
  </r>
  <r>
    <x v="4"/>
    <d v="2011-04-03T00:00:00"/>
    <x v="5"/>
    <x v="1"/>
    <x v="251"/>
    <x v="0"/>
    <n v="60.35"/>
    <n v="3.2879999999999998"/>
    <n v="214.3842702"/>
    <n v="6.6340000000000003"/>
  </r>
  <r>
    <x v="4"/>
    <d v="2011-11-03T00:00:00"/>
    <x v="6"/>
    <x v="1"/>
    <x v="252"/>
    <x v="0"/>
    <n v="55.74"/>
    <n v="3.4590000000000001"/>
    <n v="214.67299009999999"/>
    <n v="6.6340000000000003"/>
  </r>
  <r>
    <x v="4"/>
    <d v="2011-01-04T00:00:00"/>
    <x v="10"/>
    <x v="1"/>
    <x v="253"/>
    <x v="0"/>
    <n v="61.5"/>
    <n v="3.524"/>
    <n v="215.40244060000001"/>
    <n v="6.4889999999999999"/>
  </r>
  <r>
    <x v="4"/>
    <d v="2011-08-04T00:00:00"/>
    <x v="11"/>
    <x v="1"/>
    <x v="254"/>
    <x v="0"/>
    <n v="69.64"/>
    <n v="3.6219999999999999"/>
    <n v="215.64079390000001"/>
    <n v="6.4889999999999999"/>
  </r>
  <r>
    <x v="4"/>
    <d v="2011-06-05T00:00:00"/>
    <x v="7"/>
    <x v="1"/>
    <x v="255"/>
    <x v="0"/>
    <n v="66.27"/>
    <n v="3.9060000000000001"/>
    <n v="216.36558769999999"/>
    <n v="6.4889999999999999"/>
  </r>
  <r>
    <x v="4"/>
    <d v="2011-03-06T00:00:00"/>
    <x v="8"/>
    <x v="1"/>
    <x v="256"/>
    <x v="0"/>
    <n v="83.81"/>
    <n v="3.6989999999999998"/>
    <n v="215.83843189999999"/>
    <n v="6.4889999999999999"/>
  </r>
  <r>
    <x v="4"/>
    <d v="2011-10-06T00:00:00"/>
    <x v="9"/>
    <x v="1"/>
    <x v="257"/>
    <x v="0"/>
    <n v="83.61"/>
    <n v="3.6480000000000001"/>
    <n v="215.60645550000001"/>
    <n v="6.4889999999999999"/>
  </r>
  <r>
    <x v="4"/>
    <d v="2011-01-07T00:00:00"/>
    <x v="10"/>
    <x v="1"/>
    <x v="258"/>
    <x v="0"/>
    <n v="85.81"/>
    <n v="3.524"/>
    <n v="215.74745369999999"/>
    <n v="6.5289999999999999"/>
  </r>
  <r>
    <x v="4"/>
    <d v="2011-08-07T00:00:00"/>
    <x v="11"/>
    <x v="1"/>
    <x v="259"/>
    <x v="0"/>
    <n v="86.64"/>
    <n v="3.48"/>
    <n v="215.84094909999999"/>
    <n v="6.5289999999999999"/>
  </r>
  <r>
    <x v="4"/>
    <d v="2011-05-08T00:00:00"/>
    <x v="0"/>
    <x v="1"/>
    <x v="260"/>
    <x v="0"/>
    <n v="91.07"/>
    <n v="3.6840000000000002"/>
    <n v="216.10711979999999"/>
    <n v="6.5289999999999999"/>
  </r>
  <r>
    <x v="4"/>
    <d v="2011-12-08T00:00:00"/>
    <x v="1"/>
    <x v="1"/>
    <x v="261"/>
    <x v="0"/>
    <n v="90.16"/>
    <n v="3.6379999999999999"/>
    <n v="216.16780320000001"/>
    <n v="6.5289999999999999"/>
  </r>
  <r>
    <x v="4"/>
    <d v="2011-02-09T00:00:00"/>
    <x v="2"/>
    <x v="1"/>
    <x v="262"/>
    <x v="0"/>
    <n v="90.38"/>
    <n v="3.5329999999999999"/>
    <n v="216.3588498"/>
    <n v="6.5289999999999999"/>
  </r>
  <r>
    <x v="4"/>
    <d v="2011-09-09T00:00:00"/>
    <x v="3"/>
    <x v="1"/>
    <x v="263"/>
    <x v="1"/>
    <n v="79.040000000000006"/>
    <n v="3.5459999999999998"/>
    <n v="216.42268189999999"/>
    <n v="6.5289999999999999"/>
  </r>
  <r>
    <x v="4"/>
    <d v="2011-07-10T00:00:00"/>
    <x v="4"/>
    <x v="1"/>
    <x v="264"/>
    <x v="0"/>
    <n v="71.64"/>
    <n v="3.2850000000000001"/>
    <n v="217.61236479999999"/>
    <n v="6.3"/>
  </r>
  <r>
    <x v="4"/>
    <d v="2011-04-11T00:00:00"/>
    <x v="5"/>
    <x v="1"/>
    <x v="265"/>
    <x v="0"/>
    <n v="56.71"/>
    <n v="3.3319999999999999"/>
    <n v="218.40840800000001"/>
    <n v="6.3"/>
  </r>
  <r>
    <x v="4"/>
    <d v="2011-11-11T00:00:00"/>
    <x v="6"/>
    <x v="1"/>
    <x v="266"/>
    <x v="0"/>
    <n v="60.71"/>
    <n v="3.2970000000000002"/>
    <n v="218.5699621"/>
    <n v="6.3"/>
  </r>
  <r>
    <x v="4"/>
    <d v="2011-02-12T00:00:00"/>
    <x v="2"/>
    <x v="1"/>
    <x v="267"/>
    <x v="0"/>
    <n v="51.14"/>
    <n v="3.1720000000000002"/>
    <n v="219.29172869999999"/>
    <n v="6.3"/>
  </r>
  <r>
    <x v="4"/>
    <d v="2011-09-12T00:00:00"/>
    <x v="3"/>
    <x v="1"/>
    <x v="268"/>
    <x v="0"/>
    <n v="44.12"/>
    <n v="3.1579999999999999"/>
    <n v="219.540637"/>
    <n v="6.3"/>
  </r>
  <r>
    <x v="4"/>
    <d v="2012-06-01T00:00:00"/>
    <x v="7"/>
    <x v="2"/>
    <x v="269"/>
    <x v="0"/>
    <n v="50.21"/>
    <n v="3.157"/>
    <n v="220.2969205"/>
    <n v="5.9429999999999996"/>
  </r>
  <r>
    <x v="4"/>
    <d v="2012-03-02T00:00:00"/>
    <x v="8"/>
    <x v="2"/>
    <x v="270"/>
    <x v="0"/>
    <n v="57.35"/>
    <n v="3.36"/>
    <n v="220.75619409999999"/>
    <n v="5.9429999999999996"/>
  </r>
  <r>
    <x v="4"/>
    <d v="2012-10-02T00:00:00"/>
    <x v="9"/>
    <x v="2"/>
    <x v="271"/>
    <x v="1"/>
    <n v="48.57"/>
    <n v="3.4089999999999998"/>
    <n v="220.84958599999999"/>
    <n v="5.9429999999999996"/>
  </r>
  <r>
    <x v="4"/>
    <d v="2012-02-03T00:00:00"/>
    <x v="2"/>
    <x v="2"/>
    <x v="272"/>
    <x v="0"/>
    <n v="60.66"/>
    <n v="3.63"/>
    <n v="221.43421459999999"/>
    <n v="5.9429999999999996"/>
  </r>
  <r>
    <x v="4"/>
    <d v="2012-09-03T00:00:00"/>
    <x v="3"/>
    <x v="2"/>
    <x v="273"/>
    <x v="0"/>
    <n v="57.69"/>
    <n v="3.669"/>
    <n v="221.64600479999999"/>
    <n v="5.9429999999999996"/>
  </r>
  <r>
    <x v="4"/>
    <d v="2012-06-04T00:00:00"/>
    <x v="7"/>
    <x v="2"/>
    <x v="274"/>
    <x v="0"/>
    <n v="70.400000000000006"/>
    <n v="3.891"/>
    <n v="222.0225762"/>
    <n v="5.8010000000000002"/>
  </r>
  <r>
    <x v="4"/>
    <d v="2012-04-05T00:00:00"/>
    <x v="5"/>
    <x v="2"/>
    <x v="275"/>
    <x v="0"/>
    <n v="77.099999999999994"/>
    <n v="3.7490000000000001"/>
    <n v="222.2594722"/>
    <n v="5.8010000000000002"/>
  </r>
  <r>
    <x v="4"/>
    <d v="2012-11-05T00:00:00"/>
    <x v="6"/>
    <x v="2"/>
    <x v="276"/>
    <x v="0"/>
    <n v="73.45"/>
    <n v="3.6880000000000002"/>
    <n v="222.31359259999999"/>
    <n v="5.8010000000000002"/>
  </r>
  <r>
    <x v="4"/>
    <d v="2012-01-06T00:00:00"/>
    <x v="10"/>
    <x v="2"/>
    <x v="277"/>
    <x v="0"/>
    <n v="79.72"/>
    <n v="3.5009999999999999"/>
    <n v="222.33432769999999"/>
    <n v="5.8010000000000002"/>
  </r>
  <r>
    <x v="4"/>
    <d v="2012-08-06T00:00:00"/>
    <x v="11"/>
    <x v="2"/>
    <x v="278"/>
    <x v="0"/>
    <n v="81.02"/>
    <n v="3.452"/>
    <n v="222.33627000000001"/>
    <n v="5.8010000000000002"/>
  </r>
  <r>
    <x v="4"/>
    <d v="2012-06-07T00:00:00"/>
    <x v="7"/>
    <x v="2"/>
    <x v="279"/>
    <x v="0"/>
    <n v="82.35"/>
    <n v="3.2269999999999999"/>
    <n v="222.47143360000001"/>
    <n v="5.6029999999999998"/>
  </r>
  <r>
    <x v="4"/>
    <d v="2012-03-08T00:00:00"/>
    <x v="8"/>
    <x v="2"/>
    <x v="280"/>
    <x v="0"/>
    <n v="86.91"/>
    <n v="3.4169999999999998"/>
    <n v="222.53851109999999"/>
    <n v="5.6029999999999998"/>
  </r>
  <r>
    <x v="4"/>
    <d v="2012-10-08T00:00:00"/>
    <x v="9"/>
    <x v="2"/>
    <x v="281"/>
    <x v="0"/>
    <n v="86.96"/>
    <n v="3.4940000000000002"/>
    <n v="222.5472987"/>
    <n v="5.6029999999999998"/>
  </r>
  <r>
    <x v="4"/>
    <d v="2012-07-09T00:00:00"/>
    <x v="4"/>
    <x v="2"/>
    <x v="282"/>
    <x v="1"/>
    <n v="86.3"/>
    <n v="3.73"/>
    <n v="223.02988049999999"/>
    <n v="5.6029999999999998"/>
  </r>
  <r>
    <x v="4"/>
    <d v="2012-05-10T00:00:00"/>
    <x v="0"/>
    <x v="2"/>
    <x v="283"/>
    <x v="0"/>
    <n v="71.17"/>
    <n v="3.617"/>
    <n v="223.77444439999999"/>
    <n v="5.4219999999999997"/>
  </r>
  <r>
    <x v="4"/>
    <d v="2012-12-10T00:00:00"/>
    <x v="1"/>
    <x v="2"/>
    <x v="284"/>
    <x v="0"/>
    <n v="66.239999999999995"/>
    <n v="3.601"/>
    <n v="223.97478699999999"/>
    <n v="5.4219999999999997"/>
  </r>
  <r>
    <x v="5"/>
    <d v="2010-05-02T00:00:00"/>
    <x v="0"/>
    <x v="0"/>
    <x v="285"/>
    <x v="0"/>
    <n v="40.43"/>
    <n v="2.5720000000000001"/>
    <n v="212.62235179999999"/>
    <n v="7.2590000000000003"/>
  </r>
  <r>
    <x v="5"/>
    <d v="2010-12-02T00:00:00"/>
    <x v="1"/>
    <x v="0"/>
    <x v="286"/>
    <x v="1"/>
    <n v="40.57"/>
    <n v="2.548"/>
    <n v="212.77004249999999"/>
    <n v="7.2590000000000003"/>
  </r>
  <r>
    <x v="5"/>
    <d v="2010-05-03T00:00:00"/>
    <x v="0"/>
    <x v="0"/>
    <x v="287"/>
    <x v="0"/>
    <n v="49.63"/>
    <n v="2.625"/>
    <n v="212.8745193"/>
    <n v="7.2590000000000003"/>
  </r>
  <r>
    <x v="5"/>
    <d v="2010-12-03T00:00:00"/>
    <x v="1"/>
    <x v="0"/>
    <x v="288"/>
    <x v="0"/>
    <n v="58.82"/>
    <n v="2.6669999999999998"/>
    <n v="212.9037017"/>
    <n v="7.2590000000000003"/>
  </r>
  <r>
    <x v="5"/>
    <d v="2010-02-04T00:00:00"/>
    <x v="2"/>
    <x v="0"/>
    <x v="289"/>
    <x v="0"/>
    <n v="64.94"/>
    <n v="2.7189999999999999"/>
    <n v="212.3322805"/>
    <n v="7.0919999999999996"/>
  </r>
  <r>
    <x v="5"/>
    <d v="2010-09-04T00:00:00"/>
    <x v="3"/>
    <x v="0"/>
    <x v="290"/>
    <x v="0"/>
    <n v="66.150000000000006"/>
    <n v="2.77"/>
    <n v="212.1308239"/>
    <n v="7.0919999999999996"/>
  </r>
  <r>
    <x v="5"/>
    <d v="2010-07-05T00:00:00"/>
    <x v="4"/>
    <x v="0"/>
    <x v="291"/>
    <x v="0"/>
    <n v="73.680000000000007"/>
    <n v="2.835"/>
    <n v="211.84427059999999"/>
    <n v="7.0919999999999996"/>
  </r>
  <r>
    <x v="5"/>
    <d v="2010-04-06T00:00:00"/>
    <x v="5"/>
    <x v="0"/>
    <x v="292"/>
    <x v="0"/>
    <n v="79.44"/>
    <n v="2.7050000000000001"/>
    <n v="212.69824360000001"/>
    <n v="7.0919999999999996"/>
  </r>
  <r>
    <x v="5"/>
    <d v="2010-11-06T00:00:00"/>
    <x v="6"/>
    <x v="0"/>
    <x v="293"/>
    <x v="0"/>
    <n v="81.81"/>
    <n v="2.6680000000000001"/>
    <n v="212.98359919999999"/>
    <n v="7.0919999999999996"/>
  </r>
  <r>
    <x v="5"/>
    <d v="2010-02-07T00:00:00"/>
    <x v="2"/>
    <x v="0"/>
    <x v="294"/>
    <x v="0"/>
    <n v="80.34"/>
    <n v="2.669"/>
    <n v="212.74689799999999"/>
    <n v="6.9729999999999999"/>
  </r>
  <r>
    <x v="5"/>
    <d v="2010-09-07T00:00:00"/>
    <x v="3"/>
    <x v="0"/>
    <x v="295"/>
    <x v="0"/>
    <n v="80.930000000000007"/>
    <n v="2.6419999999999999"/>
    <n v="212.62965489999999"/>
    <n v="6.9729999999999999"/>
  </r>
  <r>
    <x v="5"/>
    <d v="2010-06-08T00:00:00"/>
    <x v="7"/>
    <x v="0"/>
    <x v="296"/>
    <x v="0"/>
    <n v="86.61"/>
    <n v="2.6269999999999998"/>
    <n v="213.0311188"/>
    <n v="6.9729999999999999"/>
  </r>
  <r>
    <x v="5"/>
    <d v="2010-03-09T00:00:00"/>
    <x v="8"/>
    <x v="0"/>
    <x v="297"/>
    <x v="0"/>
    <n v="82.15"/>
    <n v="2.577"/>
    <n v="213.05192220000001"/>
    <n v="6.9729999999999999"/>
  </r>
  <r>
    <x v="5"/>
    <d v="2010-10-09T00:00:00"/>
    <x v="9"/>
    <x v="0"/>
    <x v="298"/>
    <x v="1"/>
    <n v="78.78"/>
    <n v="2.5649999999999999"/>
    <n v="213.01331200000001"/>
    <n v="6.9729999999999999"/>
  </r>
  <r>
    <x v="5"/>
    <d v="2010-01-10T00:00:00"/>
    <x v="10"/>
    <x v="0"/>
    <x v="299"/>
    <x v="0"/>
    <n v="70.69"/>
    <n v="2.6030000000000002"/>
    <n v="213.19071289999999"/>
    <n v="7.0069999999999997"/>
  </r>
  <r>
    <x v="5"/>
    <d v="2010-08-10T00:00:00"/>
    <x v="11"/>
    <x v="0"/>
    <x v="300"/>
    <x v="0"/>
    <n v="65.209999999999994"/>
    <n v="2.633"/>
    <n v="213.2661373"/>
    <n v="7.0069999999999997"/>
  </r>
  <r>
    <x v="5"/>
    <d v="2010-05-11T00:00:00"/>
    <x v="0"/>
    <x v="0"/>
    <x v="301"/>
    <x v="0"/>
    <n v="59.9"/>
    <n v="2.6890000000000001"/>
    <n v="213.47855029999999"/>
    <n v="7.0069999999999997"/>
  </r>
  <r>
    <x v="5"/>
    <d v="2010-12-11T00:00:00"/>
    <x v="1"/>
    <x v="0"/>
    <x v="302"/>
    <x v="0"/>
    <n v="62.11"/>
    <n v="2.7280000000000002"/>
    <n v="213.5268011"/>
    <n v="7.0069999999999997"/>
  </r>
  <r>
    <x v="5"/>
    <d v="2010-03-12T00:00:00"/>
    <x v="8"/>
    <x v="0"/>
    <x v="303"/>
    <x v="0"/>
    <n v="52.3"/>
    <n v="2.7080000000000002"/>
    <n v="213.123851"/>
    <n v="7.0069999999999997"/>
  </r>
  <r>
    <x v="5"/>
    <d v="2010-10-12T00:00:00"/>
    <x v="9"/>
    <x v="0"/>
    <x v="304"/>
    <x v="0"/>
    <n v="48.46"/>
    <n v="2.843"/>
    <n v="212.98040589999999"/>
    <n v="7.0069999999999997"/>
  </r>
  <r>
    <x v="5"/>
    <d v="2011-07-01T00:00:00"/>
    <x v="4"/>
    <x v="1"/>
    <x v="305"/>
    <x v="0"/>
    <n v="47.78"/>
    <n v="2.976"/>
    <n v="212.91342660000001"/>
    <n v="6.8579999999999997"/>
  </r>
  <r>
    <x v="5"/>
    <d v="2011-04-02T00:00:00"/>
    <x v="5"/>
    <x v="1"/>
    <x v="306"/>
    <x v="0"/>
    <n v="40.590000000000003"/>
    <n v="2.9889999999999999"/>
    <n v="214.0887176"/>
    <n v="6.8579999999999997"/>
  </r>
  <r>
    <x v="5"/>
    <d v="2011-11-02T00:00:00"/>
    <x v="6"/>
    <x v="1"/>
    <x v="307"/>
    <x v="1"/>
    <n v="39.380000000000003"/>
    <n v="3.0219999999999998"/>
    <n v="214.46309410000001"/>
    <n v="6.8579999999999997"/>
  </r>
  <r>
    <x v="5"/>
    <d v="2011-04-03T00:00:00"/>
    <x v="5"/>
    <x v="1"/>
    <x v="308"/>
    <x v="0"/>
    <n v="60.45"/>
    <n v="3.2879999999999998"/>
    <n v="215.35842310000001"/>
    <n v="6.8579999999999997"/>
  </r>
  <r>
    <x v="5"/>
    <d v="2011-11-03T00:00:00"/>
    <x v="6"/>
    <x v="1"/>
    <x v="309"/>
    <x v="0"/>
    <n v="57.71"/>
    <n v="3.4590000000000001"/>
    <n v="215.6488731"/>
    <n v="6.8579999999999997"/>
  </r>
  <r>
    <x v="5"/>
    <d v="2011-01-04T00:00:00"/>
    <x v="10"/>
    <x v="1"/>
    <x v="310"/>
    <x v="0"/>
    <n v="62.25"/>
    <n v="3.524"/>
    <n v="216.38412489999999"/>
    <n v="6.8550000000000004"/>
  </r>
  <r>
    <x v="5"/>
    <d v="2011-08-04T00:00:00"/>
    <x v="11"/>
    <x v="1"/>
    <x v="311"/>
    <x v="0"/>
    <n v="70.349999999999994"/>
    <n v="3.6219999999999999"/>
    <n v="216.62443339999999"/>
    <n v="6.8550000000000004"/>
  </r>
  <r>
    <x v="5"/>
    <d v="2011-06-05T00:00:00"/>
    <x v="7"/>
    <x v="1"/>
    <x v="312"/>
    <x v="0"/>
    <n v="65.42"/>
    <n v="3.9060000000000001"/>
    <n v="217.35475690000001"/>
    <n v="6.8550000000000004"/>
  </r>
  <r>
    <x v="5"/>
    <d v="2011-03-06T00:00:00"/>
    <x v="8"/>
    <x v="1"/>
    <x v="313"/>
    <x v="0"/>
    <n v="84.01"/>
    <n v="3.6989999999999998"/>
    <n v="216.81925200000001"/>
    <n v="6.8550000000000004"/>
  </r>
  <r>
    <x v="5"/>
    <d v="2011-10-06T00:00:00"/>
    <x v="9"/>
    <x v="1"/>
    <x v="314"/>
    <x v="0"/>
    <n v="84.49"/>
    <n v="3.6480000000000001"/>
    <n v="216.58407320000001"/>
    <n v="6.8550000000000004"/>
  </r>
  <r>
    <x v="5"/>
    <d v="2011-01-07T00:00:00"/>
    <x v="10"/>
    <x v="1"/>
    <x v="315"/>
    <x v="0"/>
    <n v="87"/>
    <n v="3.524"/>
    <n v="216.72573879999999"/>
    <n v="6.9249999999999998"/>
  </r>
  <r>
    <x v="5"/>
    <d v="2011-08-07T00:00:00"/>
    <x v="11"/>
    <x v="1"/>
    <x v="316"/>
    <x v="0"/>
    <n v="88.36"/>
    <n v="3.48"/>
    <n v="216.82002750000001"/>
    <n v="6.9249999999999998"/>
  </r>
  <r>
    <x v="5"/>
    <d v="2011-05-08T00:00:00"/>
    <x v="0"/>
    <x v="1"/>
    <x v="317"/>
    <x v="0"/>
    <n v="91.46"/>
    <n v="3.6840000000000002"/>
    <n v="217.08398940000001"/>
    <n v="6.9249999999999998"/>
  </r>
  <r>
    <x v="5"/>
    <d v="2011-12-08T00:00:00"/>
    <x v="1"/>
    <x v="1"/>
    <x v="318"/>
    <x v="0"/>
    <n v="90.49"/>
    <n v="3.6379999999999999"/>
    <n v="217.14382810000001"/>
    <n v="6.9249999999999998"/>
  </r>
  <r>
    <x v="5"/>
    <d v="2011-02-09T00:00:00"/>
    <x v="2"/>
    <x v="1"/>
    <x v="319"/>
    <x v="0"/>
    <n v="91.22"/>
    <n v="3.5329999999999999"/>
    <n v="217.3343423"/>
    <n v="6.9249999999999998"/>
  </r>
  <r>
    <x v="5"/>
    <d v="2011-09-09T00:00:00"/>
    <x v="3"/>
    <x v="1"/>
    <x v="320"/>
    <x v="1"/>
    <n v="80.209999999999994"/>
    <n v="3.5459999999999998"/>
    <n v="217.39803040000001"/>
    <n v="6.9249999999999998"/>
  </r>
  <r>
    <x v="5"/>
    <d v="2011-07-10T00:00:00"/>
    <x v="4"/>
    <x v="1"/>
    <x v="321"/>
    <x v="0"/>
    <n v="74.099999999999994"/>
    <n v="3.2850000000000001"/>
    <n v="218.59703999999999"/>
    <n v="6.5510000000000002"/>
  </r>
  <r>
    <x v="5"/>
    <d v="2011-04-11T00:00:00"/>
    <x v="5"/>
    <x v="1"/>
    <x v="322"/>
    <x v="0"/>
    <n v="58.54"/>
    <n v="3.3319999999999999"/>
    <n v="219.40008119999999"/>
    <n v="6.5510000000000002"/>
  </r>
  <r>
    <x v="5"/>
    <d v="2011-11-11T00:00:00"/>
    <x v="6"/>
    <x v="1"/>
    <x v="323"/>
    <x v="0"/>
    <n v="61.33"/>
    <n v="3.2970000000000002"/>
    <n v="219.56311349999999"/>
    <n v="6.5510000000000002"/>
  </r>
  <r>
    <x v="5"/>
    <d v="2011-02-12T00:00:00"/>
    <x v="2"/>
    <x v="1"/>
    <x v="324"/>
    <x v="0"/>
    <n v="51.18"/>
    <n v="3.1720000000000002"/>
    <n v="220.29376859999999"/>
    <n v="6.5510000000000002"/>
  </r>
  <r>
    <x v="5"/>
    <d v="2011-09-12T00:00:00"/>
    <x v="3"/>
    <x v="1"/>
    <x v="325"/>
    <x v="0"/>
    <n v="43.64"/>
    <n v="3.1579999999999999"/>
    <n v="220.54579609999999"/>
    <n v="6.5510000000000002"/>
  </r>
  <r>
    <x v="5"/>
    <d v="2012-06-01T00:00:00"/>
    <x v="7"/>
    <x v="2"/>
    <x v="326"/>
    <x v="0"/>
    <n v="50.82"/>
    <n v="3.157"/>
    <n v="221.3088023"/>
    <n v="6.1319999999999997"/>
  </r>
  <r>
    <x v="5"/>
    <d v="2012-03-02T00:00:00"/>
    <x v="8"/>
    <x v="2"/>
    <x v="327"/>
    <x v="0"/>
    <n v="57.45"/>
    <n v="3.36"/>
    <n v="221.77070929999999"/>
    <n v="6.1319999999999997"/>
  </r>
  <r>
    <x v="5"/>
    <d v="2012-10-02T00:00:00"/>
    <x v="9"/>
    <x v="2"/>
    <x v="328"/>
    <x v="1"/>
    <n v="48.58"/>
    <n v="3.4089999999999998"/>
    <n v="221.86449870000001"/>
    <n v="6.1319999999999997"/>
  </r>
  <r>
    <x v="5"/>
    <d v="2012-02-03T00:00:00"/>
    <x v="2"/>
    <x v="2"/>
    <x v="329"/>
    <x v="0"/>
    <n v="60.32"/>
    <n v="3.63"/>
    <n v="222.4521862"/>
    <n v="6.1319999999999997"/>
  </r>
  <r>
    <x v="5"/>
    <d v="2012-09-03T00:00:00"/>
    <x v="3"/>
    <x v="2"/>
    <x v="330"/>
    <x v="0"/>
    <n v="57.89"/>
    <n v="3.669"/>
    <n v="222.66509980000001"/>
    <n v="6.1319999999999997"/>
  </r>
  <r>
    <x v="5"/>
    <d v="2012-06-04T00:00:00"/>
    <x v="7"/>
    <x v="2"/>
    <x v="331"/>
    <x v="0"/>
    <n v="71.599999999999994"/>
    <n v="3.891"/>
    <n v="223.04192979999999"/>
    <n v="5.9640000000000004"/>
  </r>
  <r>
    <x v="5"/>
    <d v="2012-04-05T00:00:00"/>
    <x v="5"/>
    <x v="2"/>
    <x v="332"/>
    <x v="0"/>
    <n v="77.66"/>
    <n v="3.7490000000000001"/>
    <n v="223.2800541"/>
    <n v="5.9640000000000004"/>
  </r>
  <r>
    <x v="5"/>
    <d v="2012-11-05T00:00:00"/>
    <x v="6"/>
    <x v="2"/>
    <x v="333"/>
    <x v="0"/>
    <n v="72.66"/>
    <n v="3.6880000000000002"/>
    <n v="223.33462119999999"/>
    <n v="5.9640000000000004"/>
  </r>
  <r>
    <x v="5"/>
    <d v="2012-01-06T00:00:00"/>
    <x v="10"/>
    <x v="2"/>
    <x v="334"/>
    <x v="0"/>
    <n v="80.39"/>
    <n v="3.5009999999999999"/>
    <n v="223.35393970000001"/>
    <n v="5.9640000000000004"/>
  </r>
  <r>
    <x v="5"/>
    <d v="2012-08-06T00:00:00"/>
    <x v="11"/>
    <x v="2"/>
    <x v="335"/>
    <x v="0"/>
    <n v="80.5"/>
    <n v="3.452"/>
    <n v="223.35531309999999"/>
    <n v="5.9640000000000004"/>
  </r>
  <r>
    <x v="5"/>
    <d v="2012-06-07T00:00:00"/>
    <x v="7"/>
    <x v="2"/>
    <x v="336"/>
    <x v="0"/>
    <n v="82.95"/>
    <n v="3.2269999999999999"/>
    <n v="223.49198509999999"/>
    <n v="5.6680000000000001"/>
  </r>
  <r>
    <x v="5"/>
    <d v="2012-03-08T00:00:00"/>
    <x v="8"/>
    <x v="2"/>
    <x v="337"/>
    <x v="0"/>
    <n v="87.55"/>
    <n v="3.4169999999999998"/>
    <n v="223.5607856"/>
    <n v="5.6680000000000001"/>
  </r>
  <r>
    <x v="5"/>
    <d v="2012-10-08T00:00:00"/>
    <x v="9"/>
    <x v="2"/>
    <x v="338"/>
    <x v="0"/>
    <n v="87.04"/>
    <n v="3.4940000000000002"/>
    <n v="223.56995330000001"/>
    <n v="5.6680000000000001"/>
  </r>
  <r>
    <x v="5"/>
    <d v="2012-07-09T00:00:00"/>
    <x v="4"/>
    <x v="2"/>
    <x v="339"/>
    <x v="1"/>
    <n v="86.33"/>
    <n v="3.73"/>
    <n v="224.05600759999999"/>
    <n v="5.6680000000000001"/>
  </r>
  <r>
    <x v="5"/>
    <d v="2012-05-10T00:00:00"/>
    <x v="0"/>
    <x v="2"/>
    <x v="340"/>
    <x v="0"/>
    <n v="70.84"/>
    <n v="3.617"/>
    <n v="224.80422200000001"/>
    <n v="5.3289999999999997"/>
  </r>
  <r>
    <x v="5"/>
    <d v="2012-12-10T00:00:00"/>
    <x v="1"/>
    <x v="2"/>
    <x v="341"/>
    <x v="0"/>
    <n v="65.430000000000007"/>
    <n v="3.601"/>
    <n v="225.00547330000001"/>
    <n v="5.3289999999999997"/>
  </r>
  <r>
    <x v="6"/>
    <d v="2010-05-02T00:00:00"/>
    <x v="0"/>
    <x v="0"/>
    <x v="342"/>
    <x v="0"/>
    <n v="10.53"/>
    <n v="2.58"/>
    <n v="189.38169740000001"/>
    <n v="9.0139999999999993"/>
  </r>
  <r>
    <x v="6"/>
    <d v="2010-12-02T00:00:00"/>
    <x v="1"/>
    <x v="0"/>
    <x v="343"/>
    <x v="1"/>
    <n v="25.9"/>
    <n v="2.5720000000000001"/>
    <n v="189.46427249999999"/>
    <n v="9.0139999999999993"/>
  </r>
  <r>
    <x v="6"/>
    <d v="2010-05-03T00:00:00"/>
    <x v="0"/>
    <x v="0"/>
    <x v="344"/>
    <x v="0"/>
    <n v="35.86"/>
    <n v="2.62"/>
    <n v="189.66950489999999"/>
    <n v="9.0139999999999993"/>
  </r>
  <r>
    <x v="6"/>
    <d v="2010-12-03T00:00:00"/>
    <x v="1"/>
    <x v="0"/>
    <x v="345"/>
    <x v="0"/>
    <n v="27.25"/>
    <n v="2.6840000000000002"/>
    <n v="189.73720750000001"/>
    <n v="9.0139999999999993"/>
  </r>
  <r>
    <x v="6"/>
    <d v="2010-02-04T00:00:00"/>
    <x v="2"/>
    <x v="0"/>
    <x v="346"/>
    <x v="0"/>
    <n v="38.26"/>
    <n v="2.7250000000000001"/>
    <n v="189.70482150000001"/>
    <n v="8.9629999999999992"/>
  </r>
  <r>
    <x v="6"/>
    <d v="2010-09-04T00:00:00"/>
    <x v="3"/>
    <x v="0"/>
    <x v="347"/>
    <x v="0"/>
    <n v="33.79"/>
    <n v="2.75"/>
    <n v="189.69010119999999"/>
    <n v="8.9629999999999992"/>
  </r>
  <r>
    <x v="6"/>
    <d v="2010-07-05T00:00:00"/>
    <x v="4"/>
    <x v="0"/>
    <x v="348"/>
    <x v="0"/>
    <n v="40.07"/>
    <n v="2.7709999999999999"/>
    <n v="189.53124829999999"/>
    <n v="8.9629999999999992"/>
  </r>
  <r>
    <x v="6"/>
    <d v="2010-04-06T00:00:00"/>
    <x v="5"/>
    <x v="0"/>
    <x v="349"/>
    <x v="0"/>
    <n v="53.63"/>
    <n v="2.7"/>
    <n v="189.42265800000001"/>
    <n v="8.9629999999999992"/>
  </r>
  <r>
    <x v="6"/>
    <d v="2010-11-06T00:00:00"/>
    <x v="6"/>
    <x v="0"/>
    <x v="350"/>
    <x v="0"/>
    <n v="63.59"/>
    <n v="2.6840000000000002"/>
    <n v="189.4000734"/>
    <n v="8.9629999999999992"/>
  </r>
  <r>
    <x v="6"/>
    <d v="2010-02-07T00:00:00"/>
    <x v="2"/>
    <x v="0"/>
    <x v="351"/>
    <x v="0"/>
    <n v="61.31"/>
    <n v="2.7280000000000002"/>
    <n v="189.48826030000001"/>
    <n v="9.0169999999999995"/>
  </r>
  <r>
    <x v="6"/>
    <d v="2010-09-07T00:00:00"/>
    <x v="3"/>
    <x v="0"/>
    <x v="352"/>
    <x v="0"/>
    <n v="58"/>
    <n v="2.7109999999999999"/>
    <n v="189.52312760000001"/>
    <n v="9.0169999999999995"/>
  </r>
  <r>
    <x v="6"/>
    <d v="2010-06-08T00:00:00"/>
    <x v="7"/>
    <x v="0"/>
    <x v="353"/>
    <x v="0"/>
    <n v="61.7"/>
    <n v="2.69"/>
    <n v="190.09900279999999"/>
    <n v="9.0169999999999995"/>
  </r>
  <r>
    <x v="6"/>
    <d v="2010-03-09T00:00:00"/>
    <x v="8"/>
    <x v="0"/>
    <x v="354"/>
    <x v="0"/>
    <n v="49.84"/>
    <n v="2.7730000000000001"/>
    <n v="190.3621607"/>
    <n v="9.0169999999999995"/>
  </r>
  <r>
    <x v="6"/>
    <d v="2010-10-09T00:00:00"/>
    <x v="9"/>
    <x v="0"/>
    <x v="355"/>
    <x v="1"/>
    <n v="48.5"/>
    <n v="2.78"/>
    <n v="190.3958293"/>
    <n v="9.0169999999999995"/>
  </r>
  <r>
    <x v="6"/>
    <d v="2010-01-10T00:00:00"/>
    <x v="10"/>
    <x v="0"/>
    <x v="356"/>
    <x v="0"/>
    <n v="49.99"/>
    <n v="2.7589999999999999"/>
    <n v="190.67382409999999"/>
    <n v="9.1370000000000005"/>
  </r>
  <r>
    <x v="6"/>
    <d v="2010-08-10T00:00:00"/>
    <x v="11"/>
    <x v="0"/>
    <x v="357"/>
    <x v="0"/>
    <n v="44.13"/>
    <n v="2.7450000000000001"/>
    <n v="190.77632180000001"/>
    <n v="9.1370000000000005"/>
  </r>
  <r>
    <x v="6"/>
    <d v="2010-05-11T00:00:00"/>
    <x v="0"/>
    <x v="0"/>
    <x v="358"/>
    <x v="0"/>
    <n v="49.44"/>
    <n v="2.7290000000000001"/>
    <n v="190.9964377"/>
    <n v="9.1370000000000005"/>
  </r>
  <r>
    <x v="6"/>
    <d v="2010-12-11T00:00:00"/>
    <x v="1"/>
    <x v="0"/>
    <x v="359"/>
    <x v="0"/>
    <n v="22.12"/>
    <n v="2.7370000000000001"/>
    <n v="191.0411474"/>
    <n v="9.1370000000000005"/>
  </r>
  <r>
    <x v="6"/>
    <d v="2010-03-12T00:00:00"/>
    <x v="8"/>
    <x v="0"/>
    <x v="360"/>
    <x v="0"/>
    <n v="21.88"/>
    <n v="2.7120000000000002"/>
    <n v="190.99314369999999"/>
    <n v="9.1370000000000005"/>
  </r>
  <r>
    <x v="6"/>
    <d v="2010-10-12T00:00:00"/>
    <x v="9"/>
    <x v="0"/>
    <x v="361"/>
    <x v="0"/>
    <n v="24.24"/>
    <n v="2.7280000000000002"/>
    <n v="190.97410690000001"/>
    <n v="9.1370000000000005"/>
  </r>
  <r>
    <x v="6"/>
    <d v="2011-07-01T00:00:00"/>
    <x v="4"/>
    <x v="1"/>
    <x v="362"/>
    <x v="0"/>
    <n v="10.09"/>
    <n v="2.8820000000000001"/>
    <n v="191.3683815"/>
    <n v="8.8179999999999996"/>
  </r>
  <r>
    <x v="6"/>
    <d v="2011-04-02T00:00:00"/>
    <x v="5"/>
    <x v="1"/>
    <x v="363"/>
    <x v="0"/>
    <n v="-2.06"/>
    <n v="3.0110000000000001"/>
    <n v="191.76258949999999"/>
    <n v="8.8179999999999996"/>
  </r>
  <r>
    <x v="6"/>
    <d v="2011-11-02T00:00:00"/>
    <x v="6"/>
    <x v="1"/>
    <x v="364"/>
    <x v="1"/>
    <n v="10.24"/>
    <n v="3.0369999999999999"/>
    <n v="191.85728810000001"/>
    <n v="8.8179999999999996"/>
  </r>
  <r>
    <x v="6"/>
    <d v="2011-04-03T00:00:00"/>
    <x v="5"/>
    <x v="1"/>
    <x v="365"/>
    <x v="0"/>
    <n v="21.84"/>
    <n v="3.2320000000000002"/>
    <n v="192.01160039999999"/>
    <n v="8.8179999999999996"/>
  </r>
  <r>
    <x v="6"/>
    <d v="2011-11-03T00:00:00"/>
    <x v="6"/>
    <x v="1"/>
    <x v="366"/>
    <x v="0"/>
    <n v="20.7"/>
    <n v="3.3719999999999999"/>
    <n v="192.05848399999999"/>
    <n v="8.8179999999999996"/>
  </r>
  <r>
    <x v="6"/>
    <d v="2011-01-04T00:00:00"/>
    <x v="10"/>
    <x v="1"/>
    <x v="367"/>
    <x v="0"/>
    <n v="24.83"/>
    <n v="3.4609999999999999"/>
    <n v="192.26917069999999"/>
    <n v="8.5950000000000006"/>
  </r>
  <r>
    <x v="6"/>
    <d v="2011-08-04T00:00:00"/>
    <x v="11"/>
    <x v="1"/>
    <x v="368"/>
    <x v="0"/>
    <n v="30.64"/>
    <n v="3.532"/>
    <n v="192.3418571"/>
    <n v="8.5950000000000006"/>
  </r>
  <r>
    <x v="6"/>
    <d v="2011-06-05T00:00:00"/>
    <x v="7"/>
    <x v="1"/>
    <x v="369"/>
    <x v="0"/>
    <n v="26.54"/>
    <n v="3.7349999999999999"/>
    <n v="192.72520059999999"/>
    <n v="8.5950000000000006"/>
  </r>
  <r>
    <x v="6"/>
    <d v="2011-03-06T00:00:00"/>
    <x v="8"/>
    <x v="1"/>
    <x v="370"/>
    <x v="0"/>
    <n v="45.77"/>
    <n v="3.7629999999999999"/>
    <n v="192.8418131"/>
    <n v="8.5950000000000006"/>
  </r>
  <r>
    <x v="6"/>
    <d v="2011-10-06T00:00:00"/>
    <x v="9"/>
    <x v="1"/>
    <x v="371"/>
    <x v="0"/>
    <n v="53.3"/>
    <n v="3.7349999999999999"/>
    <n v="192.84706120000001"/>
    <n v="8.5950000000000006"/>
  </r>
  <r>
    <x v="6"/>
    <d v="2011-01-07T00:00:00"/>
    <x v="10"/>
    <x v="1"/>
    <x v="372"/>
    <x v="0"/>
    <n v="58.54"/>
    <n v="3.597"/>
    <n v="193.09305520000001"/>
    <n v="8.6219999999999999"/>
  </r>
  <r>
    <x v="6"/>
    <d v="2011-08-07T00:00:00"/>
    <x v="11"/>
    <x v="1"/>
    <x v="373"/>
    <x v="0"/>
    <n v="59.08"/>
    <n v="3.54"/>
    <n v="193.18784479999999"/>
    <n v="8.6219999999999999"/>
  </r>
  <r>
    <x v="6"/>
    <d v="2011-05-08T00:00:00"/>
    <x v="0"/>
    <x v="1"/>
    <x v="374"/>
    <x v="0"/>
    <n v="55.91"/>
    <n v="3.5539999999999998"/>
    <n v="193.91101330000001"/>
    <n v="8.6219999999999999"/>
  </r>
  <r>
    <x v="6"/>
    <d v="2011-12-08T00:00:00"/>
    <x v="1"/>
    <x v="1"/>
    <x v="375"/>
    <x v="0"/>
    <n v="54.56"/>
    <n v="3.5419999999999998"/>
    <n v="194.11050169999999"/>
    <n v="8.6219999999999999"/>
  </r>
  <r>
    <x v="6"/>
    <d v="2011-02-09T00:00:00"/>
    <x v="2"/>
    <x v="1"/>
    <x v="376"/>
    <x v="0"/>
    <n v="53.4"/>
    <n v="3.5110000000000001"/>
    <n v="194.5092113"/>
    <n v="8.6219999999999999"/>
  </r>
  <r>
    <x v="6"/>
    <d v="2011-09-09T00:00:00"/>
    <x v="3"/>
    <x v="1"/>
    <x v="377"/>
    <x v="1"/>
    <n v="45.61"/>
    <n v="3.5659999999999998"/>
    <n v="194.6387853"/>
    <n v="8.6219999999999999"/>
  </r>
  <r>
    <x v="6"/>
    <d v="2011-07-10T00:00:00"/>
    <x v="4"/>
    <x v="1"/>
    <x v="378"/>
    <x v="0"/>
    <n v="40.65"/>
    <n v="3.4980000000000002"/>
    <n v="194.94597239999999"/>
    <n v="8.5129999999999999"/>
  </r>
  <r>
    <x v="6"/>
    <d v="2011-04-11T00:00:00"/>
    <x v="5"/>
    <x v="1"/>
    <x v="379"/>
    <x v="0"/>
    <n v="23.41"/>
    <n v="3.5270000000000001"/>
    <n v="195.48479589999999"/>
    <n v="8.5129999999999999"/>
  </r>
  <r>
    <x v="6"/>
    <d v="2011-11-11T00:00:00"/>
    <x v="6"/>
    <x v="1"/>
    <x v="380"/>
    <x v="0"/>
    <n v="19.53"/>
    <n v="3.5049999999999999"/>
    <n v="195.6376941"/>
    <n v="8.5129999999999999"/>
  </r>
  <r>
    <x v="6"/>
    <d v="2011-02-12T00:00:00"/>
    <x v="2"/>
    <x v="1"/>
    <x v="381"/>
    <x v="0"/>
    <n v="20.38"/>
    <n v="3.3780000000000001"/>
    <n v="195.82232870000001"/>
    <n v="8.5129999999999999"/>
  </r>
  <r>
    <x v="6"/>
    <d v="2011-09-12T00:00:00"/>
    <x v="3"/>
    <x v="1"/>
    <x v="382"/>
    <x v="0"/>
    <n v="11.17"/>
    <n v="3.331"/>
    <n v="195.8742575"/>
    <n v="8.5129999999999999"/>
  </r>
  <r>
    <x v="6"/>
    <d v="2012-06-01T00:00:00"/>
    <x v="7"/>
    <x v="2"/>
    <x v="383"/>
    <x v="0"/>
    <n v="18.670000000000002"/>
    <n v="3.0950000000000002"/>
    <n v="196.5458309"/>
    <n v="8.2560000000000002"/>
  </r>
  <r>
    <x v="6"/>
    <d v="2012-03-02T00:00:00"/>
    <x v="8"/>
    <x v="2"/>
    <x v="384"/>
    <x v="0"/>
    <n v="22.2"/>
    <n v="3.0310000000000001"/>
    <n v="196.8728921"/>
    <n v="8.2560000000000002"/>
  </r>
  <r>
    <x v="6"/>
    <d v="2012-10-02T00:00:00"/>
    <x v="9"/>
    <x v="2"/>
    <x v="385"/>
    <x v="1"/>
    <n v="18.79"/>
    <n v="3.1030000000000002"/>
    <n v="196.91950560000001"/>
    <n v="8.2560000000000002"/>
  </r>
  <r>
    <x v="6"/>
    <d v="2012-02-03T00:00:00"/>
    <x v="2"/>
    <x v="2"/>
    <x v="386"/>
    <x v="0"/>
    <n v="21.64"/>
    <n v="3.1909999999999998"/>
    <n v="196.9565303"/>
    <n v="8.2560000000000002"/>
  </r>
  <r>
    <x v="6"/>
    <d v="2012-09-03T00:00:00"/>
    <x v="3"/>
    <x v="2"/>
    <x v="387"/>
    <x v="0"/>
    <n v="30.1"/>
    <n v="3.286"/>
    <n v="196.96315989999999"/>
    <n v="8.2560000000000002"/>
  </r>
  <r>
    <x v="6"/>
    <d v="2012-06-04T00:00:00"/>
    <x v="7"/>
    <x v="2"/>
    <x v="388"/>
    <x v="0"/>
    <n v="44.29"/>
    <n v="3.8540000000000001"/>
    <n v="197.5971285"/>
    <n v="8.09"/>
  </r>
  <r>
    <x v="6"/>
    <d v="2012-04-05T00:00:00"/>
    <x v="5"/>
    <x v="2"/>
    <x v="389"/>
    <x v="0"/>
    <n v="45.38"/>
    <n v="3.903"/>
    <n v="197.60635339999999"/>
    <n v="8.09"/>
  </r>
  <r>
    <x v="6"/>
    <d v="2012-11-05T00:00:00"/>
    <x v="6"/>
    <x v="2"/>
    <x v="390"/>
    <x v="0"/>
    <n v="48.54"/>
    <n v="3.87"/>
    <n v="197.5481609"/>
    <n v="8.09"/>
  </r>
  <r>
    <x v="6"/>
    <d v="2012-01-06T00:00:00"/>
    <x v="10"/>
    <x v="2"/>
    <x v="391"/>
    <x v="0"/>
    <n v="55.06"/>
    <n v="3.7639999999999998"/>
    <n v="197.6218954"/>
    <n v="8.09"/>
  </r>
  <r>
    <x v="6"/>
    <d v="2012-08-06T00:00:00"/>
    <x v="11"/>
    <x v="2"/>
    <x v="392"/>
    <x v="0"/>
    <n v="63.07"/>
    <n v="3.7410000000000001"/>
    <n v="197.6551863"/>
    <n v="8.09"/>
  </r>
  <r>
    <x v="6"/>
    <d v="2012-06-07T00:00:00"/>
    <x v="7"/>
    <x v="2"/>
    <x v="393"/>
    <x v="0"/>
    <n v="64.67"/>
    <n v="3.6459999999999999"/>
    <n v="197.83221950000001"/>
    <n v="7.8719999999999999"/>
  </r>
  <r>
    <x v="6"/>
    <d v="2012-03-08T00:00:00"/>
    <x v="8"/>
    <x v="2"/>
    <x v="394"/>
    <x v="0"/>
    <n v="61.83"/>
    <n v="3.528"/>
    <n v="198.02938929999999"/>
    <n v="7.8719999999999999"/>
  </r>
  <r>
    <x v="6"/>
    <d v="2012-10-08T00:00:00"/>
    <x v="9"/>
    <x v="2"/>
    <x v="395"/>
    <x v="0"/>
    <n v="63.41"/>
    <n v="3.5089999999999999"/>
    <n v="198.0795651"/>
    <n v="7.8719999999999999"/>
  </r>
  <r>
    <x v="6"/>
    <d v="2012-07-09T00:00:00"/>
    <x v="4"/>
    <x v="2"/>
    <x v="396"/>
    <x v="1"/>
    <n v="57.84"/>
    <n v="3.5960000000000001"/>
    <n v="198.0950484"/>
    <n v="7.8719999999999999"/>
  </r>
  <r>
    <x v="6"/>
    <d v="2012-05-10T00:00:00"/>
    <x v="0"/>
    <x v="2"/>
    <x v="397"/>
    <x v="0"/>
    <n v="48.43"/>
    <n v="3.7789999999999999"/>
    <n v="198.8221322"/>
    <n v="7.5570000000000004"/>
  </r>
  <r>
    <x v="6"/>
    <d v="2012-12-10T00:00:00"/>
    <x v="1"/>
    <x v="2"/>
    <x v="398"/>
    <x v="0"/>
    <n v="41.43"/>
    <n v="3.76"/>
    <n v="199.0539368"/>
    <n v="7.5570000000000004"/>
  </r>
  <r>
    <x v="7"/>
    <d v="2010-05-02T00:00:00"/>
    <x v="0"/>
    <x v="0"/>
    <x v="399"/>
    <x v="0"/>
    <n v="34.14"/>
    <n v="2.5720000000000001"/>
    <n v="214.47145119999999"/>
    <n v="6.2990000000000004"/>
  </r>
  <r>
    <x v="7"/>
    <d v="2010-12-02T00:00:00"/>
    <x v="1"/>
    <x v="0"/>
    <x v="400"/>
    <x v="1"/>
    <n v="33.340000000000003"/>
    <n v="2.548"/>
    <n v="214.62141890000001"/>
    <n v="6.2990000000000004"/>
  </r>
  <r>
    <x v="7"/>
    <d v="2010-05-03T00:00:00"/>
    <x v="0"/>
    <x v="0"/>
    <x v="401"/>
    <x v="0"/>
    <n v="45.64"/>
    <n v="2.625"/>
    <n v="214.7216592"/>
    <n v="6.2990000000000004"/>
  </r>
  <r>
    <x v="7"/>
    <d v="2010-12-03T00:00:00"/>
    <x v="1"/>
    <x v="0"/>
    <x v="402"/>
    <x v="0"/>
    <n v="49.76"/>
    <n v="2.6669999999999998"/>
    <n v="214.74924490000001"/>
    <n v="6.2990000000000004"/>
  </r>
  <r>
    <x v="7"/>
    <d v="2010-02-04T00:00:00"/>
    <x v="2"/>
    <x v="0"/>
    <x v="403"/>
    <x v="0"/>
    <n v="60.18"/>
    <n v="2.7189999999999999"/>
    <n v="214.16421800000001"/>
    <n v="6.29"/>
  </r>
  <r>
    <x v="7"/>
    <d v="2010-09-04T00:00:00"/>
    <x v="3"/>
    <x v="0"/>
    <x v="404"/>
    <x v="0"/>
    <n v="59.25"/>
    <n v="2.77"/>
    <n v="213.95807930000001"/>
    <n v="6.29"/>
  </r>
  <r>
    <x v="7"/>
    <d v="2010-07-05T00:00:00"/>
    <x v="4"/>
    <x v="0"/>
    <x v="405"/>
    <x v="0"/>
    <n v="62.68"/>
    <n v="2.835"/>
    <n v="213.6670857"/>
    <n v="6.29"/>
  </r>
  <r>
    <x v="7"/>
    <d v="2010-04-06T00:00:00"/>
    <x v="5"/>
    <x v="0"/>
    <x v="406"/>
    <x v="0"/>
    <n v="75.709999999999994"/>
    <n v="2.7050000000000001"/>
    <n v="214.5422806"/>
    <n v="6.29"/>
  </r>
  <r>
    <x v="7"/>
    <d v="2010-11-06T00:00:00"/>
    <x v="6"/>
    <x v="0"/>
    <x v="407"/>
    <x v="0"/>
    <n v="82.21"/>
    <n v="2.6680000000000001"/>
    <n v="214.834529"/>
    <n v="6.29"/>
  </r>
  <r>
    <x v="7"/>
    <d v="2010-02-07T00:00:00"/>
    <x v="2"/>
    <x v="0"/>
    <x v="408"/>
    <x v="0"/>
    <n v="74.78"/>
    <n v="2.669"/>
    <n v="214.59281189999999"/>
    <n v="6.3150000000000004"/>
  </r>
  <r>
    <x v="7"/>
    <d v="2010-09-07T00:00:00"/>
    <x v="3"/>
    <x v="0"/>
    <x v="409"/>
    <x v="0"/>
    <n v="72.489999999999995"/>
    <n v="2.6419999999999999"/>
    <n v="214.47299520000001"/>
    <n v="6.3150000000000004"/>
  </r>
  <r>
    <x v="7"/>
    <d v="2010-06-08T00:00:00"/>
    <x v="7"/>
    <x v="0"/>
    <x v="410"/>
    <x v="0"/>
    <n v="80.37"/>
    <n v="2.6269999999999998"/>
    <n v="214.8807793"/>
    <n v="6.3150000000000004"/>
  </r>
  <r>
    <x v="7"/>
    <d v="2010-03-09T00:00:00"/>
    <x v="8"/>
    <x v="0"/>
    <x v="411"/>
    <x v="0"/>
    <n v="76.14"/>
    <n v="2.577"/>
    <n v="214.894576"/>
    <n v="6.3150000000000004"/>
  </r>
  <r>
    <x v="7"/>
    <d v="2010-10-09T00:00:00"/>
    <x v="9"/>
    <x v="0"/>
    <x v="412"/>
    <x v="1"/>
    <n v="74.34"/>
    <n v="2.5649999999999999"/>
    <n v="214.8528728"/>
    <n v="6.3150000000000004"/>
  </r>
  <r>
    <x v="7"/>
    <d v="2010-01-10T00:00:00"/>
    <x v="10"/>
    <x v="0"/>
    <x v="413"/>
    <x v="0"/>
    <n v="68.7"/>
    <n v="2.6030000000000002"/>
    <n v="215.0310029"/>
    <n v="6.4329999999999998"/>
  </r>
  <r>
    <x v="7"/>
    <d v="2010-08-10T00:00:00"/>
    <x v="11"/>
    <x v="0"/>
    <x v="414"/>
    <x v="0"/>
    <n v="62.94"/>
    <n v="2.633"/>
    <n v="215.10722620000001"/>
    <n v="6.4329999999999998"/>
  </r>
  <r>
    <x v="7"/>
    <d v="2010-05-11T00:00:00"/>
    <x v="0"/>
    <x v="0"/>
    <x v="415"/>
    <x v="0"/>
    <n v="55.76"/>
    <n v="2.6890000000000001"/>
    <n v="215.32300000000001"/>
    <n v="6.4329999999999998"/>
  </r>
  <r>
    <x v="7"/>
    <d v="2010-12-11T00:00:00"/>
    <x v="1"/>
    <x v="0"/>
    <x v="416"/>
    <x v="0"/>
    <n v="54.89"/>
    <n v="2.7280000000000002"/>
    <n v="215.37209999999999"/>
    <n v="6.4329999999999998"/>
  </r>
  <r>
    <x v="7"/>
    <d v="2010-03-12T00:00:00"/>
    <x v="8"/>
    <x v="0"/>
    <x v="417"/>
    <x v="0"/>
    <n v="42.85"/>
    <n v="2.7080000000000002"/>
    <n v="214.96163809999999"/>
    <n v="6.4329999999999998"/>
  </r>
  <r>
    <x v="7"/>
    <d v="2010-10-12T00:00:00"/>
    <x v="9"/>
    <x v="0"/>
    <x v="418"/>
    <x v="0"/>
    <n v="42.47"/>
    <n v="2.843"/>
    <n v="214.81552139999999"/>
    <n v="6.4329999999999998"/>
  </r>
  <r>
    <x v="7"/>
    <d v="2011-07-01T00:00:00"/>
    <x v="4"/>
    <x v="1"/>
    <x v="419"/>
    <x v="0"/>
    <n v="35.770000000000003"/>
    <n v="2.976"/>
    <n v="214.74155210000001"/>
    <n v="6.2619999999999996"/>
  </r>
  <r>
    <x v="7"/>
    <d v="2011-04-02T00:00:00"/>
    <x v="5"/>
    <x v="1"/>
    <x v="420"/>
    <x v="0"/>
    <n v="24.48"/>
    <n v="2.9889999999999999"/>
    <n v="215.9327797"/>
    <n v="6.2619999999999996"/>
  </r>
  <r>
    <x v="7"/>
    <d v="2011-11-02T00:00:00"/>
    <x v="6"/>
    <x v="1"/>
    <x v="421"/>
    <x v="1"/>
    <n v="28.26"/>
    <n v="3.0219999999999998"/>
    <n v="216.3126733"/>
    <n v="6.2619999999999996"/>
  </r>
  <r>
    <x v="7"/>
    <d v="2011-04-03T00:00:00"/>
    <x v="5"/>
    <x v="1"/>
    <x v="422"/>
    <x v="0"/>
    <n v="53.18"/>
    <n v="3.2879999999999998"/>
    <n v="217.21854540000001"/>
    <n v="6.2619999999999996"/>
  </r>
  <r>
    <x v="7"/>
    <d v="2011-11-03T00:00:00"/>
    <x v="6"/>
    <x v="1"/>
    <x v="423"/>
    <x v="0"/>
    <n v="49.14"/>
    <n v="3.4590000000000001"/>
    <n v="217.51229900000001"/>
    <n v="6.2619999999999996"/>
  </r>
  <r>
    <x v="7"/>
    <d v="2011-01-04T00:00:00"/>
    <x v="10"/>
    <x v="1"/>
    <x v="424"/>
    <x v="0"/>
    <n v="49.86"/>
    <n v="3.524"/>
    <n v="218.25862810000001"/>
    <n v="6.2969999999999997"/>
  </r>
  <r>
    <x v="7"/>
    <d v="2011-08-04T00:00:00"/>
    <x v="11"/>
    <x v="1"/>
    <x v="425"/>
    <x v="0"/>
    <n v="65.62"/>
    <n v="3.6219999999999999"/>
    <n v="218.50266999999999"/>
    <n v="6.2969999999999997"/>
  </r>
  <r>
    <x v="7"/>
    <d v="2011-06-05T00:00:00"/>
    <x v="7"/>
    <x v="1"/>
    <x v="426"/>
    <x v="0"/>
    <n v="58.92"/>
    <n v="3.9060000000000001"/>
    <n v="219.2435524"/>
    <n v="6.2969999999999997"/>
  </r>
  <r>
    <x v="7"/>
    <d v="2011-03-06T00:00:00"/>
    <x v="8"/>
    <x v="1"/>
    <x v="427"/>
    <x v="0"/>
    <n v="82.05"/>
    <n v="3.6989999999999998"/>
    <n v="218.69210509999999"/>
    <n v="6.2969999999999997"/>
  </r>
  <r>
    <x v="7"/>
    <d v="2011-10-06T00:00:00"/>
    <x v="9"/>
    <x v="1"/>
    <x v="428"/>
    <x v="0"/>
    <n v="82.21"/>
    <n v="3.6480000000000001"/>
    <n v="218.45081149999999"/>
    <n v="6.2969999999999997"/>
  </r>
  <r>
    <x v="7"/>
    <d v="2011-01-07T00:00:00"/>
    <x v="10"/>
    <x v="1"/>
    <x v="429"/>
    <x v="0"/>
    <n v="87.26"/>
    <n v="3.524"/>
    <n v="218.5937514"/>
    <n v="6.4249999999999998"/>
  </r>
  <r>
    <x v="7"/>
    <d v="2011-08-07T00:00:00"/>
    <x v="11"/>
    <x v="1"/>
    <x v="430"/>
    <x v="0"/>
    <n v="83.57"/>
    <n v="3.48"/>
    <n v="218.6895548"/>
    <n v="6.4249999999999998"/>
  </r>
  <r>
    <x v="7"/>
    <d v="2011-05-08T00:00:00"/>
    <x v="0"/>
    <x v="1"/>
    <x v="431"/>
    <x v="0"/>
    <n v="85.15"/>
    <n v="3.6840000000000002"/>
    <n v="218.94929909999999"/>
    <n v="6.4249999999999998"/>
  </r>
  <r>
    <x v="7"/>
    <d v="2011-12-08T00:00:00"/>
    <x v="1"/>
    <x v="1"/>
    <x v="432"/>
    <x v="0"/>
    <n v="86.05"/>
    <n v="3.6379999999999999"/>
    <n v="219.00752489999999"/>
    <n v="6.4249999999999998"/>
  </r>
  <r>
    <x v="7"/>
    <d v="2011-02-09T00:00:00"/>
    <x v="2"/>
    <x v="1"/>
    <x v="433"/>
    <x v="0"/>
    <n v="84.77"/>
    <n v="3.5329999999999999"/>
    <n v="219.1970226"/>
    <n v="6.4249999999999998"/>
  </r>
  <r>
    <x v="7"/>
    <d v="2011-09-09T00:00:00"/>
    <x v="3"/>
    <x v="1"/>
    <x v="434"/>
    <x v="1"/>
    <n v="69.010000000000005"/>
    <n v="3.5459999999999998"/>
    <n v="219.2604355"/>
    <n v="6.4249999999999998"/>
  </r>
  <r>
    <x v="7"/>
    <d v="2011-07-10T00:00:00"/>
    <x v="4"/>
    <x v="1"/>
    <x v="435"/>
    <x v="0"/>
    <n v="67.61"/>
    <n v="3.2850000000000001"/>
    <n v="220.4772543"/>
    <n v="6.1230000000000002"/>
  </r>
  <r>
    <x v="7"/>
    <d v="2011-04-11T00:00:00"/>
    <x v="5"/>
    <x v="1"/>
    <x v="436"/>
    <x v="0"/>
    <n v="49.68"/>
    <n v="3.3319999999999999"/>
    <n v="221.29365809999999"/>
    <n v="6.1230000000000002"/>
  </r>
  <r>
    <x v="7"/>
    <d v="2011-11-11T00:00:00"/>
    <x v="6"/>
    <x v="1"/>
    <x v="437"/>
    <x v="0"/>
    <n v="50.56"/>
    <n v="3.2970000000000002"/>
    <n v="221.45951289999999"/>
    <n v="6.1230000000000002"/>
  </r>
  <r>
    <x v="7"/>
    <d v="2011-02-12T00:00:00"/>
    <x v="2"/>
    <x v="1"/>
    <x v="438"/>
    <x v="0"/>
    <n v="40.82"/>
    <n v="3.1720000000000002"/>
    <n v="222.20714050000001"/>
    <n v="6.1230000000000002"/>
  </r>
  <r>
    <x v="7"/>
    <d v="2011-09-12T00:00:00"/>
    <x v="3"/>
    <x v="1"/>
    <x v="439"/>
    <x v="0"/>
    <n v="30.51"/>
    <n v="3.1579999999999999"/>
    <n v="222.46512379999999"/>
    <n v="6.1230000000000002"/>
  </r>
  <r>
    <x v="7"/>
    <d v="2012-06-01T00:00:00"/>
    <x v="7"/>
    <x v="2"/>
    <x v="440"/>
    <x v="0"/>
    <n v="43.47"/>
    <n v="3.157"/>
    <n v="223.2409668"/>
    <n v="5.8250000000000002"/>
  </r>
  <r>
    <x v="7"/>
    <d v="2012-03-02T00:00:00"/>
    <x v="8"/>
    <x v="2"/>
    <x v="441"/>
    <x v="0"/>
    <n v="45.56"/>
    <n v="3.36"/>
    <n v="223.7079023"/>
    <n v="5.8250000000000002"/>
  </r>
  <r>
    <x v="7"/>
    <d v="2012-10-02T00:00:00"/>
    <x v="9"/>
    <x v="2"/>
    <x v="442"/>
    <x v="1"/>
    <n v="35.71"/>
    <n v="3.4089999999999998"/>
    <n v="223.80245070000001"/>
    <n v="5.8250000000000002"/>
  </r>
  <r>
    <x v="7"/>
    <d v="2012-02-03T00:00:00"/>
    <x v="2"/>
    <x v="2"/>
    <x v="443"/>
    <x v="0"/>
    <n v="50.95"/>
    <n v="3.63"/>
    <n v="224.39597929999999"/>
    <n v="5.8250000000000002"/>
  </r>
  <r>
    <x v="7"/>
    <d v="2012-09-03T00:00:00"/>
    <x v="3"/>
    <x v="2"/>
    <x v="444"/>
    <x v="0"/>
    <n v="49.59"/>
    <n v="3.669"/>
    <n v="224.61103790000001"/>
    <n v="5.8250000000000002"/>
  </r>
  <r>
    <x v="7"/>
    <d v="2012-06-04T00:00:00"/>
    <x v="7"/>
    <x v="2"/>
    <x v="445"/>
    <x v="0"/>
    <n v="62.18"/>
    <n v="3.891"/>
    <n v="224.98836180000001"/>
    <n v="5.6790000000000003"/>
  </r>
  <r>
    <x v="7"/>
    <d v="2012-04-05T00:00:00"/>
    <x v="5"/>
    <x v="2"/>
    <x v="446"/>
    <x v="0"/>
    <n v="73.959999999999994"/>
    <n v="3.7490000000000001"/>
    <n v="225.22883139999999"/>
    <n v="5.6790000000000003"/>
  </r>
  <r>
    <x v="7"/>
    <d v="2012-11-05T00:00:00"/>
    <x v="6"/>
    <x v="2"/>
    <x v="447"/>
    <x v="0"/>
    <n v="64.959999999999994"/>
    <n v="3.6880000000000002"/>
    <n v="225.28425139999999"/>
    <n v="5.6790000000000003"/>
  </r>
  <r>
    <x v="7"/>
    <d v="2012-01-06T00:00:00"/>
    <x v="10"/>
    <x v="2"/>
    <x v="448"/>
    <x v="0"/>
    <n v="78.31"/>
    <n v="3.5009999999999999"/>
    <n v="225.30086499999999"/>
    <n v="5.6790000000000003"/>
  </r>
  <r>
    <x v="7"/>
    <d v="2012-08-06T00:00:00"/>
    <x v="11"/>
    <x v="2"/>
    <x v="449"/>
    <x v="0"/>
    <n v="74.28"/>
    <n v="3.452"/>
    <n v="225.3011521"/>
    <n v="5.6790000000000003"/>
  </r>
  <r>
    <x v="7"/>
    <d v="2012-06-07T00:00:00"/>
    <x v="7"/>
    <x v="2"/>
    <x v="450"/>
    <x v="0"/>
    <n v="81.239999999999995"/>
    <n v="3.2269999999999999"/>
    <n v="225.44070429999999"/>
    <n v="5.4009999999999998"/>
  </r>
  <r>
    <x v="7"/>
    <d v="2012-03-08T00:00:00"/>
    <x v="8"/>
    <x v="2"/>
    <x v="451"/>
    <x v="0"/>
    <n v="85.06"/>
    <n v="3.4169999999999998"/>
    <n v="225.51279489999999"/>
    <n v="5.4009999999999998"/>
  </r>
  <r>
    <x v="7"/>
    <d v="2012-10-08T00:00:00"/>
    <x v="9"/>
    <x v="2"/>
    <x v="452"/>
    <x v="0"/>
    <n v="83.74"/>
    <n v="3.4940000000000002"/>
    <n v="225.52268849999999"/>
    <n v="5.4009999999999998"/>
  </r>
  <r>
    <x v="7"/>
    <d v="2012-07-09T00:00:00"/>
    <x v="4"/>
    <x v="2"/>
    <x v="453"/>
    <x v="1"/>
    <n v="80.87"/>
    <n v="3.73"/>
    <n v="226.01537329999999"/>
    <n v="5.4009999999999998"/>
  </r>
  <r>
    <x v="7"/>
    <d v="2012-05-10T00:00:00"/>
    <x v="0"/>
    <x v="2"/>
    <x v="454"/>
    <x v="0"/>
    <n v="61.41"/>
    <n v="3.617"/>
    <n v="226.77055809999999"/>
    <n v="5.1239999999999997"/>
  </r>
  <r>
    <x v="7"/>
    <d v="2012-12-10T00:00:00"/>
    <x v="1"/>
    <x v="2"/>
    <x v="455"/>
    <x v="0"/>
    <n v="55.03"/>
    <n v="3.601"/>
    <n v="226.97354480000001"/>
    <n v="5.1239999999999997"/>
  </r>
  <r>
    <x v="8"/>
    <d v="2010-05-02T00:00:00"/>
    <x v="0"/>
    <x v="0"/>
    <x v="456"/>
    <x v="0"/>
    <n v="38.01"/>
    <n v="2.5720000000000001"/>
    <n v="214.6554591"/>
    <n v="6.415"/>
  </r>
  <r>
    <x v="8"/>
    <d v="2010-12-02T00:00:00"/>
    <x v="1"/>
    <x v="0"/>
    <x v="457"/>
    <x v="1"/>
    <n v="37.08"/>
    <n v="2.548"/>
    <n v="214.80565340000001"/>
    <n v="6.415"/>
  </r>
  <r>
    <x v="8"/>
    <d v="2010-05-03T00:00:00"/>
    <x v="0"/>
    <x v="0"/>
    <x v="458"/>
    <x v="0"/>
    <n v="48.43"/>
    <n v="2.625"/>
    <n v="214.9054721"/>
    <n v="6.415"/>
  </r>
  <r>
    <x v="8"/>
    <d v="2010-12-03T00:00:00"/>
    <x v="1"/>
    <x v="0"/>
    <x v="459"/>
    <x v="0"/>
    <n v="55.76"/>
    <n v="2.6669999999999998"/>
    <n v="214.93289899999999"/>
    <n v="6.415"/>
  </r>
  <r>
    <x v="8"/>
    <d v="2010-02-04T00:00:00"/>
    <x v="2"/>
    <x v="0"/>
    <x v="460"/>
    <x v="0"/>
    <n v="65.209999999999994"/>
    <n v="2.7189999999999999"/>
    <n v="214.3465181"/>
    <n v="6.3840000000000003"/>
  </r>
  <r>
    <x v="8"/>
    <d v="2010-09-04T00:00:00"/>
    <x v="3"/>
    <x v="0"/>
    <x v="461"/>
    <x v="0"/>
    <n v="64.95"/>
    <n v="2.77"/>
    <n v="214.13991350000001"/>
    <n v="6.3840000000000003"/>
  </r>
  <r>
    <x v="8"/>
    <d v="2010-07-05T00:00:00"/>
    <x v="4"/>
    <x v="0"/>
    <x v="462"/>
    <x v="0"/>
    <n v="68.58"/>
    <n v="2.835"/>
    <n v="213.848478"/>
    <n v="6.3840000000000003"/>
  </r>
  <r>
    <x v="8"/>
    <d v="2010-04-06T00:00:00"/>
    <x v="5"/>
    <x v="0"/>
    <x v="463"/>
    <x v="0"/>
    <n v="79.650000000000006"/>
    <n v="2.7050000000000001"/>
    <n v="214.72578480000001"/>
    <n v="6.3840000000000003"/>
  </r>
  <r>
    <x v="8"/>
    <d v="2010-11-06T00:00:00"/>
    <x v="6"/>
    <x v="0"/>
    <x v="464"/>
    <x v="0"/>
    <n v="83.75"/>
    <n v="2.6680000000000001"/>
    <n v="215.0187191"/>
    <n v="6.3840000000000003"/>
  </r>
  <r>
    <x v="8"/>
    <d v="2010-02-07T00:00:00"/>
    <x v="2"/>
    <x v="0"/>
    <x v="465"/>
    <x v="0"/>
    <n v="78.55"/>
    <n v="2.669"/>
    <n v="214.7765028"/>
    <n v="6.4420000000000002"/>
  </r>
  <r>
    <x v="8"/>
    <d v="2010-09-07T00:00:00"/>
    <x v="3"/>
    <x v="0"/>
    <x v="466"/>
    <x v="0"/>
    <n v="78.510000000000005"/>
    <n v="2.6419999999999999"/>
    <n v="214.65643009999999"/>
    <n v="6.4420000000000002"/>
  </r>
  <r>
    <x v="8"/>
    <d v="2010-06-08T00:00:00"/>
    <x v="7"/>
    <x v="0"/>
    <x v="467"/>
    <x v="0"/>
    <n v="87.09"/>
    <n v="2.6269999999999998"/>
    <n v="215.064843"/>
    <n v="6.4420000000000002"/>
  </r>
  <r>
    <x v="8"/>
    <d v="2010-03-09T00:00:00"/>
    <x v="8"/>
    <x v="0"/>
    <x v="468"/>
    <x v="0"/>
    <n v="82.47"/>
    <n v="2.577"/>
    <n v="215.0779426"/>
    <n v="6.4420000000000002"/>
  </r>
  <r>
    <x v="8"/>
    <d v="2010-10-09T00:00:00"/>
    <x v="9"/>
    <x v="0"/>
    <x v="469"/>
    <x v="1"/>
    <n v="77.7"/>
    <n v="2.5649999999999999"/>
    <n v="215.0359315"/>
    <n v="6.4420000000000002"/>
  </r>
  <r>
    <x v="8"/>
    <d v="2010-01-10T00:00:00"/>
    <x v="10"/>
    <x v="0"/>
    <x v="470"/>
    <x v="0"/>
    <n v="69.08"/>
    <n v="2.6030000000000002"/>
    <n v="215.2141341"/>
    <n v="6.56"/>
  </r>
  <r>
    <x v="8"/>
    <d v="2010-08-10T00:00:00"/>
    <x v="11"/>
    <x v="0"/>
    <x v="471"/>
    <x v="0"/>
    <n v="65.349999999999994"/>
    <n v="2.633"/>
    <n v="215.290437"/>
    <n v="6.56"/>
  </r>
  <r>
    <x v="8"/>
    <d v="2010-05-11T00:00:00"/>
    <x v="0"/>
    <x v="0"/>
    <x v="472"/>
    <x v="0"/>
    <n v="58.69"/>
    <n v="2.6890000000000001"/>
    <n v="215.50654520000001"/>
    <n v="6.56"/>
  </r>
  <r>
    <x v="8"/>
    <d v="2010-12-11T00:00:00"/>
    <x v="1"/>
    <x v="0"/>
    <x v="473"/>
    <x v="0"/>
    <n v="61.59"/>
    <n v="2.7280000000000002"/>
    <n v="215.5557297"/>
    <n v="6.56"/>
  </r>
  <r>
    <x v="8"/>
    <d v="2010-03-12T00:00:00"/>
    <x v="8"/>
    <x v="0"/>
    <x v="474"/>
    <x v="0"/>
    <n v="49.89"/>
    <n v="2.7080000000000002"/>
    <n v="215.14452030000001"/>
    <n v="6.56"/>
  </r>
  <r>
    <x v="8"/>
    <d v="2010-10-12T00:00:00"/>
    <x v="9"/>
    <x v="0"/>
    <x v="475"/>
    <x v="0"/>
    <n v="46.1"/>
    <n v="2.843"/>
    <n v="214.99813779999999"/>
    <n v="6.56"/>
  </r>
  <r>
    <x v="8"/>
    <d v="2011-07-01T00:00:00"/>
    <x v="4"/>
    <x v="1"/>
    <x v="476"/>
    <x v="0"/>
    <n v="41.82"/>
    <n v="2.976"/>
    <n v="214.92347290000001"/>
    <n v="6.4160000000000004"/>
  </r>
  <r>
    <x v="8"/>
    <d v="2011-04-02T00:00:00"/>
    <x v="5"/>
    <x v="1"/>
    <x v="477"/>
    <x v="0"/>
    <n v="31.82"/>
    <n v="2.9889999999999999"/>
    <n v="216.11628640000001"/>
    <n v="6.4160000000000004"/>
  </r>
  <r>
    <x v="8"/>
    <d v="2011-11-02T00:00:00"/>
    <x v="6"/>
    <x v="1"/>
    <x v="478"/>
    <x v="1"/>
    <n v="34.130000000000003"/>
    <n v="3.0219999999999998"/>
    <n v="216.49672899999999"/>
    <n v="6.4160000000000004"/>
  </r>
  <r>
    <x v="8"/>
    <d v="2011-04-03T00:00:00"/>
    <x v="5"/>
    <x v="1"/>
    <x v="479"/>
    <x v="0"/>
    <n v="60.67"/>
    <n v="3.2879999999999998"/>
    <n v="217.40365030000001"/>
    <n v="6.4160000000000004"/>
  </r>
  <r>
    <x v="8"/>
    <d v="2011-11-03T00:00:00"/>
    <x v="6"/>
    <x v="1"/>
    <x v="480"/>
    <x v="0"/>
    <n v="54.75"/>
    <n v="3.4590000000000001"/>
    <n v="217.69773259999999"/>
    <n v="6.4160000000000004"/>
  </r>
  <r>
    <x v="8"/>
    <d v="2011-01-04T00:00:00"/>
    <x v="10"/>
    <x v="1"/>
    <x v="481"/>
    <x v="0"/>
    <n v="56.12"/>
    <n v="3.524"/>
    <n v="218.44516400000001"/>
    <n v="6.38"/>
  </r>
  <r>
    <x v="8"/>
    <d v="2011-08-04T00:00:00"/>
    <x v="11"/>
    <x v="1"/>
    <x v="482"/>
    <x v="0"/>
    <n v="71.400000000000006"/>
    <n v="3.6219999999999999"/>
    <n v="218.68957750000001"/>
    <n v="6.38"/>
  </r>
  <r>
    <x v="8"/>
    <d v="2011-06-05T00:00:00"/>
    <x v="7"/>
    <x v="1"/>
    <x v="483"/>
    <x v="0"/>
    <n v="62.2"/>
    <n v="3.9060000000000001"/>
    <n v="219.4315106"/>
    <n v="6.38"/>
  </r>
  <r>
    <x v="8"/>
    <d v="2011-03-06T00:00:00"/>
    <x v="8"/>
    <x v="1"/>
    <x v="484"/>
    <x v="0"/>
    <n v="85.8"/>
    <n v="3.6989999999999998"/>
    <n v="218.87847679999999"/>
    <n v="6.38"/>
  </r>
  <r>
    <x v="8"/>
    <d v="2011-10-06T00:00:00"/>
    <x v="9"/>
    <x v="1"/>
    <x v="485"/>
    <x v="0"/>
    <n v="85.81"/>
    <n v="3.6480000000000001"/>
    <n v="218.63657470000001"/>
    <n v="6.38"/>
  </r>
  <r>
    <x v="8"/>
    <d v="2011-01-07T00:00:00"/>
    <x v="10"/>
    <x v="1"/>
    <x v="486"/>
    <x v="0"/>
    <n v="89.14"/>
    <n v="3.524"/>
    <n v="218.7796415"/>
    <n v="6.4039999999999999"/>
  </r>
  <r>
    <x v="8"/>
    <d v="2011-08-07T00:00:00"/>
    <x v="11"/>
    <x v="1"/>
    <x v="487"/>
    <x v="0"/>
    <n v="89.04"/>
    <n v="3.48"/>
    <n v="218.8755955"/>
    <n v="6.4039999999999999"/>
  </r>
  <r>
    <x v="8"/>
    <d v="2011-05-08T00:00:00"/>
    <x v="0"/>
    <x v="1"/>
    <x v="488"/>
    <x v="0"/>
    <n v="91.52"/>
    <n v="3.6840000000000002"/>
    <n v="219.13492009999999"/>
    <n v="6.4039999999999999"/>
  </r>
  <r>
    <x v="8"/>
    <d v="2011-12-08T00:00:00"/>
    <x v="1"/>
    <x v="1"/>
    <x v="489"/>
    <x v="0"/>
    <n v="91.63"/>
    <n v="3.6379999999999999"/>
    <n v="219.1929854"/>
    <n v="6.4039999999999999"/>
  </r>
  <r>
    <x v="8"/>
    <d v="2011-02-09T00:00:00"/>
    <x v="2"/>
    <x v="1"/>
    <x v="490"/>
    <x v="0"/>
    <n v="89.33"/>
    <n v="3.5329999999999999"/>
    <n v="219.38238200000001"/>
    <n v="6.4039999999999999"/>
  </r>
  <r>
    <x v="8"/>
    <d v="2011-09-09T00:00:00"/>
    <x v="3"/>
    <x v="1"/>
    <x v="491"/>
    <x v="1"/>
    <n v="75.650000000000006"/>
    <n v="3.5459999999999998"/>
    <n v="219.44576749999999"/>
    <n v="6.4039999999999999"/>
  </r>
  <r>
    <x v="8"/>
    <d v="2011-07-10T00:00:00"/>
    <x v="4"/>
    <x v="1"/>
    <x v="492"/>
    <x v="0"/>
    <n v="72.62"/>
    <n v="3.2850000000000001"/>
    <n v="220.66435849999999"/>
    <n v="6.0540000000000003"/>
  </r>
  <r>
    <x v="8"/>
    <d v="2011-04-11T00:00:00"/>
    <x v="5"/>
    <x v="1"/>
    <x v="493"/>
    <x v="0"/>
    <n v="54.46"/>
    <n v="3.3319999999999999"/>
    <n v="221.48209209999999"/>
    <n v="6.0540000000000003"/>
  </r>
  <r>
    <x v="8"/>
    <d v="2011-11-11T00:00:00"/>
    <x v="6"/>
    <x v="1"/>
    <x v="494"/>
    <x v="0"/>
    <n v="58.28"/>
    <n v="3.2970000000000002"/>
    <n v="221.6482278"/>
    <n v="6.0540000000000003"/>
  </r>
  <r>
    <x v="8"/>
    <d v="2011-02-12T00:00:00"/>
    <x v="2"/>
    <x v="1"/>
    <x v="495"/>
    <x v="0"/>
    <n v="46.84"/>
    <n v="3.1720000000000002"/>
    <n v="222.39754429999999"/>
    <n v="6.0540000000000003"/>
  </r>
  <r>
    <x v="8"/>
    <d v="2011-09-12T00:00:00"/>
    <x v="3"/>
    <x v="1"/>
    <x v="496"/>
    <x v="0"/>
    <n v="37.65"/>
    <n v="3.1579999999999999"/>
    <n v="222.6561203"/>
    <n v="6.0540000000000003"/>
  </r>
  <r>
    <x v="8"/>
    <d v="2012-06-01T00:00:00"/>
    <x v="7"/>
    <x v="2"/>
    <x v="497"/>
    <x v="0"/>
    <n v="47.54"/>
    <n v="3.157"/>
    <n v="223.43324079999999"/>
    <n v="5.6669999999999998"/>
  </r>
  <r>
    <x v="8"/>
    <d v="2012-03-02T00:00:00"/>
    <x v="8"/>
    <x v="2"/>
    <x v="498"/>
    <x v="0"/>
    <n v="54.43"/>
    <n v="3.36"/>
    <n v="223.9006766"/>
    <n v="5.6669999999999998"/>
  </r>
  <r>
    <x v="8"/>
    <d v="2012-10-02T00:00:00"/>
    <x v="9"/>
    <x v="2"/>
    <x v="499"/>
    <x v="1"/>
    <n v="44.03"/>
    <n v="3.4089999999999998"/>
    <n v="223.99530060000001"/>
    <n v="5.6669999999999998"/>
  </r>
  <r>
    <x v="8"/>
    <d v="2012-02-03T00:00:00"/>
    <x v="2"/>
    <x v="2"/>
    <x v="500"/>
    <x v="0"/>
    <n v="57.2"/>
    <n v="3.63"/>
    <n v="224.58941039999999"/>
    <n v="5.6669999999999998"/>
  </r>
  <r>
    <x v="8"/>
    <d v="2012-09-03T00:00:00"/>
    <x v="3"/>
    <x v="2"/>
    <x v="501"/>
    <x v="0"/>
    <n v="54.03"/>
    <n v="3.669"/>
    <n v="224.80468250000001"/>
    <n v="5.6669999999999998"/>
  </r>
  <r>
    <x v="8"/>
    <d v="2012-06-04T00:00:00"/>
    <x v="7"/>
    <x v="2"/>
    <x v="502"/>
    <x v="0"/>
    <n v="68.83"/>
    <n v="3.891"/>
    <n v="225.18205549999999"/>
    <n v="5.5389999999999997"/>
  </r>
  <r>
    <x v="8"/>
    <d v="2012-04-05T00:00:00"/>
    <x v="5"/>
    <x v="2"/>
    <x v="503"/>
    <x v="0"/>
    <n v="78.98"/>
    <n v="3.7490000000000001"/>
    <n v="225.42275849999999"/>
    <n v="5.5389999999999997"/>
  </r>
  <r>
    <x v="8"/>
    <d v="2012-11-05T00:00:00"/>
    <x v="6"/>
    <x v="2"/>
    <x v="504"/>
    <x v="0"/>
    <n v="70.94"/>
    <n v="3.6880000000000002"/>
    <n v="225.4782634"/>
    <n v="5.5389999999999997"/>
  </r>
  <r>
    <x v="8"/>
    <d v="2012-01-06T00:00:00"/>
    <x v="10"/>
    <x v="2"/>
    <x v="505"/>
    <x v="0"/>
    <n v="80.260000000000005"/>
    <n v="3.5009999999999999"/>
    <n v="225.49460780000001"/>
    <n v="5.5389999999999997"/>
  </r>
  <r>
    <x v="8"/>
    <d v="2012-08-06T00:00:00"/>
    <x v="11"/>
    <x v="2"/>
    <x v="506"/>
    <x v="0"/>
    <n v="78.91"/>
    <n v="3.452"/>
    <n v="225.49478680000001"/>
    <n v="5.5389999999999997"/>
  </r>
  <r>
    <x v="8"/>
    <d v="2012-06-07T00:00:00"/>
    <x v="7"/>
    <x v="2"/>
    <x v="507"/>
    <x v="0"/>
    <n v="84.15"/>
    <n v="3.2269999999999999"/>
    <n v="225.63462559999999"/>
    <n v="5.2770000000000001"/>
  </r>
  <r>
    <x v="8"/>
    <d v="2012-03-08T00:00:00"/>
    <x v="8"/>
    <x v="2"/>
    <x v="508"/>
    <x v="0"/>
    <n v="90.23"/>
    <n v="3.4169999999999998"/>
    <n v="225.70704370000001"/>
    <n v="5.2770000000000001"/>
  </r>
  <r>
    <x v="8"/>
    <d v="2012-10-08T00:00:00"/>
    <x v="9"/>
    <x v="2"/>
    <x v="509"/>
    <x v="0"/>
    <n v="88.66"/>
    <n v="3.4940000000000002"/>
    <n v="225.71700939999999"/>
    <n v="5.2770000000000001"/>
  </r>
  <r>
    <x v="8"/>
    <d v="2012-07-09T00:00:00"/>
    <x v="4"/>
    <x v="2"/>
    <x v="510"/>
    <x v="1"/>
    <n v="87.93"/>
    <n v="3.73"/>
    <n v="226.21035409999999"/>
    <n v="5.2770000000000001"/>
  </r>
  <r>
    <x v="8"/>
    <d v="2012-05-10T00:00:00"/>
    <x v="0"/>
    <x v="2"/>
    <x v="511"/>
    <x v="0"/>
    <n v="66.61"/>
    <n v="3.617"/>
    <n v="226.96623249999999"/>
    <n v="4.9539999999999997"/>
  </r>
  <r>
    <x v="8"/>
    <d v="2012-12-10T00:00:00"/>
    <x v="1"/>
    <x v="2"/>
    <x v="512"/>
    <x v="0"/>
    <n v="60.09"/>
    <n v="3.601"/>
    <n v="227.16939189999999"/>
    <n v="4.9539999999999997"/>
  </r>
  <r>
    <x v="9"/>
    <d v="2010-05-02T00:00:00"/>
    <x v="0"/>
    <x v="0"/>
    <x v="513"/>
    <x v="0"/>
    <n v="54.34"/>
    <n v="2.9620000000000002"/>
    <n v="126.4420645"/>
    <n v="9.7650000000000006"/>
  </r>
  <r>
    <x v="9"/>
    <d v="2010-12-02T00:00:00"/>
    <x v="1"/>
    <x v="0"/>
    <x v="514"/>
    <x v="1"/>
    <n v="49.96"/>
    <n v="2.8279999999999998"/>
    <n v="126.49625810000001"/>
    <n v="9.7650000000000006"/>
  </r>
  <r>
    <x v="9"/>
    <d v="2010-05-03T00:00:00"/>
    <x v="0"/>
    <x v="0"/>
    <x v="515"/>
    <x v="0"/>
    <n v="55.92"/>
    <n v="2.8769999999999998"/>
    <n v="126.5782857"/>
    <n v="9.7650000000000006"/>
  </r>
  <r>
    <x v="9"/>
    <d v="2010-12-03T00:00:00"/>
    <x v="1"/>
    <x v="0"/>
    <x v="516"/>
    <x v="0"/>
    <n v="52.33"/>
    <n v="3.0339999999999998"/>
    <n v="126.60428570000001"/>
    <n v="9.7650000000000006"/>
  </r>
  <r>
    <x v="9"/>
    <d v="2010-02-04T00:00:00"/>
    <x v="2"/>
    <x v="0"/>
    <x v="517"/>
    <x v="0"/>
    <n v="63.66"/>
    <n v="3.0859999999999999"/>
    <n v="126.6034839"/>
    <n v="9.5239999999999991"/>
  </r>
  <r>
    <x v="9"/>
    <d v="2010-09-04T00:00:00"/>
    <x v="3"/>
    <x v="0"/>
    <x v="518"/>
    <x v="0"/>
    <n v="65.290000000000006"/>
    <n v="3.004"/>
    <n v="126.6019032"/>
    <n v="9.5239999999999991"/>
  </r>
  <r>
    <x v="9"/>
    <d v="2010-07-05T00:00:00"/>
    <x v="4"/>
    <x v="0"/>
    <x v="519"/>
    <x v="0"/>
    <n v="71.06"/>
    <n v="3.1269999999999998"/>
    <n v="126.2898"/>
    <n v="9.5239999999999991"/>
  </r>
  <r>
    <x v="9"/>
    <d v="2010-04-06T00:00:00"/>
    <x v="5"/>
    <x v="0"/>
    <x v="520"/>
    <x v="0"/>
    <n v="82.82"/>
    <n v="2.9409999999999998"/>
    <n v="126.1360645"/>
    <n v="9.5239999999999991"/>
  </r>
  <r>
    <x v="9"/>
    <d v="2010-11-06T00:00:00"/>
    <x v="6"/>
    <x v="0"/>
    <x v="521"/>
    <x v="0"/>
    <n v="89.67"/>
    <n v="3.0569999999999999"/>
    <n v="126.1119032"/>
    <n v="9.5239999999999991"/>
  </r>
  <r>
    <x v="9"/>
    <d v="2010-02-07T00:00:00"/>
    <x v="2"/>
    <x v="0"/>
    <x v="522"/>
    <x v="0"/>
    <n v="92.89"/>
    <n v="2.9780000000000002"/>
    <n v="126.1392"/>
    <n v="9.1989999999999998"/>
  </r>
  <r>
    <x v="9"/>
    <d v="2010-09-07T00:00:00"/>
    <x v="3"/>
    <x v="0"/>
    <x v="523"/>
    <x v="0"/>
    <n v="91.03"/>
    <n v="3.1"/>
    <n v="126.15179999999999"/>
    <n v="9.1989999999999998"/>
  </r>
  <r>
    <x v="9"/>
    <d v="2010-06-08T00:00:00"/>
    <x v="7"/>
    <x v="0"/>
    <x v="524"/>
    <x v="0"/>
    <n v="86.13"/>
    <n v="3.1230000000000002"/>
    <n v="126.0854516"/>
    <n v="9.1989999999999998"/>
  </r>
  <r>
    <x v="9"/>
    <d v="2010-03-09T00:00:00"/>
    <x v="8"/>
    <x v="0"/>
    <x v="525"/>
    <x v="0"/>
    <n v="83.8"/>
    <n v="3.0870000000000002"/>
    <n v="126.1019355"/>
    <n v="9.1989999999999998"/>
  </r>
  <r>
    <x v="9"/>
    <d v="2010-10-09T00:00:00"/>
    <x v="9"/>
    <x v="0"/>
    <x v="526"/>
    <x v="1"/>
    <n v="84.04"/>
    <n v="2.9609999999999999"/>
    <n v="126.1145806"/>
    <n v="9.1989999999999998"/>
  </r>
  <r>
    <x v="9"/>
    <d v="2010-01-10T00:00:00"/>
    <x v="10"/>
    <x v="0"/>
    <x v="527"/>
    <x v="0"/>
    <n v="86.01"/>
    <n v="3.0009999999999999"/>
    <n v="126.2346"/>
    <n v="9.0030000000000001"/>
  </r>
  <r>
    <x v="9"/>
    <d v="2010-08-10T00:00:00"/>
    <x v="11"/>
    <x v="0"/>
    <x v="528"/>
    <x v="0"/>
    <n v="77.040000000000006"/>
    <n v="2.9239999999999999"/>
    <n v="126.2791667"/>
    <n v="9.0030000000000001"/>
  </r>
  <r>
    <x v="9"/>
    <d v="2010-05-11T00:00:00"/>
    <x v="0"/>
    <x v="0"/>
    <x v="529"/>
    <x v="0"/>
    <n v="71.040000000000006"/>
    <n v="3.0089999999999999"/>
    <n v="126.4912903"/>
    <n v="9.0030000000000001"/>
  </r>
  <r>
    <x v="9"/>
    <d v="2010-12-11T00:00:00"/>
    <x v="1"/>
    <x v="0"/>
    <x v="530"/>
    <x v="0"/>
    <n v="61.24"/>
    <n v="3.13"/>
    <n v="126.54616129999999"/>
    <n v="9.0030000000000001"/>
  </r>
  <r>
    <x v="9"/>
    <d v="2010-03-12T00:00:00"/>
    <x v="8"/>
    <x v="0"/>
    <x v="531"/>
    <x v="0"/>
    <n v="51.17"/>
    <n v="3.0409999999999999"/>
    <n v="126.7313333"/>
    <n v="9.0030000000000001"/>
  </r>
  <r>
    <x v="9"/>
    <d v="2010-10-12T00:00:00"/>
    <x v="9"/>
    <x v="0"/>
    <x v="532"/>
    <x v="0"/>
    <n v="60.51"/>
    <n v="3.0910000000000002"/>
    <n v="126.79340000000001"/>
    <n v="9.0030000000000001"/>
  </r>
  <r>
    <x v="9"/>
    <d v="2011-07-01T00:00:00"/>
    <x v="4"/>
    <x v="1"/>
    <x v="533"/>
    <x v="0"/>
    <n v="43.43"/>
    <n v="3.2869999999999999"/>
    <n v="127.1917742"/>
    <n v="8.7439999999999998"/>
  </r>
  <r>
    <x v="9"/>
    <d v="2011-04-02T00:00:00"/>
    <x v="5"/>
    <x v="1"/>
    <x v="534"/>
    <x v="0"/>
    <n v="44.88"/>
    <n v="3.3479999999999999"/>
    <n v="127.7195806"/>
    <n v="8.7439999999999998"/>
  </r>
  <r>
    <x v="9"/>
    <d v="2011-11-02T00:00:00"/>
    <x v="6"/>
    <x v="1"/>
    <x v="535"/>
    <x v="1"/>
    <n v="51.51"/>
    <n v="3.3809999999999998"/>
    <n v="127.859129"/>
    <n v="8.7439999999999998"/>
  </r>
  <r>
    <x v="9"/>
    <d v="2011-04-03T00:00:00"/>
    <x v="5"/>
    <x v="1"/>
    <x v="536"/>
    <x v="0"/>
    <n v="56.96"/>
    <n v="3.6739999999999999"/>
    <n v="128.26474999999999"/>
    <n v="8.7439999999999998"/>
  </r>
  <r>
    <x v="9"/>
    <d v="2011-11-03T00:00:00"/>
    <x v="6"/>
    <x v="1"/>
    <x v="537"/>
    <x v="0"/>
    <n v="64.22"/>
    <n v="3.63"/>
    <n v="128.39949999999999"/>
    <n v="8.7439999999999998"/>
  </r>
  <r>
    <x v="9"/>
    <d v="2011-01-04T00:00:00"/>
    <x v="10"/>
    <x v="1"/>
    <x v="538"/>
    <x v="0"/>
    <n v="67.64"/>
    <n v="3.7719999999999998"/>
    <n v="128.71993549999999"/>
    <n v="8.4939999999999998"/>
  </r>
  <r>
    <x v="9"/>
    <d v="2011-08-04T00:00:00"/>
    <x v="11"/>
    <x v="1"/>
    <x v="539"/>
    <x v="0"/>
    <n v="73.03"/>
    <n v="3.8180000000000001"/>
    <n v="128.82380649999999"/>
    <n v="8.4939999999999998"/>
  </r>
  <r>
    <x v="9"/>
    <d v="2011-06-05T00:00:00"/>
    <x v="7"/>
    <x v="1"/>
    <x v="540"/>
    <x v="0"/>
    <n v="73.56"/>
    <n v="4.1929999999999996"/>
    <n v="129.04443330000001"/>
    <n v="8.4939999999999998"/>
  </r>
  <r>
    <x v="9"/>
    <d v="2011-03-06T00:00:00"/>
    <x v="8"/>
    <x v="1"/>
    <x v="541"/>
    <x v="0"/>
    <n v="81.87"/>
    <n v="3.8929999999999998"/>
    <n v="129.04903229999999"/>
    <n v="8.4939999999999998"/>
  </r>
  <r>
    <x v="9"/>
    <d v="2011-10-06T00:00:00"/>
    <x v="9"/>
    <x v="1"/>
    <x v="542"/>
    <x v="0"/>
    <n v="84.57"/>
    <n v="3.9809999999999999"/>
    <n v="129.03570970000001"/>
    <n v="8.4939999999999998"/>
  </r>
  <r>
    <x v="9"/>
    <d v="2011-01-07T00:00:00"/>
    <x v="10"/>
    <x v="1"/>
    <x v="543"/>
    <x v="0"/>
    <n v="95.36"/>
    <n v="3.8420000000000001"/>
    <n v="129.08940000000001"/>
    <n v="8.2569999999999997"/>
  </r>
  <r>
    <x v="9"/>
    <d v="2011-08-07T00:00:00"/>
    <x v="11"/>
    <x v="1"/>
    <x v="544"/>
    <x v="0"/>
    <n v="88.57"/>
    <n v="3.7930000000000001"/>
    <n v="129.11250000000001"/>
    <n v="8.2569999999999997"/>
  </r>
  <r>
    <x v="9"/>
    <d v="2011-05-08T00:00:00"/>
    <x v="0"/>
    <x v="1"/>
    <x v="545"/>
    <x v="0"/>
    <n v="89.8"/>
    <n v="3.8029999999999999"/>
    <n v="129.18464520000001"/>
    <n v="8.2569999999999997"/>
  </r>
  <r>
    <x v="9"/>
    <d v="2011-12-08T00:00:00"/>
    <x v="1"/>
    <x v="1"/>
    <x v="546"/>
    <x v="0"/>
    <n v="85.61"/>
    <n v="3.794"/>
    <n v="129.2015806"/>
    <n v="8.2569999999999997"/>
  </r>
  <r>
    <x v="9"/>
    <d v="2011-02-09T00:00:00"/>
    <x v="2"/>
    <x v="1"/>
    <x v="547"/>
    <x v="0"/>
    <n v="91.61"/>
    <n v="3.798"/>
    <n v="129.32593550000001"/>
    <n v="8.2569999999999997"/>
  </r>
  <r>
    <x v="9"/>
    <d v="2011-09-09T00:00:00"/>
    <x v="3"/>
    <x v="1"/>
    <x v="548"/>
    <x v="1"/>
    <n v="89.06"/>
    <n v="3.7709999999999999"/>
    <n v="129.36861289999999"/>
    <n v="8.2569999999999997"/>
  </r>
  <r>
    <x v="9"/>
    <d v="2011-07-10T00:00:00"/>
    <x v="4"/>
    <x v="1"/>
    <x v="549"/>
    <x v="0"/>
    <n v="75.010000000000005"/>
    <n v="3.827"/>
    <n v="129.69380000000001"/>
    <n v="7.8739999999999997"/>
  </r>
  <r>
    <x v="9"/>
    <d v="2011-04-11T00:00:00"/>
    <x v="5"/>
    <x v="1"/>
    <x v="550"/>
    <x v="0"/>
    <n v="68.569999999999993"/>
    <n v="3.8279999999999998"/>
    <n v="129.8051935"/>
    <n v="7.8739999999999997"/>
  </r>
  <r>
    <x v="9"/>
    <d v="2011-11-11T00:00:00"/>
    <x v="6"/>
    <x v="1"/>
    <x v="551"/>
    <x v="0"/>
    <n v="55.28"/>
    <n v="3.677"/>
    <n v="129.81670969999999"/>
    <n v="7.8739999999999997"/>
  </r>
  <r>
    <x v="9"/>
    <d v="2011-02-12T00:00:00"/>
    <x v="2"/>
    <x v="1"/>
    <x v="552"/>
    <x v="0"/>
    <n v="57.29"/>
    <n v="3.7010000000000001"/>
    <n v="129.84596669999999"/>
    <n v="7.8739999999999997"/>
  </r>
  <r>
    <x v="9"/>
    <d v="2011-09-12T00:00:00"/>
    <x v="3"/>
    <x v="1"/>
    <x v="553"/>
    <x v="0"/>
    <n v="42.58"/>
    <n v="3.6440000000000001"/>
    <n v="129.85553329999999"/>
    <n v="7.8739999999999997"/>
  </r>
  <r>
    <x v="9"/>
    <d v="2012-06-01T00:00:00"/>
    <x v="7"/>
    <x v="2"/>
    <x v="554"/>
    <x v="0"/>
    <n v="59.85"/>
    <n v="3.4430000000000001"/>
    <n v="130.15751610000001"/>
    <n v="7.5449999999999999"/>
  </r>
  <r>
    <x v="9"/>
    <d v="2012-03-02T00:00:00"/>
    <x v="8"/>
    <x v="2"/>
    <x v="555"/>
    <x v="0"/>
    <n v="56.85"/>
    <n v="3.5430000000000001"/>
    <n v="130.34967739999999"/>
    <n v="7.5449999999999999"/>
  </r>
  <r>
    <x v="9"/>
    <d v="2012-10-02T00:00:00"/>
    <x v="9"/>
    <x v="2"/>
    <x v="556"/>
    <x v="1"/>
    <n v="55.73"/>
    <n v="3.722"/>
    <n v="130.3849032"/>
    <n v="7.5449999999999999"/>
  </r>
  <r>
    <x v="9"/>
    <d v="2012-02-03T00:00:00"/>
    <x v="2"/>
    <x v="2"/>
    <x v="557"/>
    <x v="0"/>
    <n v="57.62"/>
    <n v="3.8820000000000001"/>
    <n v="130.64579309999999"/>
    <n v="7.5449999999999999"/>
  </r>
  <r>
    <x v="9"/>
    <d v="2012-09-03T00:00:00"/>
    <x v="3"/>
    <x v="2"/>
    <x v="558"/>
    <x v="0"/>
    <n v="57.65"/>
    <n v="3.9630000000000001"/>
    <n v="130.74137930000001"/>
    <n v="7.5449999999999999"/>
  </r>
  <r>
    <x v="9"/>
    <d v="2012-06-04T00:00:00"/>
    <x v="7"/>
    <x v="2"/>
    <x v="559"/>
    <x v="0"/>
    <n v="65.989999999999995"/>
    <n v="4.282"/>
    <n v="131.03754839999999"/>
    <n v="7.3819999999999997"/>
  </r>
  <r>
    <x v="9"/>
    <d v="2012-04-05T00:00:00"/>
    <x v="5"/>
    <x v="2"/>
    <x v="560"/>
    <x v="0"/>
    <n v="77.02"/>
    <n v="4.0579999999999998"/>
    <n v="131.136"/>
    <n v="7.3819999999999997"/>
  </r>
  <r>
    <x v="9"/>
    <d v="2012-11-05T00:00:00"/>
    <x v="6"/>
    <x v="2"/>
    <x v="561"/>
    <x v="0"/>
    <n v="76.03"/>
    <n v="4.1859999999999999"/>
    <n v="131.1453333"/>
    <n v="7.3819999999999997"/>
  </r>
  <r>
    <x v="9"/>
    <d v="2012-01-06T00:00:00"/>
    <x v="10"/>
    <x v="2"/>
    <x v="562"/>
    <x v="0"/>
    <n v="80.06"/>
    <n v="4.2770000000000001"/>
    <n v="130.95922580000001"/>
    <n v="7.3819999999999997"/>
  </r>
  <r>
    <x v="9"/>
    <d v="2012-08-06T00:00:00"/>
    <x v="11"/>
    <x v="2"/>
    <x v="563"/>
    <x v="0"/>
    <n v="86.87"/>
    <n v="4.1029999999999998"/>
    <n v="130.88967740000001"/>
    <n v="7.3819999999999997"/>
  </r>
  <r>
    <x v="9"/>
    <d v="2012-06-07T00:00:00"/>
    <x v="7"/>
    <x v="2"/>
    <x v="564"/>
    <x v="0"/>
    <n v="86.87"/>
    <n v="3.6659999999999999"/>
    <n v="130.7196333"/>
    <n v="7.17"/>
  </r>
  <r>
    <x v="9"/>
    <d v="2012-03-08T00:00:00"/>
    <x v="8"/>
    <x v="2"/>
    <x v="565"/>
    <x v="0"/>
    <n v="84.76"/>
    <n v="3.5950000000000002"/>
    <n v="130.73787100000001"/>
    <n v="7.17"/>
  </r>
  <r>
    <x v="9"/>
    <d v="2012-10-08T00:00:00"/>
    <x v="9"/>
    <x v="2"/>
    <x v="566"/>
    <x v="0"/>
    <n v="90.78"/>
    <n v="3.8109999999999999"/>
    <n v="130.7561613"/>
    <n v="7.17"/>
  </r>
  <r>
    <x v="9"/>
    <d v="2012-07-09T00:00:00"/>
    <x v="4"/>
    <x v="2"/>
    <x v="567"/>
    <x v="1"/>
    <n v="83.07"/>
    <n v="4.1239999999999997"/>
    <n v="130.9325484"/>
    <n v="7.17"/>
  </r>
  <r>
    <x v="9"/>
    <d v="2012-05-10T00:00:00"/>
    <x v="0"/>
    <x v="2"/>
    <x v="568"/>
    <x v="0"/>
    <n v="80.88"/>
    <n v="4.1319999999999997"/>
    <n v="131.0756667"/>
    <n v="6.9429999999999996"/>
  </r>
  <r>
    <x v="9"/>
    <d v="2012-12-10T00:00:00"/>
    <x v="1"/>
    <x v="2"/>
    <x v="569"/>
    <x v="0"/>
    <n v="76.03"/>
    <n v="4.468"/>
    <n v="131.1083333"/>
    <n v="6.9429999999999996"/>
  </r>
  <r>
    <x v="10"/>
    <d v="2010-05-02T00:00:00"/>
    <x v="0"/>
    <x v="0"/>
    <x v="570"/>
    <x v="0"/>
    <n v="46.04"/>
    <n v="2.5720000000000001"/>
    <n v="214.42488119999999"/>
    <n v="7.3680000000000003"/>
  </r>
  <r>
    <x v="10"/>
    <d v="2010-12-02T00:00:00"/>
    <x v="1"/>
    <x v="0"/>
    <x v="571"/>
    <x v="1"/>
    <n v="48.01"/>
    <n v="2.548"/>
    <n v="214.5747916"/>
    <n v="7.3680000000000003"/>
  </r>
  <r>
    <x v="10"/>
    <d v="2010-05-03T00:00:00"/>
    <x v="0"/>
    <x v="0"/>
    <x v="572"/>
    <x v="0"/>
    <n v="53.96"/>
    <n v="2.625"/>
    <n v="214.6751386"/>
    <n v="7.3680000000000003"/>
  </r>
  <r>
    <x v="10"/>
    <d v="2010-12-03T00:00:00"/>
    <x v="1"/>
    <x v="0"/>
    <x v="573"/>
    <x v="0"/>
    <n v="64.099999999999994"/>
    <n v="2.6669999999999998"/>
    <n v="214.70276459999999"/>
    <n v="7.3680000000000003"/>
  </r>
  <r>
    <x v="10"/>
    <d v="2010-02-04T00:00:00"/>
    <x v="2"/>
    <x v="0"/>
    <x v="574"/>
    <x v="0"/>
    <n v="66.16"/>
    <n v="2.7189999999999999"/>
    <n v="214.1180803"/>
    <n v="7.343"/>
  </r>
  <r>
    <x v="10"/>
    <d v="2010-09-04T00:00:00"/>
    <x v="3"/>
    <x v="0"/>
    <x v="575"/>
    <x v="0"/>
    <n v="69.569999999999993"/>
    <n v="2.77"/>
    <n v="213.9120595"/>
    <n v="7.343"/>
  </r>
  <r>
    <x v="10"/>
    <d v="2010-07-05T00:00:00"/>
    <x v="4"/>
    <x v="0"/>
    <x v="576"/>
    <x v="0"/>
    <n v="75.569999999999993"/>
    <n v="2.835"/>
    <n v="213.6211778"/>
    <n v="7.343"/>
  </r>
  <r>
    <x v="10"/>
    <d v="2010-04-06T00:00:00"/>
    <x v="5"/>
    <x v="0"/>
    <x v="577"/>
    <x v="0"/>
    <n v="79.66"/>
    <n v="2.7050000000000001"/>
    <n v="214.49583820000001"/>
    <n v="7.343"/>
  </r>
  <r>
    <x v="10"/>
    <d v="2010-11-06T00:00:00"/>
    <x v="6"/>
    <x v="0"/>
    <x v="578"/>
    <x v="0"/>
    <n v="82.81"/>
    <n v="2.6680000000000001"/>
    <n v="214.787913"/>
    <n v="7.343"/>
  </r>
  <r>
    <x v="10"/>
    <d v="2010-02-07T00:00:00"/>
    <x v="2"/>
    <x v="0"/>
    <x v="579"/>
    <x v="0"/>
    <n v="83.09"/>
    <n v="2.669"/>
    <n v="214.54632219999999"/>
    <n v="7.3460000000000001"/>
  </r>
  <r>
    <x v="10"/>
    <d v="2010-09-07T00:00:00"/>
    <x v="3"/>
    <x v="0"/>
    <x v="580"/>
    <x v="0"/>
    <n v="83.01"/>
    <n v="2.6419999999999999"/>
    <n v="214.4265704"/>
    <n v="7.3460000000000001"/>
  </r>
  <r>
    <x v="10"/>
    <d v="2010-06-08T00:00:00"/>
    <x v="7"/>
    <x v="0"/>
    <x v="581"/>
    <x v="0"/>
    <n v="86.54"/>
    <n v="2.6269999999999998"/>
    <n v="214.83419520000001"/>
    <n v="7.3460000000000001"/>
  </r>
  <r>
    <x v="10"/>
    <d v="2010-03-09T00:00:00"/>
    <x v="8"/>
    <x v="0"/>
    <x v="582"/>
    <x v="0"/>
    <n v="84.94"/>
    <n v="2.577"/>
    <n v="214.84816850000001"/>
    <n v="7.3460000000000001"/>
  </r>
  <r>
    <x v="10"/>
    <d v="2010-10-09T00:00:00"/>
    <x v="9"/>
    <x v="0"/>
    <x v="583"/>
    <x v="1"/>
    <n v="81.93"/>
    <n v="2.5649999999999999"/>
    <n v="214.8065431"/>
    <n v="7.3460000000000001"/>
  </r>
  <r>
    <x v="10"/>
    <d v="2010-01-10T00:00:00"/>
    <x v="10"/>
    <x v="0"/>
    <x v="584"/>
    <x v="0"/>
    <n v="75.11"/>
    <n v="2.6030000000000002"/>
    <n v="214.98465479999999"/>
    <n v="7.5640000000000001"/>
  </r>
  <r>
    <x v="10"/>
    <d v="2010-08-10T00:00:00"/>
    <x v="11"/>
    <x v="0"/>
    <x v="585"/>
    <x v="0"/>
    <n v="68.709999999999994"/>
    <n v="2.633"/>
    <n v="215.060858"/>
    <n v="7.5640000000000001"/>
  </r>
  <r>
    <x v="10"/>
    <d v="2010-05-11T00:00:00"/>
    <x v="0"/>
    <x v="0"/>
    <x v="586"/>
    <x v="0"/>
    <n v="64.41"/>
    <n v="2.6890000000000001"/>
    <n v="215.27654720000001"/>
    <n v="7.5640000000000001"/>
  </r>
  <r>
    <x v="10"/>
    <d v="2010-12-11T00:00:00"/>
    <x v="1"/>
    <x v="0"/>
    <x v="587"/>
    <x v="0"/>
    <n v="63.74"/>
    <n v="2.7280000000000002"/>
    <n v="215.32562580000001"/>
    <n v="7.5640000000000001"/>
  </r>
  <r>
    <x v="10"/>
    <d v="2010-03-12T00:00:00"/>
    <x v="8"/>
    <x v="0"/>
    <x v="588"/>
    <x v="0"/>
    <n v="55.9"/>
    <n v="2.7080000000000002"/>
    <n v="214.9153531"/>
    <n v="7.5640000000000001"/>
  </r>
  <r>
    <x v="10"/>
    <d v="2010-10-12T00:00:00"/>
    <x v="9"/>
    <x v="0"/>
    <x v="589"/>
    <x v="0"/>
    <n v="53.33"/>
    <n v="2.843"/>
    <n v="214.76930369999999"/>
    <n v="7.5640000000000001"/>
  </r>
  <r>
    <x v="10"/>
    <d v="2011-07-01T00:00:00"/>
    <x v="4"/>
    <x v="1"/>
    <x v="590"/>
    <x v="0"/>
    <n v="54.43"/>
    <n v="2.976"/>
    <n v="214.69551039999999"/>
    <n v="7.5510000000000002"/>
  </r>
  <r>
    <x v="10"/>
    <d v="2011-04-02T00:00:00"/>
    <x v="5"/>
    <x v="1"/>
    <x v="591"/>
    <x v="0"/>
    <n v="47.17"/>
    <n v="2.9889999999999999"/>
    <n v="215.88633669999999"/>
    <n v="7.5510000000000002"/>
  </r>
  <r>
    <x v="10"/>
    <d v="2011-11-02T00:00:00"/>
    <x v="6"/>
    <x v="1"/>
    <x v="592"/>
    <x v="1"/>
    <n v="44.61"/>
    <n v="3.0219999999999998"/>
    <n v="216.2660913"/>
    <n v="7.5510000000000002"/>
  </r>
  <r>
    <x v="10"/>
    <d v="2011-04-03T00:00:00"/>
    <x v="5"/>
    <x v="1"/>
    <x v="593"/>
    <x v="0"/>
    <n v="66.5"/>
    <n v="3.2879999999999998"/>
    <n v="217.1716979"/>
    <n v="7.5510000000000002"/>
  </r>
  <r>
    <x v="10"/>
    <d v="2011-11-03T00:00:00"/>
    <x v="6"/>
    <x v="1"/>
    <x v="594"/>
    <x v="0"/>
    <n v="63.29"/>
    <n v="3.4590000000000001"/>
    <n v="217.46536829999999"/>
    <n v="7.5510000000000002"/>
  </r>
  <r>
    <x v="10"/>
    <d v="2011-01-04T00:00:00"/>
    <x v="10"/>
    <x v="1"/>
    <x v="595"/>
    <x v="0"/>
    <n v="69.099999999999994"/>
    <n v="3.524"/>
    <n v="218.21141840000001"/>
    <n v="7.5739999999999998"/>
  </r>
  <r>
    <x v="10"/>
    <d v="2011-08-04T00:00:00"/>
    <x v="11"/>
    <x v="1"/>
    <x v="596"/>
    <x v="0"/>
    <n v="73.569999999999993"/>
    <n v="3.6219999999999999"/>
    <n v="218.45536630000001"/>
    <n v="7.5739999999999998"/>
  </r>
  <r>
    <x v="10"/>
    <d v="2011-06-05T00:00:00"/>
    <x v="7"/>
    <x v="1"/>
    <x v="597"/>
    <x v="0"/>
    <n v="71.39"/>
    <n v="3.9060000000000001"/>
    <n v="219.1959827"/>
    <n v="7.5739999999999998"/>
  </r>
  <r>
    <x v="10"/>
    <d v="2011-03-06T00:00:00"/>
    <x v="8"/>
    <x v="1"/>
    <x v="598"/>
    <x v="0"/>
    <n v="86.14"/>
    <n v="3.6989999999999998"/>
    <n v="218.6449369"/>
    <n v="7.5739999999999998"/>
  </r>
  <r>
    <x v="10"/>
    <d v="2011-10-06T00:00:00"/>
    <x v="9"/>
    <x v="1"/>
    <x v="599"/>
    <x v="0"/>
    <n v="85.79"/>
    <n v="3.6480000000000001"/>
    <n v="218.4037974"/>
    <n v="7.5739999999999998"/>
  </r>
  <r>
    <x v="10"/>
    <d v="2011-01-07T00:00:00"/>
    <x v="10"/>
    <x v="1"/>
    <x v="600"/>
    <x v="0"/>
    <n v="86.43"/>
    <n v="3.524"/>
    <n v="218.54670519999999"/>
    <n v="7.5670000000000002"/>
  </r>
  <r>
    <x v="10"/>
    <d v="2011-08-07T00:00:00"/>
    <x v="11"/>
    <x v="1"/>
    <x v="601"/>
    <x v="0"/>
    <n v="87.17"/>
    <n v="3.48"/>
    <n v="218.64247040000001"/>
    <n v="7.5670000000000002"/>
  </r>
  <r>
    <x v="10"/>
    <d v="2011-05-08T00:00:00"/>
    <x v="0"/>
    <x v="1"/>
    <x v="602"/>
    <x v="0"/>
    <n v="90.04"/>
    <n v="3.6840000000000002"/>
    <n v="218.90232090000001"/>
    <n v="7.5670000000000002"/>
  </r>
  <r>
    <x v="10"/>
    <d v="2011-12-08T00:00:00"/>
    <x v="1"/>
    <x v="1"/>
    <x v="603"/>
    <x v="0"/>
    <n v="90.3"/>
    <n v="3.6379999999999999"/>
    <n v="218.96058729999999"/>
    <n v="7.5670000000000002"/>
  </r>
  <r>
    <x v="10"/>
    <d v="2011-02-09T00:00:00"/>
    <x v="2"/>
    <x v="1"/>
    <x v="604"/>
    <x v="0"/>
    <n v="91.44"/>
    <n v="3.5329999999999999"/>
    <n v="219.1501106"/>
    <n v="7.5670000000000002"/>
  </r>
  <r>
    <x v="10"/>
    <d v="2011-09-09T00:00:00"/>
    <x v="3"/>
    <x v="1"/>
    <x v="605"/>
    <x v="1"/>
    <n v="84.91"/>
    <n v="3.5459999999999998"/>
    <n v="219.21353049999999"/>
    <n v="7.5670000000000002"/>
  </r>
  <r>
    <x v="10"/>
    <d v="2011-07-10T00:00:00"/>
    <x v="4"/>
    <x v="1"/>
    <x v="606"/>
    <x v="0"/>
    <n v="76.97"/>
    <n v="3.2850000000000001"/>
    <n v="220.42990069999999"/>
    <n v="7.1970000000000001"/>
  </r>
  <r>
    <x v="10"/>
    <d v="2011-04-11T00:00:00"/>
    <x v="5"/>
    <x v="1"/>
    <x v="607"/>
    <x v="0"/>
    <n v="61.13"/>
    <n v="3.3319999999999999"/>
    <n v="221.245968"/>
    <n v="7.1970000000000001"/>
  </r>
  <r>
    <x v="10"/>
    <d v="2011-11-11T00:00:00"/>
    <x v="6"/>
    <x v="1"/>
    <x v="608"/>
    <x v="0"/>
    <n v="64.2"/>
    <n v="3.2970000000000002"/>
    <n v="221.4117517"/>
    <n v="7.1970000000000001"/>
  </r>
  <r>
    <x v="10"/>
    <d v="2011-02-12T00:00:00"/>
    <x v="2"/>
    <x v="1"/>
    <x v="609"/>
    <x v="0"/>
    <n v="56.89"/>
    <n v="3.1720000000000002"/>
    <n v="222.15895190000001"/>
    <n v="7.1970000000000001"/>
  </r>
  <r>
    <x v="10"/>
    <d v="2011-09-12T00:00:00"/>
    <x v="3"/>
    <x v="1"/>
    <x v="610"/>
    <x v="0"/>
    <n v="50.63"/>
    <n v="3.1579999999999999"/>
    <n v="222.41678519999999"/>
    <n v="7.1970000000000001"/>
  </r>
  <r>
    <x v="10"/>
    <d v="2012-06-01T00:00:00"/>
    <x v="7"/>
    <x v="2"/>
    <x v="611"/>
    <x v="0"/>
    <n v="54.44"/>
    <n v="3.157"/>
    <n v="223.19230490000001"/>
    <n v="6.8330000000000002"/>
  </r>
  <r>
    <x v="10"/>
    <d v="2012-03-02T00:00:00"/>
    <x v="8"/>
    <x v="2"/>
    <x v="612"/>
    <x v="0"/>
    <n v="60.24"/>
    <n v="3.36"/>
    <n v="223.65911370000001"/>
    <n v="6.8330000000000002"/>
  </r>
  <r>
    <x v="10"/>
    <d v="2012-10-02T00:00:00"/>
    <x v="9"/>
    <x v="2"/>
    <x v="613"/>
    <x v="1"/>
    <n v="52.23"/>
    <n v="3.4089999999999998"/>
    <n v="223.75364300000001"/>
    <n v="6.8330000000000002"/>
  </r>
  <r>
    <x v="10"/>
    <d v="2012-02-03T00:00:00"/>
    <x v="2"/>
    <x v="2"/>
    <x v="614"/>
    <x v="0"/>
    <n v="62.61"/>
    <n v="3.63"/>
    <n v="224.3470245"/>
    <n v="6.8330000000000002"/>
  </r>
  <r>
    <x v="10"/>
    <d v="2012-09-03T00:00:00"/>
    <x v="3"/>
    <x v="2"/>
    <x v="615"/>
    <x v="0"/>
    <n v="61.44"/>
    <n v="3.669"/>
    <n v="224.56202909999999"/>
    <n v="6.8330000000000002"/>
  </r>
  <r>
    <x v="10"/>
    <d v="2012-06-04T00:00:00"/>
    <x v="7"/>
    <x v="2"/>
    <x v="616"/>
    <x v="0"/>
    <n v="74.19"/>
    <n v="3.891"/>
    <n v="224.93934049999999"/>
    <n v="6.6639999999999997"/>
  </r>
  <r>
    <x v="10"/>
    <d v="2012-04-05T00:00:00"/>
    <x v="5"/>
    <x v="2"/>
    <x v="617"/>
    <x v="0"/>
    <n v="79.069999999999993"/>
    <n v="3.7490000000000001"/>
    <n v="225.1797511"/>
    <n v="6.6639999999999997"/>
  </r>
  <r>
    <x v="10"/>
    <d v="2012-11-05T00:00:00"/>
    <x v="6"/>
    <x v="2"/>
    <x v="618"/>
    <x v="0"/>
    <n v="75.13"/>
    <n v="3.6880000000000002"/>
    <n v="225.2351496"/>
    <n v="6.6639999999999997"/>
  </r>
  <r>
    <x v="10"/>
    <d v="2012-01-06T00:00:00"/>
    <x v="10"/>
    <x v="2"/>
    <x v="619"/>
    <x v="0"/>
    <n v="81.67"/>
    <n v="3.5009999999999999"/>
    <n v="225.25183129999999"/>
    <n v="6.6639999999999997"/>
  </r>
  <r>
    <x v="10"/>
    <d v="2012-08-06T00:00:00"/>
    <x v="11"/>
    <x v="2"/>
    <x v="620"/>
    <x v="0"/>
    <n v="82.1"/>
    <n v="3.452"/>
    <n v="225.25214579999999"/>
    <n v="6.6639999999999997"/>
  </r>
  <r>
    <x v="10"/>
    <d v="2012-06-07T00:00:00"/>
    <x v="7"/>
    <x v="2"/>
    <x v="621"/>
    <x v="0"/>
    <n v="83.44"/>
    <n v="3.2269999999999999"/>
    <n v="225.39162540000001"/>
    <n v="6.3339999999999996"/>
  </r>
  <r>
    <x v="10"/>
    <d v="2012-03-08T00:00:00"/>
    <x v="8"/>
    <x v="2"/>
    <x v="622"/>
    <x v="0"/>
    <n v="86.94"/>
    <n v="3.4169999999999998"/>
    <n v="225.4636332"/>
    <n v="6.3339999999999996"/>
  </r>
  <r>
    <x v="10"/>
    <d v="2012-10-08T00:00:00"/>
    <x v="9"/>
    <x v="2"/>
    <x v="623"/>
    <x v="0"/>
    <n v="86.21"/>
    <n v="3.4940000000000002"/>
    <n v="225.47350850000001"/>
    <n v="6.3339999999999996"/>
  </r>
  <r>
    <x v="10"/>
    <d v="2012-07-09T00:00:00"/>
    <x v="4"/>
    <x v="2"/>
    <x v="624"/>
    <x v="1"/>
    <n v="85.17"/>
    <n v="3.73"/>
    <n v="225.96602630000001"/>
    <n v="6.3339999999999996"/>
  </r>
  <r>
    <x v="10"/>
    <d v="2012-05-10T00:00:00"/>
    <x v="0"/>
    <x v="2"/>
    <x v="625"/>
    <x v="0"/>
    <n v="73.37"/>
    <n v="3.617"/>
    <n v="226.72103559999999"/>
    <n v="6.0339999999999998"/>
  </r>
  <r>
    <x v="10"/>
    <d v="2012-12-10T00:00:00"/>
    <x v="1"/>
    <x v="2"/>
    <x v="626"/>
    <x v="0"/>
    <n v="69.94"/>
    <n v="3.601"/>
    <n v="226.9239785"/>
    <n v="6.0339999999999998"/>
  </r>
  <r>
    <x v="11"/>
    <d v="2010-05-02T00:00:00"/>
    <x v="0"/>
    <x v="0"/>
    <x v="627"/>
    <x v="0"/>
    <n v="49.47"/>
    <n v="2.9620000000000002"/>
    <n v="126.4420645"/>
    <n v="13.975"/>
  </r>
  <r>
    <x v="11"/>
    <d v="2010-12-02T00:00:00"/>
    <x v="1"/>
    <x v="0"/>
    <x v="628"/>
    <x v="1"/>
    <n v="47.87"/>
    <n v="2.9460000000000002"/>
    <n v="126.49625810000001"/>
    <n v="13.975"/>
  </r>
  <r>
    <x v="11"/>
    <d v="2010-05-03T00:00:00"/>
    <x v="0"/>
    <x v="0"/>
    <x v="629"/>
    <x v="0"/>
    <n v="53.77"/>
    <n v="2.9870000000000001"/>
    <n v="126.5782857"/>
    <n v="13.975"/>
  </r>
  <r>
    <x v="11"/>
    <d v="2010-12-03T00:00:00"/>
    <x v="1"/>
    <x v="0"/>
    <x v="630"/>
    <x v="0"/>
    <n v="50.11"/>
    <n v="2.9249999999999998"/>
    <n v="126.60428570000001"/>
    <n v="13.975"/>
  </r>
  <r>
    <x v="11"/>
    <d v="2010-02-04T00:00:00"/>
    <x v="2"/>
    <x v="0"/>
    <x v="631"/>
    <x v="0"/>
    <n v="59.84"/>
    <n v="3.0859999999999999"/>
    <n v="126.6034839"/>
    <n v="14.099"/>
  </r>
  <r>
    <x v="11"/>
    <d v="2010-09-04T00:00:00"/>
    <x v="3"/>
    <x v="0"/>
    <x v="632"/>
    <x v="0"/>
    <n v="59.25"/>
    <n v="3.09"/>
    <n v="126.6019032"/>
    <n v="14.099"/>
  </r>
  <r>
    <x v="11"/>
    <d v="2010-07-05T00:00:00"/>
    <x v="4"/>
    <x v="0"/>
    <x v="633"/>
    <x v="0"/>
    <n v="70.150000000000006"/>
    <n v="3.1269999999999998"/>
    <n v="126.2898"/>
    <n v="14.099"/>
  </r>
  <r>
    <x v="11"/>
    <d v="2010-04-06T00:00:00"/>
    <x v="5"/>
    <x v="0"/>
    <x v="634"/>
    <x v="0"/>
    <n v="81.39"/>
    <n v="2.9409999999999998"/>
    <n v="126.1360645"/>
    <n v="14.099"/>
  </r>
  <r>
    <x v="11"/>
    <d v="2010-11-06T00:00:00"/>
    <x v="6"/>
    <x v="0"/>
    <x v="635"/>
    <x v="0"/>
    <n v="90.84"/>
    <n v="2.9489999999999998"/>
    <n v="126.1119032"/>
    <n v="14.099"/>
  </r>
  <r>
    <x v="11"/>
    <d v="2010-02-07T00:00:00"/>
    <x v="2"/>
    <x v="0"/>
    <x v="636"/>
    <x v="0"/>
    <n v="91.98"/>
    <n v="3.105"/>
    <n v="126.1392"/>
    <n v="14.18"/>
  </r>
  <r>
    <x v="11"/>
    <d v="2010-09-07T00:00:00"/>
    <x v="3"/>
    <x v="0"/>
    <x v="637"/>
    <x v="0"/>
    <n v="90.37"/>
    <n v="3.1"/>
    <n v="126.15179999999999"/>
    <n v="14.18"/>
  </r>
  <r>
    <x v="11"/>
    <d v="2010-06-08T00:00:00"/>
    <x v="7"/>
    <x v="0"/>
    <x v="638"/>
    <x v="0"/>
    <n v="92.95"/>
    <n v="3.1230000000000002"/>
    <n v="126.0854516"/>
    <n v="14.18"/>
  </r>
  <r>
    <x v="11"/>
    <d v="2010-03-09T00:00:00"/>
    <x v="8"/>
    <x v="0"/>
    <x v="639"/>
    <x v="0"/>
    <n v="83.12"/>
    <n v="3.0870000000000002"/>
    <n v="126.1019355"/>
    <n v="14.18"/>
  </r>
  <r>
    <x v="11"/>
    <d v="2010-10-09T00:00:00"/>
    <x v="9"/>
    <x v="0"/>
    <x v="640"/>
    <x v="1"/>
    <n v="83.63"/>
    <n v="3.044"/>
    <n v="126.1145806"/>
    <n v="14.18"/>
  </r>
  <r>
    <x v="11"/>
    <d v="2010-01-10T00:00:00"/>
    <x v="10"/>
    <x v="0"/>
    <x v="641"/>
    <x v="0"/>
    <n v="85.2"/>
    <n v="3.0009999999999999"/>
    <n v="126.2346"/>
    <n v="14.313000000000001"/>
  </r>
  <r>
    <x v="11"/>
    <d v="2010-08-10T00:00:00"/>
    <x v="11"/>
    <x v="0"/>
    <x v="642"/>
    <x v="0"/>
    <n v="71.819999999999993"/>
    <n v="3.0129999999999999"/>
    <n v="126.2791667"/>
    <n v="14.313000000000001"/>
  </r>
  <r>
    <x v="11"/>
    <d v="2010-05-11T00:00:00"/>
    <x v="0"/>
    <x v="0"/>
    <x v="643"/>
    <x v="0"/>
    <n v="65.489999999999995"/>
    <n v="3.129"/>
    <n v="126.4912903"/>
    <n v="14.313000000000001"/>
  </r>
  <r>
    <x v="11"/>
    <d v="2010-12-11T00:00:00"/>
    <x v="1"/>
    <x v="0"/>
    <x v="644"/>
    <x v="0"/>
    <n v="57.79"/>
    <n v="3.13"/>
    <n v="126.54616129999999"/>
    <n v="14.313000000000001"/>
  </r>
  <r>
    <x v="11"/>
    <d v="2010-03-12T00:00:00"/>
    <x v="8"/>
    <x v="0"/>
    <x v="645"/>
    <x v="0"/>
    <n v="43.33"/>
    <n v="3.0409999999999999"/>
    <n v="126.7313333"/>
    <n v="14.313000000000001"/>
  </r>
  <r>
    <x v="11"/>
    <d v="2010-10-12T00:00:00"/>
    <x v="9"/>
    <x v="0"/>
    <x v="646"/>
    <x v="0"/>
    <n v="50.01"/>
    <n v="3.2029999999999998"/>
    <n v="126.79340000000001"/>
    <n v="14.313000000000001"/>
  </r>
  <r>
    <x v="11"/>
    <d v="2011-07-01T00:00:00"/>
    <x v="4"/>
    <x v="1"/>
    <x v="647"/>
    <x v="0"/>
    <n v="37.64"/>
    <n v="3.2869999999999999"/>
    <n v="127.1917742"/>
    <n v="14.021000000000001"/>
  </r>
  <r>
    <x v="11"/>
    <d v="2011-04-02T00:00:00"/>
    <x v="5"/>
    <x v="1"/>
    <x v="648"/>
    <x v="0"/>
    <n v="45.14"/>
    <n v="3.3479999999999999"/>
    <n v="127.7195806"/>
    <n v="14.021000000000001"/>
  </r>
  <r>
    <x v="11"/>
    <d v="2011-11-02T00:00:00"/>
    <x v="6"/>
    <x v="1"/>
    <x v="649"/>
    <x v="1"/>
    <n v="51.3"/>
    <n v="3.3809999999999998"/>
    <n v="127.859129"/>
    <n v="14.021000000000001"/>
  </r>
  <r>
    <x v="11"/>
    <d v="2011-04-03T00:00:00"/>
    <x v="5"/>
    <x v="1"/>
    <x v="650"/>
    <x v="0"/>
    <n v="51.72"/>
    <n v="3.6739999999999999"/>
    <n v="128.26474999999999"/>
    <n v="14.021000000000001"/>
  </r>
  <r>
    <x v="11"/>
    <d v="2011-11-03T00:00:00"/>
    <x v="6"/>
    <x v="1"/>
    <x v="651"/>
    <x v="0"/>
    <n v="57.75"/>
    <n v="3.8180000000000001"/>
    <n v="128.39949999999999"/>
    <n v="14.021000000000001"/>
  </r>
  <r>
    <x v="11"/>
    <d v="2011-01-04T00:00:00"/>
    <x v="10"/>
    <x v="1"/>
    <x v="652"/>
    <x v="0"/>
    <n v="63.63"/>
    <n v="3.7719999999999998"/>
    <n v="128.71993549999999"/>
    <n v="13.736000000000001"/>
  </r>
  <r>
    <x v="11"/>
    <d v="2011-08-04T00:00:00"/>
    <x v="11"/>
    <x v="1"/>
    <x v="653"/>
    <x v="0"/>
    <n v="64.47"/>
    <n v="4.0030000000000001"/>
    <n v="128.82380649999999"/>
    <n v="13.736000000000001"/>
  </r>
  <r>
    <x v="11"/>
    <d v="2011-06-05T00:00:00"/>
    <x v="7"/>
    <x v="1"/>
    <x v="654"/>
    <x v="0"/>
    <n v="68.400000000000006"/>
    <n v="4.1929999999999996"/>
    <n v="129.04443330000001"/>
    <n v="13.736000000000001"/>
  </r>
  <r>
    <x v="11"/>
    <d v="2011-03-06T00:00:00"/>
    <x v="8"/>
    <x v="1"/>
    <x v="655"/>
    <x v="0"/>
    <n v="71.81"/>
    <n v="4.0309999999999997"/>
    <n v="129.04903229999999"/>
    <n v="13.736000000000001"/>
  </r>
  <r>
    <x v="11"/>
    <d v="2011-10-06T00:00:00"/>
    <x v="9"/>
    <x v="1"/>
    <x v="656"/>
    <x v="0"/>
    <n v="78.72"/>
    <n v="3.9809999999999999"/>
    <n v="129.03570970000001"/>
    <n v="13.736000000000001"/>
  </r>
  <r>
    <x v="11"/>
    <d v="2011-01-07T00:00:00"/>
    <x v="10"/>
    <x v="1"/>
    <x v="657"/>
    <x v="0"/>
    <n v="89.85"/>
    <n v="3.8420000000000001"/>
    <n v="129.08940000000001"/>
    <n v="13.503"/>
  </r>
  <r>
    <x v="11"/>
    <d v="2011-08-07T00:00:00"/>
    <x v="11"/>
    <x v="1"/>
    <x v="658"/>
    <x v="0"/>
    <n v="89.9"/>
    <n v="3.7050000000000001"/>
    <n v="129.11250000000001"/>
    <n v="13.503"/>
  </r>
  <r>
    <x v="11"/>
    <d v="2011-05-08T00:00:00"/>
    <x v="0"/>
    <x v="1"/>
    <x v="659"/>
    <x v="0"/>
    <n v="90.61"/>
    <n v="3.8029999999999999"/>
    <n v="129.18464520000001"/>
    <n v="13.503"/>
  </r>
  <r>
    <x v="11"/>
    <d v="2011-12-08T00:00:00"/>
    <x v="1"/>
    <x v="1"/>
    <x v="660"/>
    <x v="0"/>
    <n v="91.04"/>
    <n v="3.7010000000000001"/>
    <n v="129.2015806"/>
    <n v="13.503"/>
  </r>
  <r>
    <x v="11"/>
    <d v="2011-02-09T00:00:00"/>
    <x v="2"/>
    <x v="1"/>
    <x v="661"/>
    <x v="0"/>
    <n v="93.66"/>
    <n v="3.798"/>
    <n v="129.32593550000001"/>
    <n v="13.503"/>
  </r>
  <r>
    <x v="11"/>
    <d v="2011-09-09T00:00:00"/>
    <x v="3"/>
    <x v="1"/>
    <x v="662"/>
    <x v="1"/>
    <n v="88"/>
    <n v="3.9129999999999998"/>
    <n v="129.36861289999999"/>
    <n v="13.503"/>
  </r>
  <r>
    <x v="11"/>
    <d v="2011-07-10T00:00:00"/>
    <x v="4"/>
    <x v="1"/>
    <x v="663"/>
    <x v="0"/>
    <n v="70.44"/>
    <n v="3.827"/>
    <n v="129.69380000000001"/>
    <n v="12.89"/>
  </r>
  <r>
    <x v="11"/>
    <d v="2011-04-11T00:00:00"/>
    <x v="5"/>
    <x v="1"/>
    <x v="664"/>
    <x v="0"/>
    <n v="59.77"/>
    <n v="3.8279999999999998"/>
    <n v="129.8051935"/>
    <n v="12.89"/>
  </r>
  <r>
    <x v="11"/>
    <d v="2011-11-11T00:00:00"/>
    <x v="6"/>
    <x v="1"/>
    <x v="665"/>
    <x v="0"/>
    <n v="48.76"/>
    <n v="3.8239999999999998"/>
    <n v="129.81670969999999"/>
    <n v="12.89"/>
  </r>
  <r>
    <x v="11"/>
    <d v="2011-02-12T00:00:00"/>
    <x v="2"/>
    <x v="1"/>
    <x v="666"/>
    <x v="0"/>
    <n v="52.5"/>
    <n v="3.7010000000000001"/>
    <n v="129.84596669999999"/>
    <n v="12.89"/>
  </r>
  <r>
    <x v="11"/>
    <d v="2011-09-12T00:00:00"/>
    <x v="3"/>
    <x v="1"/>
    <x v="667"/>
    <x v="0"/>
    <n v="42.17"/>
    <n v="3.6440000000000001"/>
    <n v="129.85553329999999"/>
    <n v="12.89"/>
  </r>
  <r>
    <x v="11"/>
    <d v="2012-06-01T00:00:00"/>
    <x v="7"/>
    <x v="2"/>
    <x v="668"/>
    <x v="0"/>
    <n v="50.43"/>
    <n v="3.5990000000000002"/>
    <n v="130.15751610000001"/>
    <n v="12.186999999999999"/>
  </r>
  <r>
    <x v="11"/>
    <d v="2012-03-02T00:00:00"/>
    <x v="8"/>
    <x v="2"/>
    <x v="669"/>
    <x v="0"/>
    <n v="50.58"/>
    <n v="3.702"/>
    <n v="130.34967739999999"/>
    <n v="12.186999999999999"/>
  </r>
  <r>
    <x v="11"/>
    <d v="2012-10-02T00:00:00"/>
    <x v="9"/>
    <x v="2"/>
    <x v="670"/>
    <x v="1"/>
    <n v="52.27"/>
    <n v="3.722"/>
    <n v="130.3849032"/>
    <n v="12.186999999999999"/>
  </r>
  <r>
    <x v="11"/>
    <d v="2012-02-03T00:00:00"/>
    <x v="2"/>
    <x v="2"/>
    <x v="671"/>
    <x v="0"/>
    <n v="52.27"/>
    <n v="4.1779999999999999"/>
    <n v="130.64579309999999"/>
    <n v="12.186999999999999"/>
  </r>
  <r>
    <x v="11"/>
    <d v="2012-09-03T00:00:00"/>
    <x v="3"/>
    <x v="2"/>
    <x v="672"/>
    <x v="0"/>
    <n v="54.54"/>
    <n v="4.25"/>
    <n v="130.74137930000001"/>
    <n v="12.186999999999999"/>
  </r>
  <r>
    <x v="11"/>
    <d v="2012-06-04T00:00:00"/>
    <x v="7"/>
    <x v="2"/>
    <x v="673"/>
    <x v="0"/>
    <n v="64.05"/>
    <n v="4.1210000000000004"/>
    <n v="131.03754839999999"/>
    <n v="11.627000000000001"/>
  </r>
  <r>
    <x v="11"/>
    <d v="2012-04-05T00:00:00"/>
    <x v="5"/>
    <x v="2"/>
    <x v="674"/>
    <x v="0"/>
    <n v="76.03"/>
    <n v="4.1710000000000003"/>
    <n v="131.136"/>
    <n v="11.627000000000001"/>
  </r>
  <r>
    <x v="11"/>
    <d v="2012-11-05T00:00:00"/>
    <x v="6"/>
    <x v="2"/>
    <x v="675"/>
    <x v="0"/>
    <n v="77.27"/>
    <n v="4.1859999999999999"/>
    <n v="131.1453333"/>
    <n v="11.627000000000001"/>
  </r>
  <r>
    <x v="11"/>
    <d v="2012-01-06T00:00:00"/>
    <x v="10"/>
    <x v="2"/>
    <x v="676"/>
    <x v="0"/>
    <n v="78.11"/>
    <n v="4.2770000000000001"/>
    <n v="130.95922580000001"/>
    <n v="11.627000000000001"/>
  </r>
  <r>
    <x v="11"/>
    <d v="2012-08-06T00:00:00"/>
    <x v="11"/>
    <x v="2"/>
    <x v="677"/>
    <x v="0"/>
    <n v="84.83"/>
    <n v="4.1029999999999998"/>
    <n v="130.88967740000001"/>
    <n v="11.627000000000001"/>
  </r>
  <r>
    <x v="11"/>
    <d v="2012-06-07T00:00:00"/>
    <x v="7"/>
    <x v="2"/>
    <x v="678"/>
    <x v="0"/>
    <n v="89.13"/>
    <n v="3.7650000000000001"/>
    <n v="130.7196333"/>
    <n v="10.926"/>
  </r>
  <r>
    <x v="11"/>
    <d v="2012-03-08T00:00:00"/>
    <x v="8"/>
    <x v="2"/>
    <x v="679"/>
    <x v="0"/>
    <n v="88.16"/>
    <n v="3.76"/>
    <n v="130.73787100000001"/>
    <n v="10.926"/>
  </r>
  <r>
    <x v="11"/>
    <d v="2012-10-08T00:00:00"/>
    <x v="9"/>
    <x v="2"/>
    <x v="680"/>
    <x v="0"/>
    <n v="95.91"/>
    <n v="3.8109999999999999"/>
    <n v="130.7561613"/>
    <n v="10.926"/>
  </r>
  <r>
    <x v="11"/>
    <d v="2012-07-09T00:00:00"/>
    <x v="4"/>
    <x v="2"/>
    <x v="681"/>
    <x v="1"/>
    <n v="88.52"/>
    <n v="4.1239999999999997"/>
    <n v="130.9325484"/>
    <n v="10.926"/>
  </r>
  <r>
    <x v="11"/>
    <d v="2012-05-10T00:00:00"/>
    <x v="0"/>
    <x v="2"/>
    <x v="682"/>
    <x v="0"/>
    <n v="81.61"/>
    <n v="3.9660000000000002"/>
    <n v="131.0756667"/>
    <n v="10.199"/>
  </r>
  <r>
    <x v="11"/>
    <d v="2012-12-10T00:00:00"/>
    <x v="1"/>
    <x v="2"/>
    <x v="683"/>
    <x v="0"/>
    <n v="71.739999999999995"/>
    <n v="4.468"/>
    <n v="131.1083333"/>
    <n v="10.199"/>
  </r>
  <r>
    <x v="12"/>
    <d v="2010-05-02T00:00:00"/>
    <x v="0"/>
    <x v="0"/>
    <x v="684"/>
    <x v="0"/>
    <n v="31.53"/>
    <n v="2.6659999999999999"/>
    <n v="126.4420645"/>
    <n v="8.3160000000000007"/>
  </r>
  <r>
    <x v="12"/>
    <d v="2010-12-02T00:00:00"/>
    <x v="1"/>
    <x v="0"/>
    <x v="685"/>
    <x v="1"/>
    <n v="33.159999999999997"/>
    <n v="2.6709999999999998"/>
    <n v="126.49625810000001"/>
    <n v="8.3160000000000007"/>
  </r>
  <r>
    <x v="12"/>
    <d v="2010-05-03T00:00:00"/>
    <x v="0"/>
    <x v="0"/>
    <x v="686"/>
    <x v="0"/>
    <n v="40.65"/>
    <n v="2.681"/>
    <n v="126.5782857"/>
    <n v="8.3160000000000007"/>
  </r>
  <r>
    <x v="12"/>
    <d v="2010-12-03T00:00:00"/>
    <x v="1"/>
    <x v="0"/>
    <x v="687"/>
    <x v="0"/>
    <n v="37.619999999999997"/>
    <n v="2.7330000000000001"/>
    <n v="126.60428570000001"/>
    <n v="8.3160000000000007"/>
  </r>
  <r>
    <x v="12"/>
    <d v="2010-02-04T00:00:00"/>
    <x v="2"/>
    <x v="0"/>
    <x v="688"/>
    <x v="0"/>
    <n v="42.15"/>
    <n v="2.8420000000000001"/>
    <n v="126.6034839"/>
    <n v="8.1069999999999993"/>
  </r>
  <r>
    <x v="12"/>
    <d v="2010-09-04T00:00:00"/>
    <x v="3"/>
    <x v="0"/>
    <x v="689"/>
    <x v="0"/>
    <n v="38.97"/>
    <n v="2.8769999999999998"/>
    <n v="126.6019032"/>
    <n v="8.1069999999999993"/>
  </r>
  <r>
    <x v="12"/>
    <d v="2010-07-05T00:00:00"/>
    <x v="4"/>
    <x v="0"/>
    <x v="690"/>
    <x v="0"/>
    <n v="44.42"/>
    <n v="2.948"/>
    <n v="126.2898"/>
    <n v="8.1069999999999993"/>
  </r>
  <r>
    <x v="12"/>
    <d v="2010-04-06T00:00:00"/>
    <x v="5"/>
    <x v="0"/>
    <x v="691"/>
    <x v="0"/>
    <n v="59.85"/>
    <n v="2.871"/>
    <n v="126.1360645"/>
    <n v="8.1069999999999993"/>
  </r>
  <r>
    <x v="12"/>
    <d v="2010-11-06T00:00:00"/>
    <x v="6"/>
    <x v="0"/>
    <x v="692"/>
    <x v="0"/>
    <n v="65.239999999999995"/>
    <n v="2.8410000000000002"/>
    <n v="126.1119032"/>
    <n v="8.1069999999999993"/>
  </r>
  <r>
    <x v="12"/>
    <d v="2010-02-07T00:00:00"/>
    <x v="2"/>
    <x v="0"/>
    <x v="693"/>
    <x v="0"/>
    <n v="78.819999999999993"/>
    <n v="2.8140000000000001"/>
    <n v="126.1392"/>
    <n v="7.9509999999999996"/>
  </r>
  <r>
    <x v="12"/>
    <d v="2010-09-07T00:00:00"/>
    <x v="3"/>
    <x v="0"/>
    <x v="694"/>
    <x v="0"/>
    <n v="71.33"/>
    <n v="2.802"/>
    <n v="126.15179999999999"/>
    <n v="7.9509999999999996"/>
  </r>
  <r>
    <x v="12"/>
    <d v="2010-06-08T00:00:00"/>
    <x v="7"/>
    <x v="0"/>
    <x v="695"/>
    <x v="0"/>
    <n v="81.239999999999995"/>
    <n v="2.802"/>
    <n v="126.0854516"/>
    <n v="7.9509999999999996"/>
  </r>
  <r>
    <x v="12"/>
    <d v="2010-03-09T00:00:00"/>
    <x v="8"/>
    <x v="0"/>
    <x v="696"/>
    <x v="0"/>
    <n v="65.709999999999994"/>
    <n v="2.8679999999999999"/>
    <n v="126.1019355"/>
    <n v="7.9509999999999996"/>
  </r>
  <r>
    <x v="12"/>
    <d v="2010-10-09T00:00:00"/>
    <x v="9"/>
    <x v="0"/>
    <x v="697"/>
    <x v="1"/>
    <n v="65.739999999999995"/>
    <n v="2.87"/>
    <n v="126.1145806"/>
    <n v="7.9509999999999996"/>
  </r>
  <r>
    <x v="12"/>
    <d v="2010-01-10T00:00:00"/>
    <x v="10"/>
    <x v="0"/>
    <x v="698"/>
    <x v="0"/>
    <n v="68.739999999999995"/>
    <n v="2.8530000000000002"/>
    <n v="126.2346"/>
    <n v="7.7949999999999999"/>
  </r>
  <r>
    <x v="12"/>
    <d v="2010-08-10T00:00:00"/>
    <x v="11"/>
    <x v="0"/>
    <x v="699"/>
    <x v="0"/>
    <n v="63.03"/>
    <n v="2.8410000000000002"/>
    <n v="126.2791667"/>
    <n v="7.7949999999999999"/>
  </r>
  <r>
    <x v="12"/>
    <d v="2010-05-11T00:00:00"/>
    <x v="0"/>
    <x v="0"/>
    <x v="700"/>
    <x v="0"/>
    <n v="49.96"/>
    <n v="2.831"/>
    <n v="126.4912903"/>
    <n v="7.7949999999999999"/>
  </r>
  <r>
    <x v="12"/>
    <d v="2010-12-11T00:00:00"/>
    <x v="1"/>
    <x v="0"/>
    <x v="701"/>
    <x v="0"/>
    <n v="42.55"/>
    <n v="2.831"/>
    <n v="126.54616129999999"/>
    <n v="7.7949999999999999"/>
  </r>
  <r>
    <x v="12"/>
    <d v="2010-03-12T00:00:00"/>
    <x v="8"/>
    <x v="0"/>
    <x v="702"/>
    <x v="0"/>
    <n v="25.8"/>
    <n v="2.8119999999999998"/>
    <n v="126.7313333"/>
    <n v="7.7949999999999999"/>
  </r>
  <r>
    <x v="12"/>
    <d v="2010-10-12T00:00:00"/>
    <x v="9"/>
    <x v="0"/>
    <x v="703"/>
    <x v="0"/>
    <n v="36.78"/>
    <n v="2.8170000000000002"/>
    <n v="126.79340000000001"/>
    <n v="7.7949999999999999"/>
  </r>
  <r>
    <x v="12"/>
    <d v="2011-07-01T00:00:00"/>
    <x v="4"/>
    <x v="1"/>
    <x v="704"/>
    <x v="0"/>
    <n v="16.940000000000001"/>
    <n v="2.891"/>
    <n v="127.1917742"/>
    <n v="7.47"/>
  </r>
  <r>
    <x v="12"/>
    <d v="2011-04-02T00:00:00"/>
    <x v="5"/>
    <x v="1"/>
    <x v="705"/>
    <x v="0"/>
    <n v="23.35"/>
    <n v="2.9740000000000002"/>
    <n v="127.7195806"/>
    <n v="7.47"/>
  </r>
  <r>
    <x v="12"/>
    <d v="2011-11-02T00:00:00"/>
    <x v="6"/>
    <x v="1"/>
    <x v="706"/>
    <x v="1"/>
    <n v="30.83"/>
    <n v="3.0339999999999998"/>
    <n v="127.859129"/>
    <n v="7.47"/>
  </r>
  <r>
    <x v="12"/>
    <d v="2011-04-03T00:00:00"/>
    <x v="5"/>
    <x v="1"/>
    <x v="707"/>
    <x v="0"/>
    <n v="34.229999999999997"/>
    <n v="3.23"/>
    <n v="128.26474999999999"/>
    <n v="7.47"/>
  </r>
  <r>
    <x v="12"/>
    <d v="2011-11-03T00:00:00"/>
    <x v="6"/>
    <x v="1"/>
    <x v="708"/>
    <x v="0"/>
    <n v="41.28"/>
    <n v="3.3460000000000001"/>
    <n v="128.39949999999999"/>
    <n v="7.47"/>
  </r>
  <r>
    <x v="12"/>
    <d v="2011-01-04T00:00:00"/>
    <x v="10"/>
    <x v="1"/>
    <x v="709"/>
    <x v="0"/>
    <n v="42.49"/>
    <n v="3.4870000000000001"/>
    <n v="128.71993549999999"/>
    <n v="7.1929999999999996"/>
  </r>
  <r>
    <x v="12"/>
    <d v="2011-08-04T00:00:00"/>
    <x v="11"/>
    <x v="1"/>
    <x v="710"/>
    <x v="0"/>
    <n v="42.75"/>
    <n v="3.5470000000000002"/>
    <n v="128.82380649999999"/>
    <n v="7.1929999999999996"/>
  </r>
  <r>
    <x v="12"/>
    <d v="2011-06-05T00:00:00"/>
    <x v="7"/>
    <x v="1"/>
    <x v="711"/>
    <x v="0"/>
    <n v="47.75"/>
    <n v="3.7440000000000002"/>
    <n v="129.04443330000001"/>
    <n v="7.1929999999999996"/>
  </r>
  <r>
    <x v="12"/>
    <d v="2011-03-06T00:00:00"/>
    <x v="8"/>
    <x v="1"/>
    <x v="712"/>
    <x v="0"/>
    <n v="52.76"/>
    <n v="3.7519999999999998"/>
    <n v="129.04903229999999"/>
    <n v="7.1929999999999996"/>
  </r>
  <r>
    <x v="12"/>
    <d v="2011-10-06T00:00:00"/>
    <x v="9"/>
    <x v="1"/>
    <x v="713"/>
    <x v="0"/>
    <n v="61.39"/>
    <n v="3.7320000000000002"/>
    <n v="129.03570970000001"/>
    <n v="7.1929999999999996"/>
  </r>
  <r>
    <x v="12"/>
    <d v="2011-01-07T00:00:00"/>
    <x v="10"/>
    <x v="1"/>
    <x v="714"/>
    <x v="0"/>
    <n v="74.290000000000006"/>
    <n v="3.613"/>
    <n v="129.08940000000001"/>
    <n v="6.8769999999999998"/>
  </r>
  <r>
    <x v="12"/>
    <d v="2011-08-07T00:00:00"/>
    <x v="11"/>
    <x v="1"/>
    <x v="715"/>
    <x v="0"/>
    <n v="77.3"/>
    <n v="3.5630000000000002"/>
    <n v="129.11250000000001"/>
    <n v="6.8769999999999998"/>
  </r>
  <r>
    <x v="12"/>
    <d v="2011-05-08T00:00:00"/>
    <x v="0"/>
    <x v="1"/>
    <x v="716"/>
    <x v="0"/>
    <n v="75.56"/>
    <n v="3.5950000000000002"/>
    <n v="129.18464520000001"/>
    <n v="6.8769999999999998"/>
  </r>
  <r>
    <x v="12"/>
    <d v="2011-12-08T00:00:00"/>
    <x v="1"/>
    <x v="1"/>
    <x v="717"/>
    <x v="0"/>
    <n v="75.95"/>
    <n v="3.6059999999999999"/>
    <n v="129.2015806"/>
    <n v="6.8769999999999998"/>
  </r>
  <r>
    <x v="12"/>
    <d v="2011-02-09T00:00:00"/>
    <x v="2"/>
    <x v="1"/>
    <x v="718"/>
    <x v="0"/>
    <n v="77"/>
    <n v="3.58"/>
    <n v="129.32593550000001"/>
    <n v="6.8769999999999998"/>
  </r>
  <r>
    <x v="12"/>
    <d v="2011-09-09T00:00:00"/>
    <x v="3"/>
    <x v="1"/>
    <x v="719"/>
    <x v="1"/>
    <n v="70.19"/>
    <n v="3.6190000000000002"/>
    <n v="129.36861289999999"/>
    <n v="6.8769999999999998"/>
  </r>
  <r>
    <x v="12"/>
    <d v="2011-07-10T00:00:00"/>
    <x v="4"/>
    <x v="1"/>
    <x v="720"/>
    <x v="0"/>
    <n v="60.62"/>
    <n v="3.5920000000000001"/>
    <n v="129.69380000000001"/>
    <n v="6.3920000000000003"/>
  </r>
  <r>
    <x v="12"/>
    <d v="2011-04-11T00:00:00"/>
    <x v="5"/>
    <x v="1"/>
    <x v="721"/>
    <x v="0"/>
    <n v="43.51"/>
    <n v="3.5379999999999998"/>
    <n v="129.8051935"/>
    <n v="6.3920000000000003"/>
  </r>
  <r>
    <x v="12"/>
    <d v="2011-11-11T00:00:00"/>
    <x v="6"/>
    <x v="1"/>
    <x v="722"/>
    <x v="0"/>
    <n v="33.799999999999997"/>
    <n v="3.5129999999999999"/>
    <n v="129.81670969999999"/>
    <n v="6.3920000000000003"/>
  </r>
  <r>
    <x v="12"/>
    <d v="2011-02-12T00:00:00"/>
    <x v="2"/>
    <x v="1"/>
    <x v="723"/>
    <x v="0"/>
    <n v="33.94"/>
    <n v="3.3889999999999998"/>
    <n v="129.84596669999999"/>
    <n v="6.3920000000000003"/>
  </r>
  <r>
    <x v="12"/>
    <d v="2011-09-12T00:00:00"/>
    <x v="3"/>
    <x v="1"/>
    <x v="724"/>
    <x v="0"/>
    <n v="24.82"/>
    <n v="3.3410000000000002"/>
    <n v="129.85553329999999"/>
    <n v="6.3920000000000003"/>
  </r>
  <r>
    <x v="12"/>
    <d v="2012-06-01T00:00:00"/>
    <x v="7"/>
    <x v="2"/>
    <x v="725"/>
    <x v="0"/>
    <n v="33.799999999999997"/>
    <n v="3.08"/>
    <n v="130.15751610000001"/>
    <n v="6.1040000000000001"/>
  </r>
  <r>
    <x v="12"/>
    <d v="2012-03-02T00:00:00"/>
    <x v="8"/>
    <x v="2"/>
    <x v="726"/>
    <x v="0"/>
    <n v="31.39"/>
    <n v="3.077"/>
    <n v="130.34967739999999"/>
    <n v="6.1040000000000001"/>
  </r>
  <r>
    <x v="12"/>
    <d v="2012-10-02T00:00:00"/>
    <x v="9"/>
    <x v="2"/>
    <x v="727"/>
    <x v="1"/>
    <n v="33.729999999999997"/>
    <n v="3.1160000000000001"/>
    <n v="130.3849032"/>
    <n v="6.1040000000000001"/>
  </r>
  <r>
    <x v="12"/>
    <d v="2012-02-03T00:00:00"/>
    <x v="2"/>
    <x v="2"/>
    <x v="728"/>
    <x v="0"/>
    <n v="32.36"/>
    <n v="3.242"/>
    <n v="130.64579309999999"/>
    <n v="6.1040000000000001"/>
  </r>
  <r>
    <x v="12"/>
    <d v="2012-09-03T00:00:00"/>
    <x v="3"/>
    <x v="2"/>
    <x v="729"/>
    <x v="0"/>
    <n v="38.24"/>
    <n v="3.38"/>
    <n v="130.74137930000001"/>
    <n v="6.1040000000000001"/>
  </r>
  <r>
    <x v="12"/>
    <d v="2012-06-04T00:00:00"/>
    <x v="7"/>
    <x v="2"/>
    <x v="730"/>
    <x v="0"/>
    <n v="48.85"/>
    <n v="3.7930000000000001"/>
    <n v="131.03754839999999"/>
    <n v="5.9649999999999999"/>
  </r>
  <r>
    <x v="12"/>
    <d v="2012-04-05T00:00:00"/>
    <x v="5"/>
    <x v="2"/>
    <x v="731"/>
    <x v="0"/>
    <n v="54.41"/>
    <n v="3.831"/>
    <n v="131.136"/>
    <n v="5.9649999999999999"/>
  </r>
  <r>
    <x v="12"/>
    <d v="2012-11-05T00:00:00"/>
    <x v="6"/>
    <x v="2"/>
    <x v="732"/>
    <x v="0"/>
    <n v="56.47"/>
    <n v="3.8090000000000002"/>
    <n v="131.1453333"/>
    <n v="5.9649999999999999"/>
  </r>
  <r>
    <x v="12"/>
    <d v="2012-01-06T00:00:00"/>
    <x v="10"/>
    <x v="2"/>
    <x v="733"/>
    <x v="0"/>
    <n v="61.11"/>
    <n v="3.7879999999999998"/>
    <n v="130.95922580000001"/>
    <n v="5.9649999999999999"/>
  </r>
  <r>
    <x v="12"/>
    <d v="2012-08-06T00:00:00"/>
    <x v="11"/>
    <x v="2"/>
    <x v="734"/>
    <x v="0"/>
    <n v="68.400000000000006"/>
    <n v="3.7759999999999998"/>
    <n v="130.88967740000001"/>
    <n v="5.9649999999999999"/>
  </r>
  <r>
    <x v="12"/>
    <d v="2012-06-07T00:00:00"/>
    <x v="7"/>
    <x v="2"/>
    <x v="735"/>
    <x v="0"/>
    <n v="79.23"/>
    <n v="3.63"/>
    <n v="130.7196333"/>
    <n v="5.7649999999999997"/>
  </r>
  <r>
    <x v="12"/>
    <d v="2012-03-08T00:00:00"/>
    <x v="8"/>
    <x v="2"/>
    <x v="736"/>
    <x v="0"/>
    <n v="81.99"/>
    <n v="3.512"/>
    <n v="130.73787100000001"/>
    <n v="5.7649999999999997"/>
  </r>
  <r>
    <x v="12"/>
    <d v="2012-10-08T00:00:00"/>
    <x v="9"/>
    <x v="2"/>
    <x v="737"/>
    <x v="0"/>
    <n v="81.69"/>
    <n v="3.5089999999999999"/>
    <n v="130.7561613"/>
    <n v="5.7649999999999997"/>
  </r>
  <r>
    <x v="12"/>
    <d v="2012-07-09T00:00:00"/>
    <x v="4"/>
    <x v="2"/>
    <x v="738"/>
    <x v="1"/>
    <n v="70.650000000000006"/>
    <n v="3.6890000000000001"/>
    <n v="130.9325484"/>
    <n v="5.7649999999999997"/>
  </r>
  <r>
    <x v="12"/>
    <d v="2012-05-10T00:00:00"/>
    <x v="0"/>
    <x v="2"/>
    <x v="739"/>
    <x v="0"/>
    <n v="61.79"/>
    <n v="3.8149999999999999"/>
    <n v="131.0756667"/>
    <n v="5.6210000000000004"/>
  </r>
  <r>
    <x v="12"/>
    <d v="2012-12-10T00:00:00"/>
    <x v="1"/>
    <x v="2"/>
    <x v="740"/>
    <x v="0"/>
    <n v="55.1"/>
    <n v="3.7970000000000002"/>
    <n v="131.1083333"/>
    <n v="5.6210000000000004"/>
  </r>
  <r>
    <x v="13"/>
    <d v="2010-05-02T00:00:00"/>
    <x v="0"/>
    <x v="0"/>
    <x v="741"/>
    <x v="0"/>
    <n v="27.31"/>
    <n v="2.7839999999999998"/>
    <n v="181.8711898"/>
    <n v="8.9920000000000009"/>
  </r>
  <r>
    <x v="13"/>
    <d v="2010-12-02T00:00:00"/>
    <x v="1"/>
    <x v="0"/>
    <x v="742"/>
    <x v="1"/>
    <n v="27.73"/>
    <n v="2.7730000000000001"/>
    <n v="181.98231699999999"/>
    <n v="8.9920000000000009"/>
  </r>
  <r>
    <x v="13"/>
    <d v="2010-05-03T00:00:00"/>
    <x v="0"/>
    <x v="0"/>
    <x v="743"/>
    <x v="0"/>
    <n v="37.130000000000003"/>
    <n v="2.7770000000000001"/>
    <n v="182.1201566"/>
    <n v="8.9920000000000009"/>
  </r>
  <r>
    <x v="13"/>
    <d v="2010-12-03T00:00:00"/>
    <x v="1"/>
    <x v="0"/>
    <x v="744"/>
    <x v="0"/>
    <n v="45.8"/>
    <n v="2.8180000000000001"/>
    <n v="182.1628441"/>
    <n v="8.9920000000000009"/>
  </r>
  <r>
    <x v="13"/>
    <d v="2010-02-04T00:00:00"/>
    <x v="2"/>
    <x v="0"/>
    <x v="745"/>
    <x v="0"/>
    <n v="47.74"/>
    <n v="2.85"/>
    <n v="181.8657537"/>
    <n v="8.8989999999999991"/>
  </r>
  <r>
    <x v="13"/>
    <d v="2010-09-04T00:00:00"/>
    <x v="3"/>
    <x v="0"/>
    <x v="746"/>
    <x v="0"/>
    <n v="65.45"/>
    <n v="2.8690000000000002"/>
    <n v="181.75963770000001"/>
    <n v="8.8989999999999991"/>
  </r>
  <r>
    <x v="13"/>
    <d v="2010-07-05T00:00:00"/>
    <x v="4"/>
    <x v="0"/>
    <x v="747"/>
    <x v="0"/>
    <n v="70.75"/>
    <n v="2.9660000000000002"/>
    <n v="181.64681540000001"/>
    <n v="8.8989999999999991"/>
  </r>
  <r>
    <x v="13"/>
    <d v="2010-04-06T00:00:00"/>
    <x v="5"/>
    <x v="0"/>
    <x v="748"/>
    <x v="0"/>
    <n v="75.930000000000007"/>
    <n v="2.847"/>
    <n v="182.2389876"/>
    <n v="8.8989999999999991"/>
  </r>
  <r>
    <x v="13"/>
    <d v="2010-11-06T00:00:00"/>
    <x v="6"/>
    <x v="0"/>
    <x v="749"/>
    <x v="0"/>
    <n v="69.709999999999994"/>
    <n v="2.8090000000000002"/>
    <n v="182.43155709999999"/>
    <n v="8.8989999999999991"/>
  </r>
  <r>
    <x v="13"/>
    <d v="2010-02-07T00:00:00"/>
    <x v="2"/>
    <x v="0"/>
    <x v="750"/>
    <x v="0"/>
    <n v="76.61"/>
    <n v="2.8149999999999999"/>
    <n v="182.3187801"/>
    <n v="8.7430000000000003"/>
  </r>
  <r>
    <x v="13"/>
    <d v="2010-09-07T00:00:00"/>
    <x v="3"/>
    <x v="0"/>
    <x v="751"/>
    <x v="0"/>
    <n v="82.45"/>
    <n v="2.7930000000000001"/>
    <n v="182.2569603"/>
    <n v="8.7430000000000003"/>
  </r>
  <r>
    <x v="13"/>
    <d v="2010-06-08T00:00:00"/>
    <x v="7"/>
    <x v="0"/>
    <x v="752"/>
    <x v="0"/>
    <n v="77.17"/>
    <n v="2.7839999999999998"/>
    <n v="182.53208620000001"/>
    <n v="8.7430000000000003"/>
  </r>
  <r>
    <x v="13"/>
    <d v="2010-03-09T00:00:00"/>
    <x v="8"/>
    <x v="0"/>
    <x v="753"/>
    <x v="0"/>
    <n v="78.37"/>
    <n v="2.7149999999999999"/>
    <n v="182.6042922"/>
    <n v="8.7430000000000003"/>
  </r>
  <r>
    <x v="13"/>
    <d v="2010-10-09T00:00:00"/>
    <x v="9"/>
    <x v="0"/>
    <x v="754"/>
    <x v="1"/>
    <n v="70.87"/>
    <n v="2.6989999999999998"/>
    <n v="182.59817799999999"/>
    <n v="8.7430000000000003"/>
  </r>
  <r>
    <x v="13"/>
    <d v="2010-01-10T00:00:00"/>
    <x v="10"/>
    <x v="0"/>
    <x v="755"/>
    <x v="0"/>
    <n v="70.58"/>
    <n v="2.7069999999999999"/>
    <n v="182.71683849999999"/>
    <n v="8.7240000000000002"/>
  </r>
  <r>
    <x v="13"/>
    <d v="2010-08-10T00:00:00"/>
    <x v="11"/>
    <x v="0"/>
    <x v="756"/>
    <x v="0"/>
    <n v="56.49"/>
    <n v="2.7639999999999998"/>
    <n v="182.76400319999999"/>
    <n v="8.7240000000000002"/>
  </r>
  <r>
    <x v="13"/>
    <d v="2010-05-11T00:00:00"/>
    <x v="0"/>
    <x v="0"/>
    <x v="757"/>
    <x v="0"/>
    <n v="45.65"/>
    <n v="2.9169999999999998"/>
    <n v="182.9463648"/>
    <n v="8.7240000000000002"/>
  </r>
  <r>
    <x v="13"/>
    <d v="2010-12-11T00:00:00"/>
    <x v="1"/>
    <x v="0"/>
    <x v="758"/>
    <x v="0"/>
    <n v="46.14"/>
    <n v="2.931"/>
    <n v="182.99161290000001"/>
    <n v="8.7240000000000002"/>
  </r>
  <r>
    <x v="13"/>
    <d v="2010-03-12T00:00:00"/>
    <x v="8"/>
    <x v="0"/>
    <x v="759"/>
    <x v="0"/>
    <n v="40.93"/>
    <n v="3.0459999999999998"/>
    <n v="182.66761539999999"/>
    <n v="8.7240000000000002"/>
  </r>
  <r>
    <x v="13"/>
    <d v="2010-10-12T00:00:00"/>
    <x v="9"/>
    <x v="0"/>
    <x v="760"/>
    <x v="0"/>
    <n v="30.54"/>
    <n v="3.109"/>
    <n v="182.55195380000001"/>
    <n v="8.7240000000000002"/>
  </r>
  <r>
    <x v="13"/>
    <d v="2011-07-01T00:00:00"/>
    <x v="4"/>
    <x v="1"/>
    <x v="761"/>
    <x v="0"/>
    <n v="34.32"/>
    <n v="3.1930000000000001"/>
    <n v="182.59830579999999"/>
    <n v="8.5489999999999995"/>
  </r>
  <r>
    <x v="13"/>
    <d v="2011-04-02T00:00:00"/>
    <x v="5"/>
    <x v="1"/>
    <x v="762"/>
    <x v="0"/>
    <n v="28.73"/>
    <n v="3.2309999999999999"/>
    <n v="183.44085419999999"/>
    <n v="8.5489999999999995"/>
  </r>
  <r>
    <x v="13"/>
    <d v="2011-11-02T00:00:00"/>
    <x v="6"/>
    <x v="1"/>
    <x v="763"/>
    <x v="1"/>
    <n v="30.3"/>
    <n v="3.2389999999999999"/>
    <n v="183.70161289999999"/>
    <n v="8.5489999999999995"/>
  </r>
  <r>
    <x v="13"/>
    <d v="2011-04-03T00:00:00"/>
    <x v="5"/>
    <x v="1"/>
    <x v="764"/>
    <x v="0"/>
    <n v="38.65"/>
    <n v="3.4329999999999998"/>
    <n v="184.38799109999999"/>
    <n v="8.5489999999999995"/>
  </r>
  <r>
    <x v="13"/>
    <d v="2011-11-03T00:00:00"/>
    <x v="6"/>
    <x v="1"/>
    <x v="765"/>
    <x v="0"/>
    <n v="45.01"/>
    <n v="3.5819999999999999"/>
    <n v="184.61341899999999"/>
    <n v="8.5489999999999995"/>
  </r>
  <r>
    <x v="13"/>
    <d v="2011-01-04T00:00:00"/>
    <x v="10"/>
    <x v="1"/>
    <x v="766"/>
    <x v="0"/>
    <n v="37.270000000000003"/>
    <n v="3.6379999999999999"/>
    <n v="185.17901670000001"/>
    <n v="8.5210000000000008"/>
  </r>
  <r>
    <x v="13"/>
    <d v="2011-08-04T00:00:00"/>
    <x v="11"/>
    <x v="1"/>
    <x v="767"/>
    <x v="0"/>
    <n v="48.71"/>
    <n v="3.72"/>
    <n v="185.36366559999999"/>
    <n v="8.5210000000000008"/>
  </r>
  <r>
    <x v="13"/>
    <d v="2011-06-05T00:00:00"/>
    <x v="7"/>
    <x v="1"/>
    <x v="768"/>
    <x v="0"/>
    <n v="58.21"/>
    <n v="4.0460000000000003"/>
    <n v="185.9374378"/>
    <n v="8.5210000000000008"/>
  </r>
  <r>
    <x v="13"/>
    <d v="2011-03-06T00:00:00"/>
    <x v="8"/>
    <x v="1"/>
    <x v="769"/>
    <x v="0"/>
    <n v="76.38"/>
    <n v="3.9220000000000002"/>
    <n v="185.75450000000001"/>
    <n v="8.5210000000000008"/>
  </r>
  <r>
    <x v="13"/>
    <d v="2011-10-06T00:00:00"/>
    <x v="9"/>
    <x v="1"/>
    <x v="770"/>
    <x v="0"/>
    <n v="73.88"/>
    <n v="3.8809999999999998"/>
    <n v="185.64869229999999"/>
    <n v="8.5210000000000008"/>
  </r>
  <r>
    <x v="13"/>
    <d v="2011-01-07T00:00:00"/>
    <x v="10"/>
    <x v="1"/>
    <x v="771"/>
    <x v="0"/>
    <n v="74.040000000000006"/>
    <n v="3.7480000000000002"/>
    <n v="185.91198850000001"/>
    <n v="8.625"/>
  </r>
  <r>
    <x v="13"/>
    <d v="2011-08-07T00:00:00"/>
    <x v="11"/>
    <x v="1"/>
    <x v="772"/>
    <x v="0"/>
    <n v="77.489999999999995"/>
    <n v="3.7109999999999999"/>
    <n v="186.032016"/>
    <n v="8.625"/>
  </r>
  <r>
    <x v="13"/>
    <d v="2011-05-08T00:00:00"/>
    <x v="0"/>
    <x v="1"/>
    <x v="773"/>
    <x v="0"/>
    <n v="78.22"/>
    <n v="3.8420000000000001"/>
    <n v="186.37340380000001"/>
    <n v="8.625"/>
  </r>
  <r>
    <x v="13"/>
    <d v="2011-12-08T00:00:00"/>
    <x v="1"/>
    <x v="1"/>
    <x v="774"/>
    <x v="0"/>
    <n v="77"/>
    <n v="3.8119999999999998"/>
    <n v="186.4512115"/>
    <n v="8.625"/>
  </r>
  <r>
    <x v="13"/>
    <d v="2011-02-09T00:00:00"/>
    <x v="2"/>
    <x v="1"/>
    <x v="775"/>
    <x v="0"/>
    <n v="70.63"/>
    <n v="3.7029999999999998"/>
    <n v="186.61892739999999"/>
    <n v="8.625"/>
  </r>
  <r>
    <x v="13"/>
    <d v="2011-09-09T00:00:00"/>
    <x v="3"/>
    <x v="1"/>
    <x v="776"/>
    <x v="1"/>
    <n v="71.48"/>
    <n v="3.738"/>
    <n v="186.67373760000001"/>
    <n v="8.625"/>
  </r>
  <r>
    <x v="13"/>
    <d v="2011-07-10T00:00:00"/>
    <x v="4"/>
    <x v="1"/>
    <x v="777"/>
    <x v="0"/>
    <n v="55.82"/>
    <n v="3.5830000000000002"/>
    <n v="187.4837962"/>
    <n v="8.5229999999999997"/>
  </r>
  <r>
    <x v="13"/>
    <d v="2011-04-11T00:00:00"/>
    <x v="5"/>
    <x v="1"/>
    <x v="778"/>
    <x v="0"/>
    <n v="43.92"/>
    <n v="3.5510000000000002"/>
    <n v="187.9703629"/>
    <n v="8.5229999999999997"/>
  </r>
  <r>
    <x v="13"/>
    <d v="2011-11-11T00:00:00"/>
    <x v="6"/>
    <x v="1"/>
    <x v="779"/>
    <x v="0"/>
    <n v="47.65"/>
    <n v="3.53"/>
    <n v="188.06323449999999"/>
    <n v="8.5229999999999997"/>
  </r>
  <r>
    <x v="13"/>
    <d v="2011-02-12T00:00:00"/>
    <x v="2"/>
    <x v="1"/>
    <x v="780"/>
    <x v="0"/>
    <n v="50.19"/>
    <n v="3.452"/>
    <n v="188.50243459999999"/>
    <n v="8.5229999999999997"/>
  </r>
  <r>
    <x v="13"/>
    <d v="2011-09-12T00:00:00"/>
    <x v="3"/>
    <x v="1"/>
    <x v="781"/>
    <x v="0"/>
    <n v="46.57"/>
    <n v="3.415"/>
    <n v="188.65446919999999"/>
    <n v="8.5229999999999997"/>
  </r>
  <r>
    <x v="13"/>
    <d v="2012-06-01T00:00:00"/>
    <x v="7"/>
    <x v="2"/>
    <x v="782"/>
    <x v="0"/>
    <n v="35.880000000000003"/>
    <n v="3.4220000000000002"/>
    <n v="189.1940558"/>
    <n v="8.4239999999999995"/>
  </r>
  <r>
    <x v="13"/>
    <d v="2012-03-02T00:00:00"/>
    <x v="8"/>
    <x v="2"/>
    <x v="783"/>
    <x v="0"/>
    <n v="42.96"/>
    <n v="3.617"/>
    <n v="189.61222770000001"/>
    <n v="8.4239999999999995"/>
  </r>
  <r>
    <x v="13"/>
    <d v="2012-10-02T00:00:00"/>
    <x v="9"/>
    <x v="2"/>
    <x v="784"/>
    <x v="1"/>
    <n v="37"/>
    <n v="3.64"/>
    <n v="189.70760480000001"/>
    <n v="8.4239999999999995"/>
  </r>
  <r>
    <x v="13"/>
    <d v="2012-02-03T00:00:00"/>
    <x v="2"/>
    <x v="2"/>
    <x v="785"/>
    <x v="0"/>
    <n v="41.55"/>
    <n v="3.8159999999999998"/>
    <n v="190.17149269999999"/>
    <n v="8.4239999999999995"/>
  </r>
  <r>
    <x v="13"/>
    <d v="2012-09-03T00:00:00"/>
    <x v="3"/>
    <x v="2"/>
    <x v="786"/>
    <x v="0"/>
    <n v="45.52"/>
    <n v="3.8479999999999999"/>
    <n v="190.3359973"/>
    <n v="8.4239999999999995"/>
  </r>
  <r>
    <x v="13"/>
    <d v="2012-06-04T00:00:00"/>
    <x v="7"/>
    <x v="2"/>
    <x v="787"/>
    <x v="0"/>
    <n v="49.73"/>
    <n v="3.996"/>
    <n v="190.68517120000001"/>
    <n v="8.5670000000000002"/>
  </r>
  <r>
    <x v="13"/>
    <d v="2012-04-05T00:00:00"/>
    <x v="5"/>
    <x v="2"/>
    <x v="788"/>
    <x v="0"/>
    <n v="55.21"/>
    <n v="3.9510000000000001"/>
    <n v="190.9222115"/>
    <n v="8.5670000000000002"/>
  </r>
  <r>
    <x v="13"/>
    <d v="2012-11-05T00:00:00"/>
    <x v="6"/>
    <x v="2"/>
    <x v="789"/>
    <x v="0"/>
    <n v="61.24"/>
    <n v="3.8889999999999998"/>
    <n v="190.97641669999999"/>
    <n v="8.5670000000000002"/>
  </r>
  <r>
    <x v="13"/>
    <d v="2012-01-06T00:00:00"/>
    <x v="10"/>
    <x v="2"/>
    <x v="790"/>
    <x v="0"/>
    <n v="74.48"/>
    <n v="3.742"/>
    <n v="191.0091712"/>
    <n v="8.5670000000000002"/>
  </r>
  <r>
    <x v="13"/>
    <d v="2012-08-06T00:00:00"/>
    <x v="11"/>
    <x v="2"/>
    <x v="791"/>
    <x v="0"/>
    <n v="64.3"/>
    <n v="3.6890000000000001"/>
    <n v="191.01553290000001"/>
    <n v="8.5670000000000002"/>
  </r>
  <r>
    <x v="13"/>
    <d v="2012-06-07T00:00:00"/>
    <x v="7"/>
    <x v="2"/>
    <x v="792"/>
    <x v="0"/>
    <n v="82.99"/>
    <n v="3.4750000000000001"/>
    <n v="191.13388269999999"/>
    <n v="8.6839999999999993"/>
  </r>
  <r>
    <x v="13"/>
    <d v="2012-03-08T00:00:00"/>
    <x v="8"/>
    <x v="2"/>
    <x v="793"/>
    <x v="0"/>
    <n v="76.58"/>
    <n v="3.6539999999999999"/>
    <n v="191.16408999999999"/>
    <n v="8.6839999999999993"/>
  </r>
  <r>
    <x v="13"/>
    <d v="2012-10-08T00:00:00"/>
    <x v="9"/>
    <x v="2"/>
    <x v="794"/>
    <x v="0"/>
    <n v="78.650000000000006"/>
    <n v="3.722"/>
    <n v="191.16261349999999"/>
    <n v="8.6839999999999993"/>
  </r>
  <r>
    <x v="13"/>
    <d v="2012-07-09T00:00:00"/>
    <x v="4"/>
    <x v="2"/>
    <x v="795"/>
    <x v="1"/>
    <n v="75.7"/>
    <n v="3.911"/>
    <n v="191.57767559999999"/>
    <n v="8.6839999999999993"/>
  </r>
  <r>
    <x v="13"/>
    <d v="2012-05-10T00:00:00"/>
    <x v="0"/>
    <x v="2"/>
    <x v="796"/>
    <x v="0"/>
    <n v="64.89"/>
    <n v="3.9849999999999999"/>
    <n v="192.1704115"/>
    <n v="8.6669999999999998"/>
  </r>
  <r>
    <x v="13"/>
    <d v="2012-12-10T00:00:00"/>
    <x v="1"/>
    <x v="2"/>
    <x v="797"/>
    <x v="0"/>
    <n v="54.47"/>
    <n v="4"/>
    <n v="192.32726539999999"/>
    <n v="8.6669999999999998"/>
  </r>
  <r>
    <x v="14"/>
    <d v="2010-05-02T00:00:00"/>
    <x v="0"/>
    <x v="0"/>
    <x v="798"/>
    <x v="0"/>
    <n v="19.829999999999998"/>
    <n v="2.9540000000000002"/>
    <n v="131.5279032"/>
    <n v="8.35"/>
  </r>
  <r>
    <x v="14"/>
    <d v="2010-12-02T00:00:00"/>
    <x v="1"/>
    <x v="0"/>
    <x v="799"/>
    <x v="1"/>
    <n v="22"/>
    <n v="2.94"/>
    <n v="131.58661290000001"/>
    <n v="8.35"/>
  </r>
  <r>
    <x v="14"/>
    <d v="2010-05-03T00:00:00"/>
    <x v="0"/>
    <x v="0"/>
    <x v="800"/>
    <x v="0"/>
    <n v="31.79"/>
    <n v="2.919"/>
    <n v="131.73500000000001"/>
    <n v="8.35"/>
  </r>
  <r>
    <x v="14"/>
    <d v="2010-12-03T00:00:00"/>
    <x v="1"/>
    <x v="0"/>
    <x v="801"/>
    <x v="0"/>
    <n v="41.39"/>
    <n v="2.9380000000000002"/>
    <n v="131.78399999999999"/>
    <n v="8.35"/>
  </r>
  <r>
    <x v="14"/>
    <d v="2010-02-04T00:00:00"/>
    <x v="2"/>
    <x v="0"/>
    <x v="802"/>
    <x v="0"/>
    <n v="45.27"/>
    <n v="2.9569999999999999"/>
    <n v="131.9019677"/>
    <n v="8.1850000000000005"/>
  </r>
  <r>
    <x v="14"/>
    <d v="2010-09-04T00:00:00"/>
    <x v="3"/>
    <x v="0"/>
    <x v="803"/>
    <x v="0"/>
    <n v="57.77"/>
    <n v="2.992"/>
    <n v="131.94080650000001"/>
    <n v="8.1850000000000005"/>
  </r>
  <r>
    <x v="14"/>
    <d v="2010-07-05T00:00:00"/>
    <x v="4"/>
    <x v="0"/>
    <x v="804"/>
    <x v="0"/>
    <n v="63.16"/>
    <n v="3.0950000000000002"/>
    <n v="132.1062"/>
    <n v="8.1850000000000005"/>
  </r>
  <r>
    <x v="14"/>
    <d v="2010-04-06T00:00:00"/>
    <x v="5"/>
    <x v="0"/>
    <x v="805"/>
    <x v="0"/>
    <n v="69.989999999999995"/>
    <n v="3.0059999999999998"/>
    <n v="132.36483870000001"/>
    <n v="8.1850000000000005"/>
  </r>
  <r>
    <x v="14"/>
    <d v="2010-11-06T00:00:00"/>
    <x v="6"/>
    <x v="0"/>
    <x v="806"/>
    <x v="0"/>
    <n v="61.04"/>
    <n v="2.972"/>
    <n v="132.43574190000001"/>
    <n v="8.1850000000000005"/>
  </r>
  <r>
    <x v="14"/>
    <d v="2010-02-07T00:00:00"/>
    <x v="2"/>
    <x v="0"/>
    <x v="807"/>
    <x v="0"/>
    <n v="66.13"/>
    <n v="2.9580000000000002"/>
    <n v="132.5218667"/>
    <n v="8.0990000000000002"/>
  </r>
  <r>
    <x v="14"/>
    <d v="2010-09-07T00:00:00"/>
    <x v="3"/>
    <x v="0"/>
    <x v="808"/>
    <x v="0"/>
    <n v="77.33"/>
    <n v="2.94"/>
    <n v="132.54613330000001"/>
    <n v="8.0990000000000002"/>
  </r>
  <r>
    <x v="14"/>
    <d v="2010-06-08T00:00:00"/>
    <x v="7"/>
    <x v="0"/>
    <x v="809"/>
    <x v="0"/>
    <n v="72.7"/>
    <n v="2.9420000000000002"/>
    <n v="132.6141935"/>
    <n v="8.0990000000000002"/>
  </r>
  <r>
    <x v="14"/>
    <d v="2010-03-09T00:00:00"/>
    <x v="8"/>
    <x v="0"/>
    <x v="810"/>
    <x v="0"/>
    <n v="73.17"/>
    <n v="2.86"/>
    <n v="132.72483869999999"/>
    <n v="8.0990000000000002"/>
  </r>
  <r>
    <x v="14"/>
    <d v="2010-10-09T00:00:00"/>
    <x v="9"/>
    <x v="0"/>
    <x v="811"/>
    <x v="1"/>
    <n v="62.36"/>
    <n v="2.8370000000000002"/>
    <n v="132.75645159999999"/>
    <n v="8.0990000000000002"/>
  </r>
  <r>
    <x v="14"/>
    <d v="2010-01-10T00:00:00"/>
    <x v="10"/>
    <x v="0"/>
    <x v="812"/>
    <x v="0"/>
    <n v="59.69"/>
    <n v="2.84"/>
    <n v="132.7568"/>
    <n v="8.0670000000000002"/>
  </r>
  <r>
    <x v="14"/>
    <d v="2010-08-10T00:00:00"/>
    <x v="11"/>
    <x v="0"/>
    <x v="813"/>
    <x v="0"/>
    <n v="52.19"/>
    <n v="2.903"/>
    <n v="132.75166669999999"/>
    <n v="8.0670000000000002"/>
  </r>
  <r>
    <x v="14"/>
    <d v="2010-05-11T00:00:00"/>
    <x v="0"/>
    <x v="0"/>
    <x v="814"/>
    <x v="0"/>
    <n v="40.29"/>
    <n v="3.0489999999999999"/>
    <n v="132.92458060000001"/>
    <n v="8.0670000000000002"/>
  </r>
  <r>
    <x v="14"/>
    <d v="2010-12-11T00:00:00"/>
    <x v="1"/>
    <x v="0"/>
    <x v="815"/>
    <x v="0"/>
    <n v="39.630000000000003"/>
    <n v="3.0649999999999999"/>
    <n v="132.97832260000001"/>
    <n v="8.0670000000000002"/>
  </r>
  <r>
    <x v="14"/>
    <d v="2010-03-12T00:00:00"/>
    <x v="8"/>
    <x v="0"/>
    <x v="816"/>
    <x v="0"/>
    <n v="36"/>
    <n v="3.2"/>
    <n v="132.75666670000001"/>
    <n v="8.0670000000000002"/>
  </r>
  <r>
    <x v="14"/>
    <d v="2010-10-12T00:00:00"/>
    <x v="9"/>
    <x v="0"/>
    <x v="817"/>
    <x v="0"/>
    <n v="23.97"/>
    <n v="3.2549999999999999"/>
    <n v="132.6764"/>
    <n v="8.0670000000000002"/>
  </r>
  <r>
    <x v="14"/>
    <d v="2011-07-01T00:00:00"/>
    <x v="4"/>
    <x v="1"/>
    <x v="818"/>
    <x v="0"/>
    <n v="30.53"/>
    <n v="3.351"/>
    <n v="132.88232260000001"/>
    <n v="7.7709999999999999"/>
  </r>
  <r>
    <x v="14"/>
    <d v="2011-04-02T00:00:00"/>
    <x v="5"/>
    <x v="1"/>
    <x v="819"/>
    <x v="0"/>
    <n v="20.69"/>
    <n v="3.4"/>
    <n v="133.18341939999999"/>
    <n v="7.7709999999999999"/>
  </r>
  <r>
    <x v="14"/>
    <d v="2011-11-02T00:00:00"/>
    <x v="6"/>
    <x v="1"/>
    <x v="820"/>
    <x v="1"/>
    <n v="21.64"/>
    <n v="3.4159999999999999"/>
    <n v="133.26087100000001"/>
    <n v="7.7709999999999999"/>
  </r>
  <r>
    <x v="14"/>
    <d v="2011-04-03T00:00:00"/>
    <x v="5"/>
    <x v="1"/>
    <x v="821"/>
    <x v="0"/>
    <n v="28.16"/>
    <n v="3.605"/>
    <n v="133.61414289999999"/>
    <n v="7.7709999999999999"/>
  </r>
  <r>
    <x v="14"/>
    <d v="2011-11-03T00:00:00"/>
    <x v="6"/>
    <x v="1"/>
    <x v="822"/>
    <x v="0"/>
    <n v="34.270000000000003"/>
    <n v="3.7519999999999998"/>
    <n v="133.7361429"/>
    <n v="7.7709999999999999"/>
  </r>
  <r>
    <x v="14"/>
    <d v="2011-01-04T00:00:00"/>
    <x v="10"/>
    <x v="1"/>
    <x v="823"/>
    <x v="0"/>
    <n v="30.34"/>
    <n v="3.8109999999999999"/>
    <n v="134.06825810000001"/>
    <n v="7.6580000000000004"/>
  </r>
  <r>
    <x v="14"/>
    <d v="2011-08-04T00:00:00"/>
    <x v="11"/>
    <x v="1"/>
    <x v="824"/>
    <x v="0"/>
    <n v="40.94"/>
    <n v="3.895"/>
    <n v="134.17777419999999"/>
    <n v="7.6580000000000004"/>
  </r>
  <r>
    <x v="14"/>
    <d v="2011-06-05T00:00:00"/>
    <x v="7"/>
    <x v="1"/>
    <x v="825"/>
    <x v="0"/>
    <n v="49.87"/>
    <n v="4.1920000000000002"/>
    <n v="134.51436670000001"/>
    <n v="7.6580000000000004"/>
  </r>
  <r>
    <x v="14"/>
    <d v="2011-03-06T00:00:00"/>
    <x v="8"/>
    <x v="1"/>
    <x v="826"/>
    <x v="0"/>
    <n v="69.8"/>
    <n v="4.069"/>
    <n v="134.85516129999999"/>
    <n v="7.6580000000000004"/>
  </r>
  <r>
    <x v="14"/>
    <d v="2011-10-06T00:00:00"/>
    <x v="9"/>
    <x v="1"/>
    <x v="827"/>
    <x v="0"/>
    <n v="69.86"/>
    <n v="4.0250000000000004"/>
    <n v="134.94254839999999"/>
    <n v="7.6580000000000004"/>
  </r>
  <r>
    <x v="14"/>
    <d v="2011-01-07T00:00:00"/>
    <x v="10"/>
    <x v="1"/>
    <x v="828"/>
    <x v="0"/>
    <n v="67.430000000000007"/>
    <n v="3.9159999999999999"/>
    <n v="135.4468"/>
    <n v="7.806"/>
  </r>
  <r>
    <x v="14"/>
    <d v="2011-08-07T00:00:00"/>
    <x v="11"/>
    <x v="1"/>
    <x v="829"/>
    <x v="0"/>
    <n v="73.47"/>
    <n v="3.8860000000000001"/>
    <n v="135.62833330000001"/>
    <n v="7.806"/>
  </r>
  <r>
    <x v="14"/>
    <d v="2011-05-08T00:00:00"/>
    <x v="0"/>
    <x v="1"/>
    <x v="830"/>
    <x v="0"/>
    <n v="73.63"/>
    <n v="4.0199999999999996"/>
    <n v="136.05403229999999"/>
    <n v="7.806"/>
  </r>
  <r>
    <x v="14"/>
    <d v="2011-12-08T00:00:00"/>
    <x v="1"/>
    <x v="1"/>
    <x v="831"/>
    <x v="0"/>
    <n v="70.63"/>
    <n v="3.9950000000000001"/>
    <n v="136.14412899999999"/>
    <n v="7.806"/>
  </r>
  <r>
    <x v="14"/>
    <d v="2011-02-09T00:00:00"/>
    <x v="2"/>
    <x v="1"/>
    <x v="832"/>
    <x v="0"/>
    <n v="67.63"/>
    <n v="3.879"/>
    <n v="136.24409679999999"/>
    <n v="7.806"/>
  </r>
  <r>
    <x v="14"/>
    <d v="2011-09-09T00:00:00"/>
    <x v="3"/>
    <x v="1"/>
    <x v="833"/>
    <x v="1"/>
    <n v="67.59"/>
    <n v="3.93"/>
    <n v="136.27458060000001"/>
    <n v="7.806"/>
  </r>
  <r>
    <x v="14"/>
    <d v="2011-07-10T00:00:00"/>
    <x v="4"/>
    <x v="1"/>
    <x v="834"/>
    <x v="0"/>
    <n v="51.24"/>
    <n v="3.7749999999999999"/>
    <n v="136.47200000000001"/>
    <n v="7.8659999999999997"/>
  </r>
  <r>
    <x v="14"/>
    <d v="2011-04-11T00:00:00"/>
    <x v="5"/>
    <x v="1"/>
    <x v="835"/>
    <x v="0"/>
    <n v="43.39"/>
    <n v="3.738"/>
    <n v="136.47512900000001"/>
    <n v="7.8659999999999997"/>
  </r>
  <r>
    <x v="14"/>
    <d v="2011-11-11T00:00:00"/>
    <x v="6"/>
    <x v="1"/>
    <x v="836"/>
    <x v="0"/>
    <n v="47.13"/>
    <n v="3.7189999999999999"/>
    <n v="136.46180649999999"/>
    <n v="7.8659999999999997"/>
  </r>
  <r>
    <x v="14"/>
    <d v="2011-02-12T00:00:00"/>
    <x v="2"/>
    <x v="1"/>
    <x v="837"/>
    <x v="0"/>
    <n v="45.67"/>
    <n v="3.6659999999999999"/>
    <n v="136.49093329999999"/>
    <n v="7.8659999999999997"/>
  </r>
  <r>
    <x v="14"/>
    <d v="2011-09-12T00:00:00"/>
    <x v="3"/>
    <x v="1"/>
    <x v="838"/>
    <x v="0"/>
    <n v="38.53"/>
    <n v="3.6269999999999998"/>
    <n v="136.50306670000001"/>
    <n v="7.8659999999999997"/>
  </r>
  <r>
    <x v="14"/>
    <d v="2012-06-01T00:00:00"/>
    <x v="7"/>
    <x v="2"/>
    <x v="839"/>
    <x v="0"/>
    <n v="30.24"/>
    <n v="3.585"/>
    <n v="136.69812899999999"/>
    <n v="7.9429999999999996"/>
  </r>
  <r>
    <x v="14"/>
    <d v="2012-03-02T00:00:00"/>
    <x v="8"/>
    <x v="2"/>
    <x v="840"/>
    <x v="0"/>
    <n v="35.299999999999997"/>
    <n v="3.7959999999999998"/>
    <n v="137.06325810000001"/>
    <n v="7.9429999999999996"/>
  </r>
  <r>
    <x v="14"/>
    <d v="2012-10-02T00:00:00"/>
    <x v="9"/>
    <x v="2"/>
    <x v="841"/>
    <x v="1"/>
    <n v="31.91"/>
    <n v="3.8260000000000001"/>
    <n v="137.1666774"/>
    <n v="7.9429999999999996"/>
  </r>
  <r>
    <x v="14"/>
    <d v="2012-02-03T00:00:00"/>
    <x v="2"/>
    <x v="2"/>
    <x v="842"/>
    <x v="0"/>
    <n v="33.24"/>
    <n v="3.9830000000000001"/>
    <n v="137.42389660000001"/>
    <n v="7.9429999999999996"/>
  </r>
  <r>
    <x v="14"/>
    <d v="2012-09-03T00:00:00"/>
    <x v="3"/>
    <x v="2"/>
    <x v="843"/>
    <x v="0"/>
    <n v="36.97"/>
    <n v="4.0209999999999999"/>
    <n v="137.50668970000001"/>
    <n v="7.9429999999999996"/>
  </r>
  <r>
    <x v="14"/>
    <d v="2012-06-04T00:00:00"/>
    <x v="7"/>
    <x v="2"/>
    <x v="844"/>
    <x v="0"/>
    <n v="40.01"/>
    <n v="4.1429999999999998"/>
    <n v="137.79709679999999"/>
    <n v="8.15"/>
  </r>
  <r>
    <x v="14"/>
    <d v="2012-04-05T00:00:00"/>
    <x v="5"/>
    <x v="2"/>
    <x v="845"/>
    <x v="0"/>
    <n v="51.04"/>
    <n v="4.1239999999999997"/>
    <n v="138.03319999999999"/>
    <n v="8.15"/>
  </r>
  <r>
    <x v="14"/>
    <d v="2012-11-05T00:00:00"/>
    <x v="6"/>
    <x v="2"/>
    <x v="846"/>
    <x v="0"/>
    <n v="54.23"/>
    <n v="4.0549999999999997"/>
    <n v="138.08826669999999"/>
    <n v="8.15"/>
  </r>
  <r>
    <x v="14"/>
    <d v="2012-01-06T00:00:00"/>
    <x v="10"/>
    <x v="2"/>
    <x v="847"/>
    <x v="0"/>
    <n v="67.61"/>
    <n v="3.915"/>
    <n v="138.11380650000001"/>
    <n v="8.15"/>
  </r>
  <r>
    <x v="14"/>
    <d v="2012-08-06T00:00:00"/>
    <x v="11"/>
    <x v="2"/>
    <x v="848"/>
    <x v="0"/>
    <n v="59.35"/>
    <n v="3.871"/>
    <n v="138.11741939999999"/>
    <n v="8.15"/>
  </r>
  <r>
    <x v="14"/>
    <d v="2012-06-07T00:00:00"/>
    <x v="7"/>
    <x v="2"/>
    <x v="849"/>
    <x v="0"/>
    <n v="74.64"/>
    <n v="3.6459999999999999"/>
    <n v="138.22963329999999"/>
    <n v="8.1929999999999996"/>
  </r>
  <r>
    <x v="14"/>
    <d v="2012-03-08T00:00:00"/>
    <x v="8"/>
    <x v="2"/>
    <x v="850"/>
    <x v="0"/>
    <n v="73.13"/>
    <n v="3.819"/>
    <n v="138.17358060000001"/>
    <n v="8.1929999999999996"/>
  </r>
  <r>
    <x v="14"/>
    <d v="2012-10-08T00:00:00"/>
    <x v="9"/>
    <x v="2"/>
    <x v="851"/>
    <x v="0"/>
    <n v="73.989999999999995"/>
    <n v="3.863"/>
    <n v="138.1437742"/>
    <n v="8.1929999999999996"/>
  </r>
  <r>
    <x v="14"/>
    <d v="2012-07-09T00:00:00"/>
    <x v="4"/>
    <x v="2"/>
    <x v="852"/>
    <x v="1"/>
    <n v="71.61"/>
    <n v="4.0759999999999996"/>
    <n v="138.47293550000001"/>
    <n v="8.1929999999999996"/>
  </r>
  <r>
    <x v="14"/>
    <d v="2012-05-10T00:00:00"/>
    <x v="0"/>
    <x v="2"/>
    <x v="853"/>
    <x v="0"/>
    <n v="59.57"/>
    <n v="4.1509999999999998"/>
    <n v="138.82560000000001"/>
    <n v="7.992"/>
  </r>
  <r>
    <x v="14"/>
    <d v="2012-12-10T00:00:00"/>
    <x v="1"/>
    <x v="2"/>
    <x v="854"/>
    <x v="0"/>
    <n v="49.12"/>
    <n v="4.1859999999999999"/>
    <n v="138.9117"/>
    <n v="7.992"/>
  </r>
  <r>
    <x v="15"/>
    <d v="2010-05-02T00:00:00"/>
    <x v="0"/>
    <x v="0"/>
    <x v="855"/>
    <x v="0"/>
    <n v="19.79"/>
    <n v="2.58"/>
    <n v="189.38169740000001"/>
    <n v="7.0389999999999997"/>
  </r>
  <r>
    <x v="15"/>
    <d v="2010-12-02T00:00:00"/>
    <x v="1"/>
    <x v="0"/>
    <x v="856"/>
    <x v="1"/>
    <n v="20.87"/>
    <n v="2.5720000000000001"/>
    <n v="189.46427249999999"/>
    <n v="7.0389999999999997"/>
  </r>
  <r>
    <x v="15"/>
    <d v="2010-05-03T00:00:00"/>
    <x v="0"/>
    <x v="0"/>
    <x v="857"/>
    <x v="0"/>
    <n v="27.92"/>
    <n v="2.62"/>
    <n v="189.66950489999999"/>
    <n v="7.0389999999999997"/>
  </r>
  <r>
    <x v="15"/>
    <d v="2010-12-03T00:00:00"/>
    <x v="1"/>
    <x v="0"/>
    <x v="858"/>
    <x v="0"/>
    <n v="28.64"/>
    <n v="2.6840000000000002"/>
    <n v="189.73720750000001"/>
    <n v="7.0389999999999997"/>
  </r>
  <r>
    <x v="15"/>
    <d v="2010-02-04T00:00:00"/>
    <x v="2"/>
    <x v="0"/>
    <x v="859"/>
    <x v="0"/>
    <n v="36.19"/>
    <n v="2.7250000000000001"/>
    <n v="189.70482150000001"/>
    <n v="6.8419999999999996"/>
  </r>
  <r>
    <x v="15"/>
    <d v="2010-09-04T00:00:00"/>
    <x v="3"/>
    <x v="0"/>
    <x v="860"/>
    <x v="0"/>
    <n v="34.21"/>
    <n v="2.75"/>
    <n v="189.69010119999999"/>
    <n v="6.8419999999999996"/>
  </r>
  <r>
    <x v="15"/>
    <d v="2010-07-05T00:00:00"/>
    <x v="4"/>
    <x v="0"/>
    <x v="861"/>
    <x v="0"/>
    <n v="37.43"/>
    <n v="2.7709999999999999"/>
    <n v="189.53124829999999"/>
    <n v="6.8419999999999996"/>
  </r>
  <r>
    <x v="15"/>
    <d v="2010-04-06T00:00:00"/>
    <x v="5"/>
    <x v="0"/>
    <x v="862"/>
    <x v="0"/>
    <n v="53.76"/>
    <n v="2.7"/>
    <n v="189.42265800000001"/>
    <n v="6.8419999999999996"/>
  </r>
  <r>
    <x v="15"/>
    <d v="2010-11-06T00:00:00"/>
    <x v="6"/>
    <x v="0"/>
    <x v="863"/>
    <x v="0"/>
    <n v="62.63"/>
    <n v="2.6840000000000002"/>
    <n v="189.4000734"/>
    <n v="6.8419999999999996"/>
  </r>
  <r>
    <x v="15"/>
    <d v="2010-02-07T00:00:00"/>
    <x v="2"/>
    <x v="0"/>
    <x v="864"/>
    <x v="0"/>
    <n v="64.44"/>
    <n v="2.7280000000000002"/>
    <n v="189.48826030000001"/>
    <n v="6.8680000000000003"/>
  </r>
  <r>
    <x v="15"/>
    <d v="2010-09-07T00:00:00"/>
    <x v="3"/>
    <x v="0"/>
    <x v="865"/>
    <x v="0"/>
    <n v="61.79"/>
    <n v="2.7109999999999999"/>
    <n v="189.52312760000001"/>
    <n v="6.8680000000000003"/>
  </r>
  <r>
    <x v="15"/>
    <d v="2010-06-08T00:00:00"/>
    <x v="7"/>
    <x v="0"/>
    <x v="866"/>
    <x v="0"/>
    <n v="67.42"/>
    <n v="2.69"/>
    <n v="190.09900279999999"/>
    <n v="6.8680000000000003"/>
  </r>
  <r>
    <x v="15"/>
    <d v="2010-03-09T00:00:00"/>
    <x v="8"/>
    <x v="0"/>
    <x v="867"/>
    <x v="0"/>
    <n v="58.02"/>
    <n v="2.7730000000000001"/>
    <n v="190.3621607"/>
    <n v="6.8680000000000003"/>
  </r>
  <r>
    <x v="15"/>
    <d v="2010-10-09T00:00:00"/>
    <x v="9"/>
    <x v="0"/>
    <x v="868"/>
    <x v="1"/>
    <n v="57.24"/>
    <n v="2.78"/>
    <n v="190.3958293"/>
    <n v="6.8680000000000003"/>
  </r>
  <r>
    <x v="15"/>
    <d v="2010-01-10T00:00:00"/>
    <x v="10"/>
    <x v="0"/>
    <x v="869"/>
    <x v="0"/>
    <n v="59.39"/>
    <n v="2.7589999999999999"/>
    <n v="190.67382409999999"/>
    <n v="6.9859999999999998"/>
  </r>
  <r>
    <x v="15"/>
    <d v="2010-08-10T00:00:00"/>
    <x v="11"/>
    <x v="0"/>
    <x v="870"/>
    <x v="0"/>
    <n v="54.29"/>
    <n v="2.7450000000000001"/>
    <n v="190.77632180000001"/>
    <n v="6.9859999999999998"/>
  </r>
  <r>
    <x v="15"/>
    <d v="2010-05-11T00:00:00"/>
    <x v="0"/>
    <x v="0"/>
    <x v="871"/>
    <x v="0"/>
    <n v="39.94"/>
    <n v="2.7290000000000001"/>
    <n v="190.9964377"/>
    <n v="6.9859999999999998"/>
  </r>
  <r>
    <x v="15"/>
    <d v="2010-12-11T00:00:00"/>
    <x v="1"/>
    <x v="0"/>
    <x v="872"/>
    <x v="0"/>
    <n v="34.04"/>
    <n v="2.7370000000000001"/>
    <n v="191.0411474"/>
    <n v="6.9859999999999998"/>
  </r>
  <r>
    <x v="15"/>
    <d v="2010-03-12T00:00:00"/>
    <x v="8"/>
    <x v="0"/>
    <x v="873"/>
    <x v="0"/>
    <n v="23.68"/>
    <n v="2.7120000000000002"/>
    <n v="190.99314369999999"/>
    <n v="6.9859999999999998"/>
  </r>
  <r>
    <x v="15"/>
    <d v="2010-10-12T00:00:00"/>
    <x v="9"/>
    <x v="0"/>
    <x v="874"/>
    <x v="0"/>
    <n v="32.020000000000003"/>
    <n v="2.7280000000000002"/>
    <n v="190.97410690000001"/>
    <n v="6.9859999999999998"/>
  </r>
  <r>
    <x v="15"/>
    <d v="2011-07-01T00:00:00"/>
    <x v="4"/>
    <x v="1"/>
    <x v="875"/>
    <x v="0"/>
    <n v="12.39"/>
    <n v="2.8820000000000001"/>
    <n v="191.3683815"/>
    <n v="6.6139999999999999"/>
  </r>
  <r>
    <x v="15"/>
    <d v="2011-04-02T00:00:00"/>
    <x v="5"/>
    <x v="1"/>
    <x v="876"/>
    <x v="0"/>
    <n v="13.64"/>
    <n v="3.0110000000000001"/>
    <n v="191.76258949999999"/>
    <n v="6.6139999999999999"/>
  </r>
  <r>
    <x v="15"/>
    <d v="2011-11-02T00:00:00"/>
    <x v="6"/>
    <x v="1"/>
    <x v="877"/>
    <x v="1"/>
    <n v="15.02"/>
    <n v="3.0369999999999999"/>
    <n v="191.85728810000001"/>
    <n v="6.6139999999999999"/>
  </r>
  <r>
    <x v="15"/>
    <d v="2011-04-03T00:00:00"/>
    <x v="5"/>
    <x v="1"/>
    <x v="878"/>
    <x v="0"/>
    <n v="31.77"/>
    <n v="3.2320000000000002"/>
    <n v="192.01160039999999"/>
    <n v="6.6139999999999999"/>
  </r>
  <r>
    <x v="15"/>
    <d v="2011-11-03T00:00:00"/>
    <x v="6"/>
    <x v="1"/>
    <x v="879"/>
    <x v="0"/>
    <n v="29.36"/>
    <n v="3.3719999999999999"/>
    <n v="192.05848399999999"/>
    <n v="6.6139999999999999"/>
  </r>
  <r>
    <x v="15"/>
    <d v="2011-01-04T00:00:00"/>
    <x v="10"/>
    <x v="1"/>
    <x v="880"/>
    <x v="0"/>
    <n v="35.75"/>
    <n v="3.4609999999999999"/>
    <n v="192.26917069999999"/>
    <n v="6.3390000000000004"/>
  </r>
  <r>
    <x v="15"/>
    <d v="2011-08-04T00:00:00"/>
    <x v="11"/>
    <x v="1"/>
    <x v="881"/>
    <x v="0"/>
    <n v="38.04"/>
    <n v="3.532"/>
    <n v="192.3418571"/>
    <n v="6.3390000000000004"/>
  </r>
  <r>
    <x v="15"/>
    <d v="2011-06-05T00:00:00"/>
    <x v="7"/>
    <x v="1"/>
    <x v="882"/>
    <x v="0"/>
    <n v="38.64"/>
    <n v="3.7349999999999999"/>
    <n v="192.72520059999999"/>
    <n v="6.3390000000000004"/>
  </r>
  <r>
    <x v="15"/>
    <d v="2011-03-06T00:00:00"/>
    <x v="8"/>
    <x v="1"/>
    <x v="883"/>
    <x v="0"/>
    <n v="54.08"/>
    <n v="3.7629999999999999"/>
    <n v="192.8418131"/>
    <n v="6.3390000000000004"/>
  </r>
  <r>
    <x v="15"/>
    <d v="2011-10-06T00:00:00"/>
    <x v="9"/>
    <x v="1"/>
    <x v="884"/>
    <x v="0"/>
    <n v="55.78"/>
    <n v="3.7349999999999999"/>
    <n v="192.84706120000001"/>
    <n v="6.3390000000000004"/>
  </r>
  <r>
    <x v="15"/>
    <d v="2011-01-07T00:00:00"/>
    <x v="10"/>
    <x v="1"/>
    <x v="885"/>
    <x v="0"/>
    <n v="63.59"/>
    <n v="3.597"/>
    <n v="193.09305520000001"/>
    <n v="6.3380000000000001"/>
  </r>
  <r>
    <x v="15"/>
    <d v="2011-08-07T00:00:00"/>
    <x v="11"/>
    <x v="1"/>
    <x v="886"/>
    <x v="0"/>
    <n v="65"/>
    <n v="3.54"/>
    <n v="193.18784479999999"/>
    <n v="6.3380000000000001"/>
  </r>
  <r>
    <x v="15"/>
    <d v="2011-05-08T00:00:00"/>
    <x v="0"/>
    <x v="1"/>
    <x v="887"/>
    <x v="0"/>
    <n v="63.96"/>
    <n v="3.5539999999999998"/>
    <n v="193.91101330000001"/>
    <n v="6.3380000000000001"/>
  </r>
  <r>
    <x v="15"/>
    <d v="2011-12-08T00:00:00"/>
    <x v="1"/>
    <x v="1"/>
    <x v="888"/>
    <x v="0"/>
    <n v="67.09"/>
    <n v="3.5419999999999998"/>
    <n v="194.11050169999999"/>
    <n v="6.3380000000000001"/>
  </r>
  <r>
    <x v="15"/>
    <d v="2011-02-09T00:00:00"/>
    <x v="2"/>
    <x v="1"/>
    <x v="889"/>
    <x v="0"/>
    <n v="63.44"/>
    <n v="3.5110000000000001"/>
    <n v="194.5092113"/>
    <n v="6.3380000000000001"/>
  </r>
  <r>
    <x v="15"/>
    <d v="2011-09-09T00:00:00"/>
    <x v="3"/>
    <x v="1"/>
    <x v="890"/>
    <x v="1"/>
    <n v="56.99"/>
    <n v="3.5659999999999998"/>
    <n v="194.6387853"/>
    <n v="6.3380000000000001"/>
  </r>
  <r>
    <x v="15"/>
    <d v="2011-07-10T00:00:00"/>
    <x v="4"/>
    <x v="1"/>
    <x v="891"/>
    <x v="0"/>
    <n v="48.91"/>
    <n v="3.4980000000000002"/>
    <n v="194.94597239999999"/>
    <n v="6.2320000000000002"/>
  </r>
  <r>
    <x v="15"/>
    <d v="2011-04-11T00:00:00"/>
    <x v="5"/>
    <x v="1"/>
    <x v="892"/>
    <x v="0"/>
    <n v="33.43"/>
    <n v="3.5270000000000001"/>
    <n v="195.48479589999999"/>
    <n v="6.2320000000000002"/>
  </r>
  <r>
    <x v="15"/>
    <d v="2011-11-11T00:00:00"/>
    <x v="6"/>
    <x v="1"/>
    <x v="893"/>
    <x v="0"/>
    <n v="29.56"/>
    <n v="3.5049999999999999"/>
    <n v="195.6376941"/>
    <n v="6.2320000000000002"/>
  </r>
  <r>
    <x v="15"/>
    <d v="2011-02-12T00:00:00"/>
    <x v="2"/>
    <x v="1"/>
    <x v="894"/>
    <x v="0"/>
    <n v="27.83"/>
    <n v="3.3780000000000001"/>
    <n v="195.82232870000001"/>
    <n v="6.2320000000000002"/>
  </r>
  <r>
    <x v="15"/>
    <d v="2011-09-12T00:00:00"/>
    <x v="3"/>
    <x v="1"/>
    <x v="895"/>
    <x v="0"/>
    <n v="14.44"/>
    <n v="3.331"/>
    <n v="195.8742575"/>
    <n v="6.2320000000000002"/>
  </r>
  <r>
    <x v="15"/>
    <d v="2012-06-01T00:00:00"/>
    <x v="7"/>
    <x v="2"/>
    <x v="896"/>
    <x v="0"/>
    <n v="26.49"/>
    <n v="3.0950000000000002"/>
    <n v="196.5458309"/>
    <n v="6.1619999999999999"/>
  </r>
  <r>
    <x v="15"/>
    <d v="2012-03-02T00:00:00"/>
    <x v="8"/>
    <x v="2"/>
    <x v="897"/>
    <x v="0"/>
    <n v="25.53"/>
    <n v="3.0310000000000001"/>
    <n v="196.8728921"/>
    <n v="6.1619999999999999"/>
  </r>
  <r>
    <x v="15"/>
    <d v="2012-10-02T00:00:00"/>
    <x v="9"/>
    <x v="2"/>
    <x v="898"/>
    <x v="1"/>
    <n v="23.69"/>
    <n v="3.1030000000000002"/>
    <n v="196.91950560000001"/>
    <n v="6.1619999999999999"/>
  </r>
  <r>
    <x v="15"/>
    <d v="2012-02-03T00:00:00"/>
    <x v="2"/>
    <x v="2"/>
    <x v="899"/>
    <x v="0"/>
    <n v="23.4"/>
    <n v="3.1909999999999998"/>
    <n v="196.9565303"/>
    <n v="6.1619999999999999"/>
  </r>
  <r>
    <x v="15"/>
    <d v="2012-09-03T00:00:00"/>
    <x v="3"/>
    <x v="2"/>
    <x v="900"/>
    <x v="0"/>
    <n v="28.16"/>
    <n v="3.286"/>
    <n v="196.96315989999999"/>
    <n v="6.1619999999999999"/>
  </r>
  <r>
    <x v="15"/>
    <d v="2012-06-04T00:00:00"/>
    <x v="7"/>
    <x v="2"/>
    <x v="901"/>
    <x v="0"/>
    <n v="48.93"/>
    <n v="3.8540000000000001"/>
    <n v="197.5971285"/>
    <n v="6.1689999999999996"/>
  </r>
  <r>
    <x v="15"/>
    <d v="2012-04-05T00:00:00"/>
    <x v="5"/>
    <x v="2"/>
    <x v="902"/>
    <x v="0"/>
    <n v="51.34"/>
    <n v="3.903"/>
    <n v="197.60635339999999"/>
    <n v="6.1689999999999996"/>
  </r>
  <r>
    <x v="15"/>
    <d v="2012-11-05T00:00:00"/>
    <x v="6"/>
    <x v="2"/>
    <x v="903"/>
    <x v="0"/>
    <n v="53.57"/>
    <n v="3.87"/>
    <n v="197.5481609"/>
    <n v="6.1689999999999996"/>
  </r>
  <r>
    <x v="15"/>
    <d v="2012-01-06T00:00:00"/>
    <x v="10"/>
    <x v="2"/>
    <x v="904"/>
    <x v="0"/>
    <n v="58.97"/>
    <n v="3.7639999999999998"/>
    <n v="197.6218954"/>
    <n v="6.1689999999999996"/>
  </r>
  <r>
    <x v="15"/>
    <d v="2012-08-06T00:00:00"/>
    <x v="11"/>
    <x v="2"/>
    <x v="905"/>
    <x v="0"/>
    <n v="65.430000000000007"/>
    <n v="3.7410000000000001"/>
    <n v="197.6551863"/>
    <n v="6.1689999999999996"/>
  </r>
  <r>
    <x v="15"/>
    <d v="2012-06-07T00:00:00"/>
    <x v="7"/>
    <x v="2"/>
    <x v="906"/>
    <x v="0"/>
    <n v="70.489999999999995"/>
    <n v="3.6459999999999999"/>
    <n v="197.83221950000001"/>
    <n v="6.0609999999999999"/>
  </r>
  <r>
    <x v="15"/>
    <d v="2012-03-08T00:00:00"/>
    <x v="8"/>
    <x v="2"/>
    <x v="907"/>
    <x v="0"/>
    <n v="68.59"/>
    <n v="3.528"/>
    <n v="198.02938929999999"/>
    <n v="6.0609999999999999"/>
  </r>
  <r>
    <x v="15"/>
    <d v="2012-10-08T00:00:00"/>
    <x v="9"/>
    <x v="2"/>
    <x v="908"/>
    <x v="0"/>
    <n v="70.239999999999995"/>
    <n v="3.5089999999999999"/>
    <n v="198.0795651"/>
    <n v="6.0609999999999999"/>
  </r>
  <r>
    <x v="15"/>
    <d v="2012-07-09T00:00:00"/>
    <x v="4"/>
    <x v="2"/>
    <x v="909"/>
    <x v="1"/>
    <n v="60.09"/>
    <n v="3.5960000000000001"/>
    <n v="198.0950484"/>
    <n v="6.0609999999999999"/>
  </r>
  <r>
    <x v="15"/>
    <d v="2012-05-10T00:00:00"/>
    <x v="0"/>
    <x v="2"/>
    <x v="910"/>
    <x v="0"/>
    <n v="50.46"/>
    <n v="3.7789999999999999"/>
    <n v="198.8221322"/>
    <n v="5.8470000000000004"/>
  </r>
  <r>
    <x v="15"/>
    <d v="2012-12-10T00:00:00"/>
    <x v="1"/>
    <x v="2"/>
    <x v="911"/>
    <x v="0"/>
    <n v="43.26"/>
    <n v="3.76"/>
    <n v="199.0539368"/>
    <n v="5.8470000000000004"/>
  </r>
  <r>
    <x v="16"/>
    <d v="2010-05-02T00:00:00"/>
    <x v="0"/>
    <x v="0"/>
    <x v="912"/>
    <x v="0"/>
    <n v="23.11"/>
    <n v="2.6659999999999999"/>
    <n v="126.4420645"/>
    <n v="6.548"/>
  </r>
  <r>
    <x v="16"/>
    <d v="2010-12-02T00:00:00"/>
    <x v="1"/>
    <x v="0"/>
    <x v="913"/>
    <x v="1"/>
    <n v="18.36"/>
    <n v="2.6709999999999998"/>
    <n v="126.49625810000001"/>
    <n v="6.548"/>
  </r>
  <r>
    <x v="16"/>
    <d v="2010-05-03T00:00:00"/>
    <x v="0"/>
    <x v="0"/>
    <x v="914"/>
    <x v="0"/>
    <n v="31.58"/>
    <n v="2.681"/>
    <n v="126.5782857"/>
    <n v="6.548"/>
  </r>
  <r>
    <x v="16"/>
    <d v="2010-12-03T00:00:00"/>
    <x v="1"/>
    <x v="0"/>
    <x v="915"/>
    <x v="0"/>
    <n v="29.71"/>
    <n v="2.7330000000000001"/>
    <n v="126.60428570000001"/>
    <n v="6.548"/>
  </r>
  <r>
    <x v="16"/>
    <d v="2010-02-04T00:00:00"/>
    <x v="2"/>
    <x v="0"/>
    <x v="916"/>
    <x v="0"/>
    <n v="36.94"/>
    <n v="2.8420000000000001"/>
    <n v="126.6034839"/>
    <n v="6.6349999999999998"/>
  </r>
  <r>
    <x v="16"/>
    <d v="2010-09-04T00:00:00"/>
    <x v="3"/>
    <x v="0"/>
    <x v="917"/>
    <x v="0"/>
    <n v="34.049999999999997"/>
    <n v="2.8769999999999998"/>
    <n v="126.6019032"/>
    <n v="6.6349999999999998"/>
  </r>
  <r>
    <x v="16"/>
    <d v="2010-07-05T00:00:00"/>
    <x v="4"/>
    <x v="0"/>
    <x v="918"/>
    <x v="0"/>
    <n v="40.26"/>
    <n v="2.948"/>
    <n v="126.2898"/>
    <n v="6.6349999999999998"/>
  </r>
  <r>
    <x v="16"/>
    <d v="2010-04-06T00:00:00"/>
    <x v="5"/>
    <x v="0"/>
    <x v="919"/>
    <x v="0"/>
    <n v="53.79"/>
    <n v="2.871"/>
    <n v="126.1360645"/>
    <n v="6.6349999999999998"/>
  </r>
  <r>
    <x v="16"/>
    <d v="2010-11-06T00:00:00"/>
    <x v="6"/>
    <x v="0"/>
    <x v="920"/>
    <x v="0"/>
    <n v="57.14"/>
    <n v="2.8410000000000002"/>
    <n v="126.1119032"/>
    <n v="6.6349999999999998"/>
  </r>
  <r>
    <x v="16"/>
    <d v="2010-02-07T00:00:00"/>
    <x v="2"/>
    <x v="0"/>
    <x v="921"/>
    <x v="0"/>
    <n v="68.98"/>
    <n v="2.8140000000000001"/>
    <n v="126.1392"/>
    <n v="6.6970000000000001"/>
  </r>
  <r>
    <x v="16"/>
    <d v="2010-09-07T00:00:00"/>
    <x v="3"/>
    <x v="0"/>
    <x v="922"/>
    <x v="0"/>
    <n v="62.41"/>
    <n v="2.802"/>
    <n v="126.15179999999999"/>
    <n v="6.6970000000000001"/>
  </r>
  <r>
    <x v="16"/>
    <d v="2010-06-08T00:00:00"/>
    <x v="7"/>
    <x v="0"/>
    <x v="923"/>
    <x v="0"/>
    <n v="70.53"/>
    <n v="2.802"/>
    <n v="126.0854516"/>
    <n v="6.6970000000000001"/>
  </r>
  <r>
    <x v="16"/>
    <d v="2010-03-09T00:00:00"/>
    <x v="8"/>
    <x v="0"/>
    <x v="924"/>
    <x v="0"/>
    <n v="57.86"/>
    <n v="2.8679999999999999"/>
    <n v="126.1019355"/>
    <n v="6.6970000000000001"/>
  </r>
  <r>
    <x v="16"/>
    <d v="2010-10-09T00:00:00"/>
    <x v="9"/>
    <x v="0"/>
    <x v="925"/>
    <x v="1"/>
    <n v="56.28"/>
    <n v="2.87"/>
    <n v="126.1145806"/>
    <n v="6.6970000000000001"/>
  </r>
  <r>
    <x v="16"/>
    <d v="2010-01-10T00:00:00"/>
    <x v="10"/>
    <x v="0"/>
    <x v="926"/>
    <x v="0"/>
    <n v="60.07"/>
    <n v="2.8530000000000002"/>
    <n v="126.2346"/>
    <n v="6.8849999999999998"/>
  </r>
  <r>
    <x v="16"/>
    <d v="2010-08-10T00:00:00"/>
    <x v="11"/>
    <x v="0"/>
    <x v="927"/>
    <x v="0"/>
    <n v="58.06"/>
    <n v="2.8410000000000002"/>
    <n v="126.2791667"/>
    <n v="6.8849999999999998"/>
  </r>
  <r>
    <x v="16"/>
    <d v="2010-05-11T00:00:00"/>
    <x v="0"/>
    <x v="0"/>
    <x v="928"/>
    <x v="0"/>
    <n v="42.54"/>
    <n v="2.831"/>
    <n v="126.4912903"/>
    <n v="6.8849999999999998"/>
  </r>
  <r>
    <x v="16"/>
    <d v="2010-12-11T00:00:00"/>
    <x v="1"/>
    <x v="0"/>
    <x v="929"/>
    <x v="0"/>
    <n v="36.32"/>
    <n v="2.831"/>
    <n v="126.54616129999999"/>
    <n v="6.8849999999999998"/>
  </r>
  <r>
    <x v="16"/>
    <d v="2010-03-12T00:00:00"/>
    <x v="8"/>
    <x v="0"/>
    <x v="930"/>
    <x v="0"/>
    <n v="22.47"/>
    <n v="2.8119999999999998"/>
    <n v="126.7313333"/>
    <n v="6.8849999999999998"/>
  </r>
  <r>
    <x v="16"/>
    <d v="2010-10-12T00:00:00"/>
    <x v="9"/>
    <x v="0"/>
    <x v="931"/>
    <x v="0"/>
    <n v="31.64"/>
    <n v="2.8170000000000002"/>
    <n v="126.79340000000001"/>
    <n v="6.8849999999999998"/>
  </r>
  <r>
    <x v="16"/>
    <d v="2011-07-01T00:00:00"/>
    <x v="4"/>
    <x v="1"/>
    <x v="932"/>
    <x v="0"/>
    <n v="6.23"/>
    <n v="2.891"/>
    <n v="127.1917742"/>
    <n v="6.8659999999999997"/>
  </r>
  <r>
    <x v="16"/>
    <d v="2011-04-02T00:00:00"/>
    <x v="5"/>
    <x v="1"/>
    <x v="933"/>
    <x v="0"/>
    <n v="11.29"/>
    <n v="2.9740000000000002"/>
    <n v="127.7195806"/>
    <n v="6.8659999999999997"/>
  </r>
  <r>
    <x v="16"/>
    <d v="2011-11-02T00:00:00"/>
    <x v="6"/>
    <x v="1"/>
    <x v="934"/>
    <x v="1"/>
    <n v="14.19"/>
    <n v="3.0339999999999998"/>
    <n v="127.859129"/>
    <n v="6.8659999999999997"/>
  </r>
  <r>
    <x v="16"/>
    <d v="2011-04-03T00:00:00"/>
    <x v="5"/>
    <x v="1"/>
    <x v="935"/>
    <x v="0"/>
    <n v="24.21"/>
    <n v="3.23"/>
    <n v="128.26474999999999"/>
    <n v="6.8659999999999997"/>
  </r>
  <r>
    <x v="16"/>
    <d v="2011-11-03T00:00:00"/>
    <x v="6"/>
    <x v="1"/>
    <x v="936"/>
    <x v="0"/>
    <n v="32.42"/>
    <n v="3.3460000000000001"/>
    <n v="128.39949999999999"/>
    <n v="6.8659999999999997"/>
  </r>
  <r>
    <x v="16"/>
    <d v="2011-01-04T00:00:00"/>
    <x v="10"/>
    <x v="1"/>
    <x v="937"/>
    <x v="0"/>
    <n v="39.380000000000003"/>
    <n v="3.4870000000000001"/>
    <n v="128.71993549999999"/>
    <n v="6.774"/>
  </r>
  <r>
    <x v="16"/>
    <d v="2011-08-04T00:00:00"/>
    <x v="11"/>
    <x v="1"/>
    <x v="938"/>
    <x v="0"/>
    <n v="39.159999999999997"/>
    <n v="3.5470000000000002"/>
    <n v="128.82380649999999"/>
    <n v="6.774"/>
  </r>
  <r>
    <x v="16"/>
    <d v="2011-06-05T00:00:00"/>
    <x v="7"/>
    <x v="1"/>
    <x v="939"/>
    <x v="0"/>
    <n v="45.66"/>
    <n v="3.7440000000000002"/>
    <n v="129.04443330000001"/>
    <n v="6.774"/>
  </r>
  <r>
    <x v="16"/>
    <d v="2011-03-06T00:00:00"/>
    <x v="8"/>
    <x v="1"/>
    <x v="940"/>
    <x v="0"/>
    <n v="49.61"/>
    <n v="3.7519999999999998"/>
    <n v="129.04903229999999"/>
    <n v="6.774"/>
  </r>
  <r>
    <x v="16"/>
    <d v="2011-10-06T00:00:00"/>
    <x v="9"/>
    <x v="1"/>
    <x v="941"/>
    <x v="0"/>
    <n v="54.57"/>
    <n v="3.7320000000000002"/>
    <n v="129.03570970000001"/>
    <n v="6.774"/>
  </r>
  <r>
    <x v="16"/>
    <d v="2011-01-07T00:00:00"/>
    <x v="10"/>
    <x v="1"/>
    <x v="942"/>
    <x v="0"/>
    <n v="67.39"/>
    <n v="3.613"/>
    <n v="129.08940000000001"/>
    <n v="6.7450000000000001"/>
  </r>
  <r>
    <x v="16"/>
    <d v="2011-08-07T00:00:00"/>
    <x v="11"/>
    <x v="1"/>
    <x v="943"/>
    <x v="0"/>
    <n v="70.599999999999994"/>
    <n v="3.5630000000000002"/>
    <n v="129.11250000000001"/>
    <n v="6.7450000000000001"/>
  </r>
  <r>
    <x v="16"/>
    <d v="2011-05-08T00:00:00"/>
    <x v="0"/>
    <x v="1"/>
    <x v="944"/>
    <x v="0"/>
    <n v="65.709999999999994"/>
    <n v="3.5950000000000002"/>
    <n v="129.18464520000001"/>
    <n v="6.7450000000000001"/>
  </r>
  <r>
    <x v="16"/>
    <d v="2011-12-08T00:00:00"/>
    <x v="1"/>
    <x v="1"/>
    <x v="945"/>
    <x v="0"/>
    <n v="64.790000000000006"/>
    <n v="3.6059999999999999"/>
    <n v="129.2015806"/>
    <n v="6.7450000000000001"/>
  </r>
  <r>
    <x v="16"/>
    <d v="2011-02-09T00:00:00"/>
    <x v="2"/>
    <x v="1"/>
    <x v="946"/>
    <x v="0"/>
    <n v="69.31"/>
    <n v="3.58"/>
    <n v="129.32593550000001"/>
    <n v="6.7450000000000001"/>
  </r>
  <r>
    <x v="16"/>
    <d v="2011-09-09T00:00:00"/>
    <x v="3"/>
    <x v="1"/>
    <x v="947"/>
    <x v="1"/>
    <n v="61.94"/>
    <n v="3.6190000000000002"/>
    <n v="129.36861289999999"/>
    <n v="6.7450000000000001"/>
  </r>
  <r>
    <x v="16"/>
    <d v="2011-07-10T00:00:00"/>
    <x v="4"/>
    <x v="1"/>
    <x v="948"/>
    <x v="0"/>
    <n v="54.4"/>
    <n v="3.5920000000000001"/>
    <n v="129.69380000000001"/>
    <n v="6.617"/>
  </r>
  <r>
    <x v="16"/>
    <d v="2011-04-11T00:00:00"/>
    <x v="5"/>
    <x v="1"/>
    <x v="949"/>
    <x v="0"/>
    <n v="37.520000000000003"/>
    <n v="3.5379999999999998"/>
    <n v="129.8051935"/>
    <n v="6.617"/>
  </r>
  <r>
    <x v="16"/>
    <d v="2011-11-11T00:00:00"/>
    <x v="6"/>
    <x v="1"/>
    <x v="950"/>
    <x v="0"/>
    <n v="27.61"/>
    <n v="3.5129999999999999"/>
    <n v="129.81670969999999"/>
    <n v="6.617"/>
  </r>
  <r>
    <x v="16"/>
    <d v="2011-02-12T00:00:00"/>
    <x v="2"/>
    <x v="1"/>
    <x v="951"/>
    <x v="0"/>
    <n v="26.47"/>
    <n v="3.3889999999999998"/>
    <n v="129.84596669999999"/>
    <n v="6.617"/>
  </r>
  <r>
    <x v="16"/>
    <d v="2011-09-12T00:00:00"/>
    <x v="3"/>
    <x v="1"/>
    <x v="952"/>
    <x v="0"/>
    <n v="17.559999999999999"/>
    <n v="3.3410000000000002"/>
    <n v="129.85553329999999"/>
    <n v="6.617"/>
  </r>
  <r>
    <x v="16"/>
    <d v="2012-06-01T00:00:00"/>
    <x v="7"/>
    <x v="2"/>
    <x v="953"/>
    <x v="0"/>
    <n v="27.64"/>
    <n v="3.08"/>
    <n v="130.15751610000001"/>
    <n v="6.4029999999999996"/>
  </r>
  <r>
    <x v="16"/>
    <d v="2012-03-02T00:00:00"/>
    <x v="8"/>
    <x v="2"/>
    <x v="954"/>
    <x v="0"/>
    <n v="26.26"/>
    <n v="3.077"/>
    <n v="130.34967739999999"/>
    <n v="6.4029999999999996"/>
  </r>
  <r>
    <x v="16"/>
    <d v="2012-10-02T00:00:00"/>
    <x v="9"/>
    <x v="2"/>
    <x v="955"/>
    <x v="1"/>
    <n v="23.63"/>
    <n v="3.1160000000000001"/>
    <n v="130.3849032"/>
    <n v="6.4029999999999996"/>
  </r>
  <r>
    <x v="16"/>
    <d v="2012-02-03T00:00:00"/>
    <x v="2"/>
    <x v="2"/>
    <x v="956"/>
    <x v="0"/>
    <n v="26.28"/>
    <n v="3.242"/>
    <n v="130.64579309999999"/>
    <n v="6.4029999999999996"/>
  </r>
  <r>
    <x v="16"/>
    <d v="2012-09-03T00:00:00"/>
    <x v="3"/>
    <x v="2"/>
    <x v="957"/>
    <x v="0"/>
    <n v="32.020000000000003"/>
    <n v="3.38"/>
    <n v="130.74137930000001"/>
    <n v="6.4029999999999996"/>
  </r>
  <r>
    <x v="16"/>
    <d v="2012-06-04T00:00:00"/>
    <x v="7"/>
    <x v="2"/>
    <x v="958"/>
    <x v="0"/>
    <n v="43.92"/>
    <n v="3.7930000000000001"/>
    <n v="131.03754839999999"/>
    <n v="6.2350000000000003"/>
  </r>
  <r>
    <x v="16"/>
    <d v="2012-04-05T00:00:00"/>
    <x v="5"/>
    <x v="2"/>
    <x v="959"/>
    <x v="0"/>
    <n v="48.86"/>
    <n v="3.831"/>
    <n v="131.136"/>
    <n v="6.2350000000000003"/>
  </r>
  <r>
    <x v="16"/>
    <d v="2012-11-05T00:00:00"/>
    <x v="6"/>
    <x v="2"/>
    <x v="960"/>
    <x v="0"/>
    <n v="49.96"/>
    <n v="3.8090000000000002"/>
    <n v="131.1453333"/>
    <n v="6.2350000000000003"/>
  </r>
  <r>
    <x v="16"/>
    <d v="2012-01-06T00:00:00"/>
    <x v="10"/>
    <x v="2"/>
    <x v="961"/>
    <x v="0"/>
    <n v="54.13"/>
    <n v="3.7879999999999998"/>
    <n v="130.95922580000001"/>
    <n v="6.2350000000000003"/>
  </r>
  <r>
    <x v="16"/>
    <d v="2012-08-06T00:00:00"/>
    <x v="11"/>
    <x v="2"/>
    <x v="962"/>
    <x v="0"/>
    <n v="60.51"/>
    <n v="3.7759999999999998"/>
    <n v="130.88967740000001"/>
    <n v="6.2350000000000003"/>
  </r>
  <r>
    <x v="16"/>
    <d v="2012-06-07T00:00:00"/>
    <x v="7"/>
    <x v="2"/>
    <x v="963"/>
    <x v="0"/>
    <n v="68.91"/>
    <n v="3.63"/>
    <n v="130.7196333"/>
    <n v="5.9359999999999999"/>
  </r>
  <r>
    <x v="16"/>
    <d v="2012-03-08T00:00:00"/>
    <x v="8"/>
    <x v="2"/>
    <x v="964"/>
    <x v="0"/>
    <n v="72.94"/>
    <n v="3.512"/>
    <n v="130.73787100000001"/>
    <n v="5.9359999999999999"/>
  </r>
  <r>
    <x v="16"/>
    <d v="2012-10-08T00:00:00"/>
    <x v="9"/>
    <x v="2"/>
    <x v="965"/>
    <x v="0"/>
    <n v="73.290000000000006"/>
    <n v="3.5089999999999999"/>
    <n v="130.7561613"/>
    <n v="5.9359999999999999"/>
  </r>
  <r>
    <x v="16"/>
    <d v="2012-07-09T00:00:00"/>
    <x v="4"/>
    <x v="2"/>
    <x v="966"/>
    <x v="1"/>
    <n v="61.99"/>
    <n v="3.6890000000000001"/>
    <n v="130.9325484"/>
    <n v="5.9359999999999999"/>
  </r>
  <r>
    <x v="16"/>
    <d v="2012-05-10T00:00:00"/>
    <x v="0"/>
    <x v="2"/>
    <x v="967"/>
    <x v="0"/>
    <n v="52.81"/>
    <n v="3.8149999999999999"/>
    <n v="131.0756667"/>
    <n v="5.5270000000000001"/>
  </r>
  <r>
    <x v="16"/>
    <d v="2012-12-10T00:00:00"/>
    <x v="1"/>
    <x v="2"/>
    <x v="968"/>
    <x v="0"/>
    <n v="44.82"/>
    <n v="3.7970000000000002"/>
    <n v="131.1083333"/>
    <n v="5.5270000000000001"/>
  </r>
  <r>
    <x v="17"/>
    <d v="2010-05-02T00:00:00"/>
    <x v="0"/>
    <x v="0"/>
    <x v="969"/>
    <x v="0"/>
    <n v="21.33"/>
    <n v="2.7879999999999998"/>
    <n v="131.5279032"/>
    <n v="9.202"/>
  </r>
  <r>
    <x v="17"/>
    <d v="2010-12-02T00:00:00"/>
    <x v="1"/>
    <x v="0"/>
    <x v="970"/>
    <x v="1"/>
    <n v="26.41"/>
    <n v="2.7709999999999999"/>
    <n v="131.58661290000001"/>
    <n v="9.202"/>
  </r>
  <r>
    <x v="17"/>
    <d v="2010-05-03T00:00:00"/>
    <x v="0"/>
    <x v="0"/>
    <x v="971"/>
    <x v="0"/>
    <n v="37.17"/>
    <n v="2.766"/>
    <n v="131.73500000000001"/>
    <n v="9.202"/>
  </r>
  <r>
    <x v="17"/>
    <d v="2010-12-03T00:00:00"/>
    <x v="1"/>
    <x v="0"/>
    <x v="972"/>
    <x v="0"/>
    <n v="42.39"/>
    <n v="2.8050000000000002"/>
    <n v="131.78399999999999"/>
    <n v="9.202"/>
  </r>
  <r>
    <x v="17"/>
    <d v="2010-02-04T00:00:00"/>
    <x v="2"/>
    <x v="0"/>
    <x v="973"/>
    <x v="0"/>
    <n v="45.63"/>
    <n v="2.8260000000000001"/>
    <n v="131.9019677"/>
    <n v="9.2690000000000001"/>
  </r>
  <r>
    <x v="17"/>
    <d v="2010-09-04T00:00:00"/>
    <x v="3"/>
    <x v="0"/>
    <x v="974"/>
    <x v="0"/>
    <n v="59.91"/>
    <n v="2.8490000000000002"/>
    <n v="131.94080650000001"/>
    <n v="9.2690000000000001"/>
  </r>
  <r>
    <x v="17"/>
    <d v="2010-07-05T00:00:00"/>
    <x v="4"/>
    <x v="0"/>
    <x v="975"/>
    <x v="0"/>
    <n v="65.64"/>
    <n v="2.9809999999999999"/>
    <n v="132.1062"/>
    <n v="9.2690000000000001"/>
  </r>
  <r>
    <x v="17"/>
    <d v="2010-04-06T00:00:00"/>
    <x v="5"/>
    <x v="0"/>
    <x v="976"/>
    <x v="0"/>
    <n v="70.28"/>
    <n v="2.8570000000000002"/>
    <n v="132.36483870000001"/>
    <n v="9.2690000000000001"/>
  </r>
  <r>
    <x v="17"/>
    <d v="2010-11-06T00:00:00"/>
    <x v="6"/>
    <x v="0"/>
    <x v="977"/>
    <x v="0"/>
    <n v="64.08"/>
    <n v="2.83"/>
    <n v="132.43574190000001"/>
    <n v="9.2690000000000001"/>
  </r>
  <r>
    <x v="17"/>
    <d v="2010-02-07T00:00:00"/>
    <x v="2"/>
    <x v="0"/>
    <x v="978"/>
    <x v="0"/>
    <n v="71.22"/>
    <n v="2.8149999999999999"/>
    <n v="132.5218667"/>
    <n v="9.3420000000000005"/>
  </r>
  <r>
    <x v="17"/>
    <d v="2010-09-07T00:00:00"/>
    <x v="3"/>
    <x v="0"/>
    <x v="979"/>
    <x v="0"/>
    <n v="79.75"/>
    <n v="2.806"/>
    <n v="132.54613330000001"/>
    <n v="9.3420000000000005"/>
  </r>
  <r>
    <x v="17"/>
    <d v="2010-06-08T00:00:00"/>
    <x v="7"/>
    <x v="0"/>
    <x v="980"/>
    <x v="0"/>
    <n v="73.67"/>
    <n v="2.7919999999999998"/>
    <n v="132.6141935"/>
    <n v="9.3420000000000005"/>
  </r>
  <r>
    <x v="17"/>
    <d v="2010-03-09T00:00:00"/>
    <x v="8"/>
    <x v="0"/>
    <x v="981"/>
    <x v="0"/>
    <n v="75.42"/>
    <n v="2.7349999999999999"/>
    <n v="132.72483869999999"/>
    <n v="9.3420000000000005"/>
  </r>
  <r>
    <x v="17"/>
    <d v="2010-10-09T00:00:00"/>
    <x v="9"/>
    <x v="0"/>
    <x v="982"/>
    <x v="1"/>
    <n v="67.09"/>
    <n v="2.7170000000000001"/>
    <n v="132.75645159999999"/>
    <n v="9.3420000000000005"/>
  </r>
  <r>
    <x v="17"/>
    <d v="2010-01-10T00:00:00"/>
    <x v="10"/>
    <x v="0"/>
    <x v="983"/>
    <x v="0"/>
    <n v="67.760000000000005"/>
    <n v="2.7170000000000001"/>
    <n v="132.7568"/>
    <n v="9.3309999999999995"/>
  </r>
  <r>
    <x v="17"/>
    <d v="2010-08-10T00:00:00"/>
    <x v="11"/>
    <x v="0"/>
    <x v="984"/>
    <x v="0"/>
    <n v="54.73"/>
    <n v="2.7759999999999998"/>
    <n v="132.75166669999999"/>
    <n v="9.3309999999999995"/>
  </r>
  <r>
    <x v="17"/>
    <d v="2010-05-11T00:00:00"/>
    <x v="0"/>
    <x v="0"/>
    <x v="985"/>
    <x v="0"/>
    <n v="42.05"/>
    <n v="2.9380000000000002"/>
    <n v="132.92458060000001"/>
    <n v="9.3309999999999995"/>
  </r>
  <r>
    <x v="17"/>
    <d v="2010-12-11T00:00:00"/>
    <x v="1"/>
    <x v="0"/>
    <x v="986"/>
    <x v="0"/>
    <n v="43.17"/>
    <n v="2.9609999999999999"/>
    <n v="132.97832260000001"/>
    <n v="9.3309999999999995"/>
  </r>
  <r>
    <x v="17"/>
    <d v="2010-03-12T00:00:00"/>
    <x v="8"/>
    <x v="0"/>
    <x v="987"/>
    <x v="0"/>
    <n v="37.090000000000003"/>
    <n v="3.0649999999999999"/>
    <n v="132.75666670000001"/>
    <n v="9.3309999999999995"/>
  </r>
  <r>
    <x v="17"/>
    <d v="2010-10-12T00:00:00"/>
    <x v="9"/>
    <x v="0"/>
    <x v="988"/>
    <x v="0"/>
    <n v="25.64"/>
    <n v="3.1320000000000001"/>
    <n v="132.6764"/>
    <n v="9.3309999999999995"/>
  </r>
  <r>
    <x v="17"/>
    <d v="2011-07-01T00:00:00"/>
    <x v="4"/>
    <x v="1"/>
    <x v="989"/>
    <x v="0"/>
    <n v="30.1"/>
    <n v="3.1930000000000001"/>
    <n v="132.88232260000001"/>
    <n v="9.1310000000000002"/>
  </r>
  <r>
    <x v="17"/>
    <d v="2011-04-02T00:00:00"/>
    <x v="5"/>
    <x v="1"/>
    <x v="990"/>
    <x v="0"/>
    <n v="20.79"/>
    <n v="3.24"/>
    <n v="133.18341939999999"/>
    <n v="9.1310000000000002"/>
  </r>
  <r>
    <x v="17"/>
    <d v="2011-11-02T00:00:00"/>
    <x v="6"/>
    <x v="1"/>
    <x v="991"/>
    <x v="1"/>
    <n v="24.3"/>
    <n v="3.2549999999999999"/>
    <n v="133.26087100000001"/>
    <n v="9.1310000000000002"/>
  </r>
  <r>
    <x v="17"/>
    <d v="2011-04-03T00:00:00"/>
    <x v="5"/>
    <x v="1"/>
    <x v="992"/>
    <x v="0"/>
    <n v="28.49"/>
    <n v="3.4369999999999998"/>
    <n v="133.61414289999999"/>
    <n v="9.1310000000000002"/>
  </r>
  <r>
    <x v="17"/>
    <d v="2011-11-03T00:00:00"/>
    <x v="6"/>
    <x v="1"/>
    <x v="993"/>
    <x v="0"/>
    <n v="38.4"/>
    <n v="3.6"/>
    <n v="133.7361429"/>
    <n v="9.1310000000000002"/>
  </r>
  <r>
    <x v="17"/>
    <d v="2011-01-04T00:00:00"/>
    <x v="10"/>
    <x v="1"/>
    <x v="994"/>
    <x v="0"/>
    <n v="35.06"/>
    <n v="3.6379999999999999"/>
    <n v="134.06825810000001"/>
    <n v="8.9749999999999996"/>
  </r>
  <r>
    <x v="17"/>
    <d v="2011-08-04T00:00:00"/>
    <x v="11"/>
    <x v="1"/>
    <x v="995"/>
    <x v="0"/>
    <n v="43.32"/>
    <n v="3.72"/>
    <n v="134.17777419999999"/>
    <n v="8.9749999999999996"/>
  </r>
  <r>
    <x v="17"/>
    <d v="2011-06-05T00:00:00"/>
    <x v="7"/>
    <x v="1"/>
    <x v="996"/>
    <x v="0"/>
    <n v="54.17"/>
    <n v="4.0780000000000003"/>
    <n v="134.51436670000001"/>
    <n v="8.9749999999999996"/>
  </r>
  <r>
    <x v="17"/>
    <d v="2011-03-06T00:00:00"/>
    <x v="8"/>
    <x v="1"/>
    <x v="997"/>
    <x v="0"/>
    <n v="70.900000000000006"/>
    <n v="3.9729999999999999"/>
    <n v="134.85516129999999"/>
    <n v="8.9749999999999996"/>
  </r>
  <r>
    <x v="17"/>
    <d v="2011-10-06T00:00:00"/>
    <x v="9"/>
    <x v="1"/>
    <x v="998"/>
    <x v="0"/>
    <n v="69.489999999999995"/>
    <n v="3.9239999999999999"/>
    <n v="134.94254839999999"/>
    <n v="8.9749999999999996"/>
  </r>
  <r>
    <x v="17"/>
    <d v="2011-01-07T00:00:00"/>
    <x v="10"/>
    <x v="1"/>
    <x v="999"/>
    <x v="0"/>
    <n v="69.75"/>
    <n v="3.8149999999999999"/>
    <n v="135.4468"/>
    <n v="8.89"/>
  </r>
  <r>
    <x v="17"/>
    <d v="2011-08-07T00:00:00"/>
    <x v="11"/>
    <x v="1"/>
    <x v="1000"/>
    <x v="0"/>
    <n v="73.12"/>
    <n v="3.7839999999999998"/>
    <n v="135.62833330000001"/>
    <n v="8.89"/>
  </r>
  <r>
    <x v="17"/>
    <d v="2011-05-08T00:00:00"/>
    <x v="0"/>
    <x v="1"/>
    <x v="1001"/>
    <x v="0"/>
    <n v="74.58"/>
    <n v="3.903"/>
    <n v="136.05403229999999"/>
    <n v="8.89"/>
  </r>
  <r>
    <x v="17"/>
    <d v="2011-12-08T00:00:00"/>
    <x v="1"/>
    <x v="1"/>
    <x v="1002"/>
    <x v="0"/>
    <n v="73.569999999999993"/>
    <n v="3.88"/>
    <n v="136.14412899999999"/>
    <n v="8.89"/>
  </r>
  <r>
    <x v="17"/>
    <d v="2011-02-09T00:00:00"/>
    <x v="2"/>
    <x v="1"/>
    <x v="1003"/>
    <x v="0"/>
    <n v="68.23"/>
    <n v="3.7839999999999998"/>
    <n v="136.24409679999999"/>
    <n v="8.89"/>
  </r>
  <r>
    <x v="17"/>
    <d v="2011-09-09T00:00:00"/>
    <x v="3"/>
    <x v="1"/>
    <x v="1004"/>
    <x v="1"/>
    <n v="68.11"/>
    <n v="3.8090000000000002"/>
    <n v="136.27458060000001"/>
    <n v="8.89"/>
  </r>
  <r>
    <x v="17"/>
    <d v="2011-07-10T00:00:00"/>
    <x v="4"/>
    <x v="1"/>
    <x v="1005"/>
    <x v="0"/>
    <n v="54.65"/>
    <n v="3.633"/>
    <n v="136.47200000000001"/>
    <n v="8.4710000000000001"/>
  </r>
  <r>
    <x v="17"/>
    <d v="2011-04-11T00:00:00"/>
    <x v="5"/>
    <x v="1"/>
    <x v="1006"/>
    <x v="0"/>
    <n v="38.29"/>
    <n v="3.5859999999999999"/>
    <n v="136.47512900000001"/>
    <n v="8.4710000000000001"/>
  </r>
  <r>
    <x v="17"/>
    <d v="2011-11-11T00:00:00"/>
    <x v="6"/>
    <x v="1"/>
    <x v="1007"/>
    <x v="0"/>
    <n v="45.69"/>
    <n v="3.57"/>
    <n v="136.46180649999999"/>
    <n v="8.4710000000000001"/>
  </r>
  <r>
    <x v="17"/>
    <d v="2011-02-12T00:00:00"/>
    <x v="2"/>
    <x v="1"/>
    <x v="1008"/>
    <x v="0"/>
    <n v="46.25"/>
    <n v="3.5009999999999999"/>
    <n v="136.49093329999999"/>
    <n v="8.4710000000000001"/>
  </r>
  <r>
    <x v="17"/>
    <d v="2011-09-12T00:00:00"/>
    <x v="3"/>
    <x v="1"/>
    <x v="1009"/>
    <x v="0"/>
    <n v="42.36"/>
    <n v="3.47"/>
    <n v="136.50306670000001"/>
    <n v="8.4710000000000001"/>
  </r>
  <r>
    <x v="17"/>
    <d v="2012-06-01T00:00:00"/>
    <x v="7"/>
    <x v="2"/>
    <x v="1010"/>
    <x v="0"/>
    <n v="31.27"/>
    <n v="3.4390000000000001"/>
    <n v="136.69812899999999"/>
    <n v="8.0749999999999993"/>
  </r>
  <r>
    <x v="17"/>
    <d v="2012-03-02T00:00:00"/>
    <x v="8"/>
    <x v="2"/>
    <x v="1011"/>
    <x v="0"/>
    <n v="37.619999999999997"/>
    <n v="3.633"/>
    <n v="137.06325810000001"/>
    <n v="8.0749999999999993"/>
  </r>
  <r>
    <x v="17"/>
    <d v="2012-10-02T00:00:00"/>
    <x v="9"/>
    <x v="2"/>
    <x v="1012"/>
    <x v="1"/>
    <n v="32.83"/>
    <n v="3.6549999999999998"/>
    <n v="137.1666774"/>
    <n v="8.0749999999999993"/>
  </r>
  <r>
    <x v="17"/>
    <d v="2012-02-03T00:00:00"/>
    <x v="2"/>
    <x v="2"/>
    <x v="1013"/>
    <x v="0"/>
    <n v="33.590000000000003"/>
    <n v="3.827"/>
    <n v="137.42389660000001"/>
    <n v="8.0749999999999993"/>
  </r>
  <r>
    <x v="17"/>
    <d v="2012-09-03T00:00:00"/>
    <x v="3"/>
    <x v="2"/>
    <x v="1014"/>
    <x v="0"/>
    <n v="38.1"/>
    <n v="3.8759999999999999"/>
    <n v="137.50668970000001"/>
    <n v="8.0749999999999993"/>
  </r>
  <r>
    <x v="17"/>
    <d v="2012-06-04T00:00:00"/>
    <x v="7"/>
    <x v="2"/>
    <x v="1015"/>
    <x v="0"/>
    <n v="43.8"/>
    <n v="3.9569999999999999"/>
    <n v="137.79709679999999"/>
    <n v="8.3040000000000003"/>
  </r>
  <r>
    <x v="17"/>
    <d v="2012-04-05T00:00:00"/>
    <x v="5"/>
    <x v="2"/>
    <x v="1016"/>
    <x v="0"/>
    <n v="49.66"/>
    <n v="3.9910000000000001"/>
    <n v="138.03319999999999"/>
    <n v="8.3040000000000003"/>
  </r>
  <r>
    <x v="17"/>
    <d v="2012-11-05T00:00:00"/>
    <x v="6"/>
    <x v="2"/>
    <x v="1017"/>
    <x v="0"/>
    <n v="57.44"/>
    <n v="3.9470000000000001"/>
    <n v="138.08826669999999"/>
    <n v="8.3040000000000003"/>
  </r>
  <r>
    <x v="17"/>
    <d v="2012-01-06T00:00:00"/>
    <x v="10"/>
    <x v="2"/>
    <x v="1018"/>
    <x v="0"/>
    <n v="71.42"/>
    <n v="3.798"/>
    <n v="138.11380650000001"/>
    <n v="8.3040000000000003"/>
  </r>
  <r>
    <x v="17"/>
    <d v="2012-08-06T00:00:00"/>
    <x v="11"/>
    <x v="2"/>
    <x v="1019"/>
    <x v="0"/>
    <n v="59.1"/>
    <n v="3.746"/>
    <n v="138.11741939999999"/>
    <n v="8.3040000000000003"/>
  </r>
  <r>
    <x v="17"/>
    <d v="2012-06-07T00:00:00"/>
    <x v="7"/>
    <x v="2"/>
    <x v="1020"/>
    <x v="0"/>
    <n v="76.08"/>
    <n v="3.5379999999999998"/>
    <n v="138.22963329999999"/>
    <n v="8.5350000000000001"/>
  </r>
  <r>
    <x v="17"/>
    <d v="2012-03-08T00:00:00"/>
    <x v="8"/>
    <x v="2"/>
    <x v="1021"/>
    <x v="0"/>
    <n v="72.67"/>
    <n v="3.698"/>
    <n v="138.17358060000001"/>
    <n v="8.5350000000000001"/>
  </r>
  <r>
    <x v="17"/>
    <d v="2012-10-08T00:00:00"/>
    <x v="9"/>
    <x v="2"/>
    <x v="1022"/>
    <x v="0"/>
    <n v="75.7"/>
    <n v="3.7719999999999998"/>
    <n v="138.1437742"/>
    <n v="8.5350000000000001"/>
  </r>
  <r>
    <x v="17"/>
    <d v="2012-07-09T00:00:00"/>
    <x v="4"/>
    <x v="2"/>
    <x v="1023"/>
    <x v="1"/>
    <n v="71.849999999999994"/>
    <n v="3.9209999999999998"/>
    <n v="138.47293550000001"/>
    <n v="8.5350000000000001"/>
  </r>
  <r>
    <x v="17"/>
    <d v="2012-05-10T00:00:00"/>
    <x v="0"/>
    <x v="2"/>
    <x v="1024"/>
    <x v="0"/>
    <n v="59.68"/>
    <n v="4.0270000000000001"/>
    <n v="138.82560000000001"/>
    <n v="8.2430000000000003"/>
  </r>
  <r>
    <x v="17"/>
    <d v="2012-12-10T00:00:00"/>
    <x v="1"/>
    <x v="2"/>
    <x v="1025"/>
    <x v="0"/>
    <n v="50.97"/>
    <n v="4.0289999999999999"/>
    <n v="138.9117"/>
    <n v="8.2430000000000003"/>
  </r>
  <r>
    <x v="18"/>
    <d v="2010-05-02T00:00:00"/>
    <x v="0"/>
    <x v="0"/>
    <x v="1026"/>
    <x v="0"/>
    <n v="20.96"/>
    <n v="2.9540000000000002"/>
    <n v="131.5279032"/>
    <n v="8.35"/>
  </r>
  <r>
    <x v="18"/>
    <d v="2010-12-02T00:00:00"/>
    <x v="1"/>
    <x v="0"/>
    <x v="1027"/>
    <x v="1"/>
    <n v="23.22"/>
    <n v="2.94"/>
    <n v="131.58661290000001"/>
    <n v="8.35"/>
  </r>
  <r>
    <x v="18"/>
    <d v="2010-05-03T00:00:00"/>
    <x v="0"/>
    <x v="0"/>
    <x v="1028"/>
    <x v="0"/>
    <n v="32.92"/>
    <n v="2.919"/>
    <n v="131.73500000000001"/>
    <n v="8.35"/>
  </r>
  <r>
    <x v="18"/>
    <d v="2010-12-03T00:00:00"/>
    <x v="1"/>
    <x v="0"/>
    <x v="1029"/>
    <x v="0"/>
    <n v="39.06"/>
    <n v="2.9380000000000002"/>
    <n v="131.78399999999999"/>
    <n v="8.35"/>
  </r>
  <r>
    <x v="18"/>
    <d v="2010-02-04T00:00:00"/>
    <x v="2"/>
    <x v="0"/>
    <x v="1030"/>
    <x v="0"/>
    <n v="45.26"/>
    <n v="2.9569999999999999"/>
    <n v="131.9019677"/>
    <n v="8.1850000000000005"/>
  </r>
  <r>
    <x v="18"/>
    <d v="2010-09-04T00:00:00"/>
    <x v="3"/>
    <x v="0"/>
    <x v="1031"/>
    <x v="0"/>
    <n v="55.66"/>
    <n v="2.992"/>
    <n v="131.94080650000001"/>
    <n v="8.1850000000000005"/>
  </r>
  <r>
    <x v="18"/>
    <d v="2010-07-05T00:00:00"/>
    <x v="4"/>
    <x v="0"/>
    <x v="1032"/>
    <x v="0"/>
    <n v="62.54"/>
    <n v="3.0950000000000002"/>
    <n v="132.1062"/>
    <n v="8.1850000000000005"/>
  </r>
  <r>
    <x v="18"/>
    <d v="2010-04-06T00:00:00"/>
    <x v="5"/>
    <x v="0"/>
    <x v="1033"/>
    <x v="0"/>
    <n v="68.88"/>
    <n v="3.0059999999999998"/>
    <n v="132.36483870000001"/>
    <n v="8.1850000000000005"/>
  </r>
  <r>
    <x v="18"/>
    <d v="2010-11-06T00:00:00"/>
    <x v="6"/>
    <x v="0"/>
    <x v="1034"/>
    <x v="0"/>
    <n v="61.64"/>
    <n v="2.972"/>
    <n v="132.43574190000001"/>
    <n v="8.1850000000000005"/>
  </r>
  <r>
    <x v="18"/>
    <d v="2010-02-07T00:00:00"/>
    <x v="2"/>
    <x v="0"/>
    <x v="1035"/>
    <x v="0"/>
    <n v="66.25"/>
    <n v="2.9580000000000002"/>
    <n v="132.5218667"/>
    <n v="8.0990000000000002"/>
  </r>
  <r>
    <x v="18"/>
    <d v="2010-09-07T00:00:00"/>
    <x v="3"/>
    <x v="0"/>
    <x v="1036"/>
    <x v="0"/>
    <n v="78.22"/>
    <n v="2.94"/>
    <n v="132.54613330000001"/>
    <n v="8.0990000000000002"/>
  </r>
  <r>
    <x v="18"/>
    <d v="2010-06-08T00:00:00"/>
    <x v="7"/>
    <x v="0"/>
    <x v="1037"/>
    <x v="0"/>
    <n v="74.2"/>
    <n v="2.9420000000000002"/>
    <n v="132.6141935"/>
    <n v="8.0990000000000002"/>
  </r>
  <r>
    <x v="18"/>
    <d v="2010-03-09T00:00:00"/>
    <x v="8"/>
    <x v="0"/>
    <x v="1038"/>
    <x v="0"/>
    <n v="74.69"/>
    <n v="2.86"/>
    <n v="132.72483869999999"/>
    <n v="8.0990000000000002"/>
  </r>
  <r>
    <x v="18"/>
    <d v="2010-10-09T00:00:00"/>
    <x v="9"/>
    <x v="0"/>
    <x v="1039"/>
    <x v="1"/>
    <n v="63.36"/>
    <n v="2.8370000000000002"/>
    <n v="132.75645159999999"/>
    <n v="8.0990000000000002"/>
  </r>
  <r>
    <x v="18"/>
    <d v="2010-01-10T00:00:00"/>
    <x v="10"/>
    <x v="0"/>
    <x v="1040"/>
    <x v="0"/>
    <n v="59.91"/>
    <n v="2.84"/>
    <n v="132.7568"/>
    <n v="8.0670000000000002"/>
  </r>
  <r>
    <x v="18"/>
    <d v="2010-08-10T00:00:00"/>
    <x v="11"/>
    <x v="0"/>
    <x v="1041"/>
    <x v="0"/>
    <n v="53.74"/>
    <n v="2.903"/>
    <n v="132.75166669999999"/>
    <n v="8.0670000000000002"/>
  </r>
  <r>
    <x v="18"/>
    <d v="2010-05-11T00:00:00"/>
    <x v="0"/>
    <x v="0"/>
    <x v="1042"/>
    <x v="0"/>
    <n v="41.78"/>
    <n v="3.0489999999999999"/>
    <n v="132.92458060000001"/>
    <n v="8.0670000000000002"/>
  </r>
  <r>
    <x v="18"/>
    <d v="2010-12-11T00:00:00"/>
    <x v="1"/>
    <x v="0"/>
    <x v="1043"/>
    <x v="0"/>
    <n v="40.299999999999997"/>
    <n v="3.0649999999999999"/>
    <n v="132.97832260000001"/>
    <n v="8.0670000000000002"/>
  </r>
  <r>
    <x v="18"/>
    <d v="2010-03-12T00:00:00"/>
    <x v="8"/>
    <x v="0"/>
    <x v="1044"/>
    <x v="0"/>
    <n v="36.64"/>
    <n v="3.2"/>
    <n v="132.75666670000001"/>
    <n v="8.0670000000000002"/>
  </r>
  <r>
    <x v="18"/>
    <d v="2010-10-12T00:00:00"/>
    <x v="9"/>
    <x v="0"/>
    <x v="1045"/>
    <x v="0"/>
    <n v="25.12"/>
    <n v="3.2549999999999999"/>
    <n v="132.6764"/>
    <n v="8.0670000000000002"/>
  </r>
  <r>
    <x v="18"/>
    <d v="2011-07-01T00:00:00"/>
    <x v="4"/>
    <x v="1"/>
    <x v="1046"/>
    <x v="0"/>
    <n v="31.34"/>
    <n v="3.351"/>
    <n v="132.88232260000001"/>
    <n v="7.7709999999999999"/>
  </r>
  <r>
    <x v="18"/>
    <d v="2011-04-02T00:00:00"/>
    <x v="5"/>
    <x v="1"/>
    <x v="1047"/>
    <x v="0"/>
    <n v="21.02"/>
    <n v="3.4"/>
    <n v="133.18341939999999"/>
    <n v="7.7709999999999999"/>
  </r>
  <r>
    <x v="18"/>
    <d v="2011-11-02T00:00:00"/>
    <x v="6"/>
    <x v="1"/>
    <x v="1048"/>
    <x v="1"/>
    <n v="21.79"/>
    <n v="3.4159999999999999"/>
    <n v="133.26087100000001"/>
    <n v="7.7709999999999999"/>
  </r>
  <r>
    <x v="18"/>
    <d v="2011-04-03T00:00:00"/>
    <x v="5"/>
    <x v="1"/>
    <x v="1049"/>
    <x v="0"/>
    <n v="29.28"/>
    <n v="3.605"/>
    <n v="133.61414289999999"/>
    <n v="7.7709999999999999"/>
  </r>
  <r>
    <x v="18"/>
    <d v="2011-11-03T00:00:00"/>
    <x v="6"/>
    <x v="1"/>
    <x v="1050"/>
    <x v="0"/>
    <n v="35.590000000000003"/>
    <n v="3.7519999999999998"/>
    <n v="133.7361429"/>
    <n v="7.7709999999999999"/>
  </r>
  <r>
    <x v="18"/>
    <d v="2011-01-04T00:00:00"/>
    <x v="10"/>
    <x v="1"/>
    <x v="1051"/>
    <x v="0"/>
    <n v="30.68"/>
    <n v="3.8109999999999999"/>
    <n v="134.06825810000001"/>
    <n v="7.6580000000000004"/>
  </r>
  <r>
    <x v="18"/>
    <d v="2011-08-04T00:00:00"/>
    <x v="11"/>
    <x v="1"/>
    <x v="1052"/>
    <x v="0"/>
    <n v="41.26"/>
    <n v="3.895"/>
    <n v="134.17777419999999"/>
    <n v="7.6580000000000004"/>
  </r>
  <r>
    <x v="18"/>
    <d v="2011-06-05T00:00:00"/>
    <x v="7"/>
    <x v="1"/>
    <x v="1053"/>
    <x v="0"/>
    <n v="50.43"/>
    <n v="4.1920000000000002"/>
    <n v="134.51436670000001"/>
    <n v="7.6580000000000004"/>
  </r>
  <r>
    <x v="18"/>
    <d v="2011-03-06T00:00:00"/>
    <x v="8"/>
    <x v="1"/>
    <x v="1054"/>
    <x v="0"/>
    <n v="66.010000000000005"/>
    <n v="4.069"/>
    <n v="134.85516129999999"/>
    <n v="7.6580000000000004"/>
  </r>
  <r>
    <x v="18"/>
    <d v="2011-10-06T00:00:00"/>
    <x v="9"/>
    <x v="1"/>
    <x v="1055"/>
    <x v="0"/>
    <n v="68.260000000000005"/>
    <n v="4.0250000000000004"/>
    <n v="134.94254839999999"/>
    <n v="7.6580000000000004"/>
  </r>
  <r>
    <x v="18"/>
    <d v="2011-01-07T00:00:00"/>
    <x v="10"/>
    <x v="1"/>
    <x v="1056"/>
    <x v="0"/>
    <n v="67.64"/>
    <n v="3.9159999999999999"/>
    <n v="135.4468"/>
    <n v="7.806"/>
  </r>
  <r>
    <x v="18"/>
    <d v="2011-08-07T00:00:00"/>
    <x v="11"/>
    <x v="1"/>
    <x v="1057"/>
    <x v="0"/>
    <n v="73.2"/>
    <n v="3.8860000000000001"/>
    <n v="135.62833330000001"/>
    <n v="7.806"/>
  </r>
  <r>
    <x v="18"/>
    <d v="2011-05-08T00:00:00"/>
    <x v="0"/>
    <x v="1"/>
    <x v="1058"/>
    <x v="0"/>
    <n v="73.84"/>
    <n v="4.0199999999999996"/>
    <n v="136.05403229999999"/>
    <n v="7.806"/>
  </r>
  <r>
    <x v="18"/>
    <d v="2011-12-08T00:00:00"/>
    <x v="1"/>
    <x v="1"/>
    <x v="1059"/>
    <x v="0"/>
    <n v="70.92"/>
    <n v="3.9950000000000001"/>
    <n v="136.14412899999999"/>
    <n v="7.806"/>
  </r>
  <r>
    <x v="18"/>
    <d v="2011-02-09T00:00:00"/>
    <x v="2"/>
    <x v="1"/>
    <x v="1060"/>
    <x v="0"/>
    <n v="69.27"/>
    <n v="3.879"/>
    <n v="136.24409679999999"/>
    <n v="7.806"/>
  </r>
  <r>
    <x v="18"/>
    <d v="2011-09-09T00:00:00"/>
    <x v="3"/>
    <x v="1"/>
    <x v="1061"/>
    <x v="1"/>
    <n v="68.28"/>
    <n v="3.93"/>
    <n v="136.27458060000001"/>
    <n v="7.806"/>
  </r>
  <r>
    <x v="18"/>
    <d v="2011-07-10T00:00:00"/>
    <x v="4"/>
    <x v="1"/>
    <x v="1062"/>
    <x v="0"/>
    <n v="53.1"/>
    <n v="3.7749999999999999"/>
    <n v="136.47200000000001"/>
    <n v="7.8659999999999997"/>
  </r>
  <r>
    <x v="18"/>
    <d v="2011-04-11T00:00:00"/>
    <x v="5"/>
    <x v="1"/>
    <x v="1063"/>
    <x v="0"/>
    <n v="44.97"/>
    <n v="3.738"/>
    <n v="136.47512900000001"/>
    <n v="7.8659999999999997"/>
  </r>
  <r>
    <x v="18"/>
    <d v="2011-11-11T00:00:00"/>
    <x v="6"/>
    <x v="1"/>
    <x v="1064"/>
    <x v="0"/>
    <n v="48.22"/>
    <n v="3.7189999999999999"/>
    <n v="136.46180649999999"/>
    <n v="7.8659999999999997"/>
  </r>
  <r>
    <x v="18"/>
    <d v="2011-02-12T00:00:00"/>
    <x v="2"/>
    <x v="1"/>
    <x v="1065"/>
    <x v="0"/>
    <n v="45.67"/>
    <n v="3.6659999999999999"/>
    <n v="136.49093329999999"/>
    <n v="7.8659999999999997"/>
  </r>
  <r>
    <x v="18"/>
    <d v="2011-09-12T00:00:00"/>
    <x v="3"/>
    <x v="1"/>
    <x v="1066"/>
    <x v="0"/>
    <n v="40.18"/>
    <n v="3.6269999999999998"/>
    <n v="136.50306670000001"/>
    <n v="7.8659999999999997"/>
  </r>
  <r>
    <x v="18"/>
    <d v="2012-06-01T00:00:00"/>
    <x v="7"/>
    <x v="2"/>
    <x v="1067"/>
    <x v="0"/>
    <n v="31.84"/>
    <n v="3.585"/>
    <n v="136.69812899999999"/>
    <n v="7.9429999999999996"/>
  </r>
  <r>
    <x v="18"/>
    <d v="2012-03-02T00:00:00"/>
    <x v="8"/>
    <x v="2"/>
    <x v="1068"/>
    <x v="0"/>
    <n v="36.22"/>
    <n v="3.7959999999999998"/>
    <n v="137.06325810000001"/>
    <n v="7.9429999999999996"/>
  </r>
  <r>
    <x v="18"/>
    <d v="2012-10-02T00:00:00"/>
    <x v="9"/>
    <x v="2"/>
    <x v="1069"/>
    <x v="1"/>
    <n v="32.61"/>
    <n v="3.8260000000000001"/>
    <n v="137.1666774"/>
    <n v="7.9429999999999996"/>
  </r>
  <r>
    <x v="18"/>
    <d v="2012-02-03T00:00:00"/>
    <x v="2"/>
    <x v="2"/>
    <x v="1070"/>
    <x v="0"/>
    <n v="34.83"/>
    <n v="3.9830000000000001"/>
    <n v="137.42389660000001"/>
    <n v="7.9429999999999996"/>
  </r>
  <r>
    <x v="18"/>
    <d v="2012-09-03T00:00:00"/>
    <x v="3"/>
    <x v="2"/>
    <x v="1071"/>
    <x v="0"/>
    <n v="38.15"/>
    <n v="4.0209999999999999"/>
    <n v="137.50668970000001"/>
    <n v="7.9429999999999996"/>
  </r>
  <r>
    <x v="18"/>
    <d v="2012-06-04T00:00:00"/>
    <x v="7"/>
    <x v="2"/>
    <x v="1072"/>
    <x v="0"/>
    <n v="40.229999999999997"/>
    <n v="4.1429999999999998"/>
    <n v="137.79709679999999"/>
    <n v="8.15"/>
  </r>
  <r>
    <x v="18"/>
    <d v="2012-04-05T00:00:00"/>
    <x v="5"/>
    <x v="2"/>
    <x v="1073"/>
    <x v="0"/>
    <n v="50.76"/>
    <n v="4.1239999999999997"/>
    <n v="138.03319999999999"/>
    <n v="8.15"/>
  </r>
  <r>
    <x v="18"/>
    <d v="2012-11-05T00:00:00"/>
    <x v="6"/>
    <x v="2"/>
    <x v="1074"/>
    <x v="0"/>
    <n v="55.33"/>
    <n v="4.0549999999999997"/>
    <n v="138.08826669999999"/>
    <n v="8.15"/>
  </r>
  <r>
    <x v="18"/>
    <d v="2012-01-06T00:00:00"/>
    <x v="10"/>
    <x v="2"/>
    <x v="1075"/>
    <x v="0"/>
    <n v="68.180000000000007"/>
    <n v="3.915"/>
    <n v="138.11380650000001"/>
    <n v="8.15"/>
  </r>
  <r>
    <x v="18"/>
    <d v="2012-08-06T00:00:00"/>
    <x v="11"/>
    <x v="2"/>
    <x v="1076"/>
    <x v="0"/>
    <n v="60.19"/>
    <n v="3.871"/>
    <n v="138.11741939999999"/>
    <n v="8.15"/>
  </r>
  <r>
    <x v="18"/>
    <d v="2012-06-07T00:00:00"/>
    <x v="7"/>
    <x v="2"/>
    <x v="1077"/>
    <x v="0"/>
    <n v="76.069999999999993"/>
    <n v="3.6459999999999999"/>
    <n v="138.22963329999999"/>
    <n v="8.1929999999999996"/>
  </r>
  <r>
    <x v="18"/>
    <d v="2012-03-08T00:00:00"/>
    <x v="8"/>
    <x v="2"/>
    <x v="1078"/>
    <x v="0"/>
    <n v="73.41"/>
    <n v="3.819"/>
    <n v="138.17358060000001"/>
    <n v="8.1929999999999996"/>
  </r>
  <r>
    <x v="18"/>
    <d v="2012-10-08T00:00:00"/>
    <x v="9"/>
    <x v="2"/>
    <x v="1079"/>
    <x v="0"/>
    <n v="74.45"/>
    <n v="3.863"/>
    <n v="138.1437742"/>
    <n v="8.1929999999999996"/>
  </r>
  <r>
    <x v="18"/>
    <d v="2012-07-09T00:00:00"/>
    <x v="4"/>
    <x v="2"/>
    <x v="1080"/>
    <x v="1"/>
    <n v="72.2"/>
    <n v="4.0759999999999996"/>
    <n v="138.47293550000001"/>
    <n v="8.1929999999999996"/>
  </r>
  <r>
    <x v="18"/>
    <d v="2012-05-10T00:00:00"/>
    <x v="0"/>
    <x v="2"/>
    <x v="1081"/>
    <x v="0"/>
    <n v="59.86"/>
    <n v="4.1509999999999998"/>
    <n v="138.82560000000001"/>
    <n v="7.992"/>
  </r>
  <r>
    <x v="18"/>
    <d v="2012-12-10T00:00:00"/>
    <x v="1"/>
    <x v="2"/>
    <x v="1082"/>
    <x v="0"/>
    <n v="48.29"/>
    <n v="4.1859999999999999"/>
    <n v="138.9117"/>
    <n v="7.992"/>
  </r>
  <r>
    <x v="19"/>
    <d v="2010-05-02T00:00:00"/>
    <x v="0"/>
    <x v="0"/>
    <x v="1083"/>
    <x v="0"/>
    <n v="25.92"/>
    <n v="2.7839999999999998"/>
    <n v="204.24719350000001"/>
    <n v="8.1869999999999994"/>
  </r>
  <r>
    <x v="19"/>
    <d v="2010-12-02T00:00:00"/>
    <x v="1"/>
    <x v="0"/>
    <x v="1084"/>
    <x v="1"/>
    <n v="22.12"/>
    <n v="2.7730000000000001"/>
    <n v="204.3857472"/>
    <n v="8.1869999999999994"/>
  </r>
  <r>
    <x v="19"/>
    <d v="2010-05-03T00:00:00"/>
    <x v="0"/>
    <x v="0"/>
    <x v="1085"/>
    <x v="0"/>
    <n v="31.75"/>
    <n v="2.7770000000000001"/>
    <n v="204.49407339999999"/>
    <n v="8.1869999999999994"/>
  </r>
  <r>
    <x v="19"/>
    <d v="2010-12-03T00:00:00"/>
    <x v="1"/>
    <x v="0"/>
    <x v="1086"/>
    <x v="0"/>
    <n v="43.82"/>
    <n v="2.8180000000000001"/>
    <n v="204.52505980000001"/>
    <n v="8.1869999999999994"/>
  </r>
  <r>
    <x v="19"/>
    <d v="2010-02-04T00:00:00"/>
    <x v="2"/>
    <x v="0"/>
    <x v="1087"/>
    <x v="0"/>
    <n v="51"/>
    <n v="2.85"/>
    <n v="204.02528419999999"/>
    <n v="7.8559999999999999"/>
  </r>
  <r>
    <x v="19"/>
    <d v="2010-09-04T00:00:00"/>
    <x v="3"/>
    <x v="0"/>
    <x v="1088"/>
    <x v="0"/>
    <n v="65.099999999999994"/>
    <n v="2.8690000000000002"/>
    <n v="203.84881340000001"/>
    <n v="7.8559999999999999"/>
  </r>
  <r>
    <x v="19"/>
    <d v="2010-07-05T00:00:00"/>
    <x v="4"/>
    <x v="0"/>
    <x v="1089"/>
    <x v="0"/>
    <n v="66.739999999999995"/>
    <n v="2.9660000000000002"/>
    <n v="203.6101784"/>
    <n v="7.8559999999999999"/>
  </r>
  <r>
    <x v="19"/>
    <d v="2010-04-06T00:00:00"/>
    <x v="5"/>
    <x v="0"/>
    <x v="1090"/>
    <x v="0"/>
    <n v="72.52"/>
    <n v="2.847"/>
    <n v="204.4042877"/>
    <n v="7.8559999999999999"/>
  </r>
  <r>
    <x v="19"/>
    <d v="2010-11-06T00:00:00"/>
    <x v="6"/>
    <x v="0"/>
    <x v="1091"/>
    <x v="0"/>
    <n v="67.319999999999993"/>
    <n v="2.8090000000000002"/>
    <n v="204.66791979999999"/>
    <n v="7.8559999999999999"/>
  </r>
  <r>
    <x v="19"/>
    <d v="2010-02-07T00:00:00"/>
    <x v="2"/>
    <x v="0"/>
    <x v="1092"/>
    <x v="0"/>
    <n v="70.099999999999994"/>
    <n v="2.8149999999999999"/>
    <n v="204.46505590000001"/>
    <n v="7.5270000000000001"/>
  </r>
  <r>
    <x v="19"/>
    <d v="2010-09-07T00:00:00"/>
    <x v="3"/>
    <x v="0"/>
    <x v="1093"/>
    <x v="0"/>
    <n v="78.09"/>
    <n v="2.7930000000000001"/>
    <n v="204.3625658"/>
    <n v="7.5270000000000001"/>
  </r>
  <r>
    <x v="19"/>
    <d v="2010-06-08T00:00:00"/>
    <x v="7"/>
    <x v="0"/>
    <x v="1094"/>
    <x v="0"/>
    <n v="74.569999999999993"/>
    <n v="2.7839999999999998"/>
    <n v="204.72932520000001"/>
    <n v="7.5270000000000001"/>
  </r>
  <r>
    <x v="19"/>
    <d v="2010-03-09T00:00:00"/>
    <x v="8"/>
    <x v="0"/>
    <x v="1095"/>
    <x v="0"/>
    <n v="75.5"/>
    <n v="2.7149999999999999"/>
    <n v="204.75835660000001"/>
    <n v="7.5270000000000001"/>
  </r>
  <r>
    <x v="19"/>
    <d v="2010-10-09T00:00:00"/>
    <x v="9"/>
    <x v="0"/>
    <x v="1096"/>
    <x v="1"/>
    <n v="65.02"/>
    <n v="2.6989999999999998"/>
    <n v="204.7266827"/>
    <n v="7.5270000000000001"/>
  </r>
  <r>
    <x v="19"/>
    <d v="2010-01-10T00:00:00"/>
    <x v="10"/>
    <x v="0"/>
    <x v="1097"/>
    <x v="0"/>
    <n v="61.08"/>
    <n v="2.7069999999999999"/>
    <n v="204.88509730000001"/>
    <n v="7.484"/>
  </r>
  <r>
    <x v="19"/>
    <d v="2010-08-10T00:00:00"/>
    <x v="11"/>
    <x v="0"/>
    <x v="1098"/>
    <x v="0"/>
    <n v="51.5"/>
    <n v="2.7639999999999998"/>
    <n v="204.95198199999999"/>
    <n v="7.484"/>
  </r>
  <r>
    <x v="19"/>
    <d v="2010-05-11T00:00:00"/>
    <x v="0"/>
    <x v="0"/>
    <x v="1099"/>
    <x v="0"/>
    <n v="42.78"/>
    <n v="2.9169999999999998"/>
    <n v="205.16083699999999"/>
    <n v="7.484"/>
  </r>
  <r>
    <x v="19"/>
    <d v="2010-12-11T00:00:00"/>
    <x v="1"/>
    <x v="0"/>
    <x v="1100"/>
    <x v="0"/>
    <n v="42.38"/>
    <n v="2.931"/>
    <n v="205.20986139999999"/>
    <n v="7.484"/>
  </r>
  <r>
    <x v="19"/>
    <d v="2010-03-12T00:00:00"/>
    <x v="8"/>
    <x v="0"/>
    <x v="1101"/>
    <x v="0"/>
    <n v="35.47"/>
    <n v="3.0459999999999998"/>
    <n v="204.8249189"/>
    <n v="7.484"/>
  </r>
  <r>
    <x v="19"/>
    <d v="2010-10-12T00:00:00"/>
    <x v="9"/>
    <x v="0"/>
    <x v="1102"/>
    <x v="0"/>
    <n v="24.27"/>
    <n v="3.109"/>
    <n v="204.68773780000001"/>
    <n v="7.484"/>
  </r>
  <r>
    <x v="19"/>
    <d v="2011-07-01T00:00:00"/>
    <x v="4"/>
    <x v="1"/>
    <x v="1103"/>
    <x v="0"/>
    <n v="31.43"/>
    <n v="3.1930000000000001"/>
    <n v="204.6487803"/>
    <n v="7.343"/>
  </r>
  <r>
    <x v="19"/>
    <d v="2011-04-02T00:00:00"/>
    <x v="5"/>
    <x v="1"/>
    <x v="1104"/>
    <x v="0"/>
    <n v="28.58"/>
    <n v="3.2309999999999999"/>
    <n v="205.7329407"/>
    <n v="7.343"/>
  </r>
  <r>
    <x v="19"/>
    <d v="2011-11-02T00:00:00"/>
    <x v="6"/>
    <x v="1"/>
    <x v="1105"/>
    <x v="1"/>
    <n v="25.38"/>
    <n v="3.2389999999999999"/>
    <n v="206.0763862"/>
    <n v="7.343"/>
  </r>
  <r>
    <x v="19"/>
    <d v="2011-04-03T00:00:00"/>
    <x v="5"/>
    <x v="1"/>
    <x v="1106"/>
    <x v="0"/>
    <n v="37.33"/>
    <n v="3.4329999999999998"/>
    <n v="206.91534849999999"/>
    <n v="7.343"/>
  </r>
  <r>
    <x v="19"/>
    <d v="2011-11-03T00:00:00"/>
    <x v="6"/>
    <x v="1"/>
    <x v="1107"/>
    <x v="0"/>
    <n v="39.53"/>
    <n v="3.5819999999999999"/>
    <n v="207.1882876"/>
    <n v="7.343"/>
  </r>
  <r>
    <x v="19"/>
    <d v="2011-01-04T00:00:00"/>
    <x v="10"/>
    <x v="1"/>
    <x v="1108"/>
    <x v="0"/>
    <n v="32.43"/>
    <n v="3.6379999999999999"/>
    <n v="207.88230429999999"/>
    <n v="7.2869999999999999"/>
  </r>
  <r>
    <x v="19"/>
    <d v="2011-08-04T00:00:00"/>
    <x v="11"/>
    <x v="1"/>
    <x v="1109"/>
    <x v="0"/>
    <n v="47.09"/>
    <n v="3.72"/>
    <n v="208.10926420000001"/>
    <n v="7.2869999999999999"/>
  </r>
  <r>
    <x v="19"/>
    <d v="2011-06-05T00:00:00"/>
    <x v="7"/>
    <x v="1"/>
    <x v="1110"/>
    <x v="0"/>
    <n v="53.41"/>
    <n v="4.0460000000000003"/>
    <n v="208.79925950000001"/>
    <n v="7.2869999999999999"/>
  </r>
  <r>
    <x v="19"/>
    <d v="2011-03-06T00:00:00"/>
    <x v="8"/>
    <x v="1"/>
    <x v="1111"/>
    <x v="0"/>
    <n v="73.510000000000005"/>
    <n v="3.9220000000000002"/>
    <n v="208.35511159999999"/>
    <n v="7.2869999999999999"/>
  </r>
  <r>
    <x v="19"/>
    <d v="2011-10-06T00:00:00"/>
    <x v="9"/>
    <x v="1"/>
    <x v="1112"/>
    <x v="0"/>
    <n v="73.64"/>
    <n v="3.8809999999999998"/>
    <n v="208.1535092"/>
    <n v="7.2869999999999999"/>
  </r>
  <r>
    <x v="19"/>
    <d v="2011-01-07T00:00:00"/>
    <x v="10"/>
    <x v="1"/>
    <x v="1113"/>
    <x v="0"/>
    <n v="69.66"/>
    <n v="3.7480000000000002"/>
    <n v="208.33464319999999"/>
    <n v="7.274"/>
  </r>
  <r>
    <x v="19"/>
    <d v="2011-08-07T00:00:00"/>
    <x v="11"/>
    <x v="1"/>
    <x v="1114"/>
    <x v="0"/>
    <n v="74.69"/>
    <n v="3.7109999999999999"/>
    <n v="208.43868470000001"/>
    <n v="7.274"/>
  </r>
  <r>
    <x v="19"/>
    <d v="2011-05-08T00:00:00"/>
    <x v="0"/>
    <x v="1"/>
    <x v="1115"/>
    <x v="0"/>
    <n v="77.8"/>
    <n v="3.8420000000000001"/>
    <n v="208.71923799999999"/>
    <n v="7.274"/>
  </r>
  <r>
    <x v="19"/>
    <d v="2011-12-08T00:00:00"/>
    <x v="1"/>
    <x v="1"/>
    <x v="1116"/>
    <x v="0"/>
    <n v="73.52"/>
    <n v="3.8119999999999998"/>
    <n v="208.78200609999999"/>
    <n v="7.274"/>
  </r>
  <r>
    <x v="19"/>
    <d v="2011-02-09T00:00:00"/>
    <x v="2"/>
    <x v="1"/>
    <x v="1117"/>
    <x v="0"/>
    <n v="70.819999999999993"/>
    <n v="3.7029999999999998"/>
    <n v="208.96251609999999"/>
    <n v="7.274"/>
  </r>
  <r>
    <x v="19"/>
    <d v="2011-09-09T00:00:00"/>
    <x v="3"/>
    <x v="1"/>
    <x v="1118"/>
    <x v="1"/>
    <n v="68.739999999999995"/>
    <n v="3.738"/>
    <n v="209.0225562"/>
    <n v="7.274"/>
  </r>
  <r>
    <x v="19"/>
    <d v="2011-07-10T00:00:00"/>
    <x v="4"/>
    <x v="1"/>
    <x v="1119"/>
    <x v="0"/>
    <n v="52.42"/>
    <n v="3.5830000000000002"/>
    <n v="210.11705950000001"/>
    <n v="7.0819999999999999"/>
  </r>
  <r>
    <x v="19"/>
    <d v="2011-04-11T00:00:00"/>
    <x v="5"/>
    <x v="1"/>
    <x v="1120"/>
    <x v="0"/>
    <n v="43.88"/>
    <n v="3.5510000000000002"/>
    <n v="210.83645509999999"/>
    <n v="7.0819999999999999"/>
  </r>
  <r>
    <x v="19"/>
    <d v="2011-11-11T00:00:00"/>
    <x v="6"/>
    <x v="1"/>
    <x v="1121"/>
    <x v="0"/>
    <n v="47.27"/>
    <n v="3.53"/>
    <n v="210.98102009999999"/>
    <n v="7.0819999999999999"/>
  </r>
  <r>
    <x v="19"/>
    <d v="2011-02-12T00:00:00"/>
    <x v="2"/>
    <x v="1"/>
    <x v="1122"/>
    <x v="0"/>
    <n v="46.32"/>
    <n v="3.452"/>
    <n v="211.6394306"/>
    <n v="7.0819999999999999"/>
  </r>
  <r>
    <x v="19"/>
    <d v="2011-09-12T00:00:00"/>
    <x v="3"/>
    <x v="1"/>
    <x v="1123"/>
    <x v="0"/>
    <n v="41.64"/>
    <n v="3.415"/>
    <n v="211.86678559999999"/>
    <n v="7.0819999999999999"/>
  </r>
  <r>
    <x v="19"/>
    <d v="2012-06-01T00:00:00"/>
    <x v="7"/>
    <x v="2"/>
    <x v="1124"/>
    <x v="0"/>
    <n v="33.42"/>
    <n v="3.4220000000000002"/>
    <n v="212.5711125"/>
    <n v="6.9610000000000003"/>
  </r>
  <r>
    <x v="19"/>
    <d v="2012-03-02T00:00:00"/>
    <x v="8"/>
    <x v="2"/>
    <x v="1125"/>
    <x v="0"/>
    <n v="39.93"/>
    <n v="3.617"/>
    <n v="213.02362249999999"/>
    <n v="6.9610000000000003"/>
  </r>
  <r>
    <x v="19"/>
    <d v="2012-10-02T00:00:00"/>
    <x v="9"/>
    <x v="2"/>
    <x v="1126"/>
    <x v="1"/>
    <n v="33.47"/>
    <n v="3.64"/>
    <n v="213.11861379999999"/>
    <n v="6.9610000000000003"/>
  </r>
  <r>
    <x v="19"/>
    <d v="2012-02-03T00:00:00"/>
    <x v="2"/>
    <x v="2"/>
    <x v="1127"/>
    <x v="0"/>
    <n v="39.979999999999997"/>
    <n v="3.8159999999999998"/>
    <n v="213.6718127"/>
    <n v="6.9610000000000003"/>
  </r>
  <r>
    <x v="19"/>
    <d v="2012-09-03T00:00:00"/>
    <x v="3"/>
    <x v="2"/>
    <x v="1128"/>
    <x v="0"/>
    <n v="41.14"/>
    <n v="3.8479999999999999"/>
    <n v="213.8711137"/>
    <n v="6.9610000000000003"/>
  </r>
  <r>
    <x v="19"/>
    <d v="2012-06-04T00:00:00"/>
    <x v="7"/>
    <x v="2"/>
    <x v="1129"/>
    <x v="0"/>
    <n v="50.06"/>
    <n v="3.996"/>
    <n v="214.23870529999999"/>
    <n v="7.1390000000000002"/>
  </r>
  <r>
    <x v="19"/>
    <d v="2012-04-05T00:00:00"/>
    <x v="5"/>
    <x v="2"/>
    <x v="1130"/>
    <x v="0"/>
    <n v="62.74"/>
    <n v="3.9510000000000001"/>
    <n v="214.47710810000001"/>
    <n v="7.1390000000000002"/>
  </r>
  <r>
    <x v="19"/>
    <d v="2012-11-05T00:00:00"/>
    <x v="6"/>
    <x v="2"/>
    <x v="1131"/>
    <x v="0"/>
    <n v="63.19"/>
    <n v="3.8889999999999998"/>
    <n v="214.53190989999999"/>
    <n v="7.1390000000000002"/>
  </r>
  <r>
    <x v="19"/>
    <d v="2012-01-06T00:00:00"/>
    <x v="10"/>
    <x v="2"/>
    <x v="1132"/>
    <x v="0"/>
    <n v="73.67"/>
    <n v="3.742"/>
    <n v="214.5513278"/>
    <n v="7.1390000000000002"/>
  </r>
  <r>
    <x v="19"/>
    <d v="2012-08-06T00:00:00"/>
    <x v="11"/>
    <x v="2"/>
    <x v="1133"/>
    <x v="0"/>
    <n v="62.01"/>
    <n v="3.6890000000000001"/>
    <n v="214.5527132"/>
    <n v="7.1390000000000002"/>
  </r>
  <r>
    <x v="19"/>
    <d v="2012-06-07T00:00:00"/>
    <x v="7"/>
    <x v="2"/>
    <x v="1134"/>
    <x v="0"/>
    <n v="79.2"/>
    <n v="3.4750000000000001"/>
    <n v="214.68735140000001"/>
    <n v="7.28"/>
  </r>
  <r>
    <x v="19"/>
    <d v="2012-03-08T00:00:00"/>
    <x v="8"/>
    <x v="2"/>
    <x v="1135"/>
    <x v="0"/>
    <n v="74.73"/>
    <n v="3.6539999999999999"/>
    <n v="214.74335139999999"/>
    <n v="7.28"/>
  </r>
  <r>
    <x v="19"/>
    <d v="2012-10-08T00:00:00"/>
    <x v="9"/>
    <x v="2"/>
    <x v="1136"/>
    <x v="0"/>
    <n v="75.400000000000006"/>
    <n v="3.722"/>
    <n v="214.7484595"/>
    <n v="7.28"/>
  </r>
  <r>
    <x v="19"/>
    <d v="2012-07-09T00:00:00"/>
    <x v="4"/>
    <x v="2"/>
    <x v="1137"/>
    <x v="1"/>
    <n v="76.36"/>
    <n v="3.911"/>
    <n v="215.2189573"/>
    <n v="7.28"/>
  </r>
  <r>
    <x v="19"/>
    <d v="2012-05-10T00:00:00"/>
    <x v="0"/>
    <x v="2"/>
    <x v="1138"/>
    <x v="0"/>
    <n v="60.77"/>
    <n v="3.9849999999999999"/>
    <n v="215.92588649999999"/>
    <n v="7.2930000000000001"/>
  </r>
  <r>
    <x v="19"/>
    <d v="2012-12-10T00:00:00"/>
    <x v="1"/>
    <x v="2"/>
    <x v="1139"/>
    <x v="0"/>
    <n v="47.2"/>
    <n v="4"/>
    <n v="216.11505679999999"/>
    <n v="7.2930000000000001"/>
  </r>
  <r>
    <x v="20"/>
    <d v="2010-05-02T00:00:00"/>
    <x v="0"/>
    <x v="0"/>
    <x v="1140"/>
    <x v="0"/>
    <n v="39.049999999999997"/>
    <n v="2.5720000000000001"/>
    <n v="210.7526053"/>
    <n v="8.3239999999999998"/>
  </r>
  <r>
    <x v="20"/>
    <d v="2010-12-02T00:00:00"/>
    <x v="1"/>
    <x v="0"/>
    <x v="1141"/>
    <x v="1"/>
    <n v="37.770000000000003"/>
    <n v="2.548"/>
    <n v="210.89799350000001"/>
    <n v="8.3239999999999998"/>
  </r>
  <r>
    <x v="20"/>
    <d v="2010-05-03T00:00:00"/>
    <x v="0"/>
    <x v="0"/>
    <x v="1142"/>
    <x v="0"/>
    <n v="48.61"/>
    <n v="2.625"/>
    <n v="211.00675419999999"/>
    <n v="8.3239999999999998"/>
  </r>
  <r>
    <x v="20"/>
    <d v="2010-12-03T00:00:00"/>
    <x v="1"/>
    <x v="0"/>
    <x v="1143"/>
    <x v="0"/>
    <n v="57.1"/>
    <n v="2.6669999999999998"/>
    <n v="211.03755100000001"/>
    <n v="8.3239999999999998"/>
  </r>
  <r>
    <x v="20"/>
    <d v="2010-02-04T00:00:00"/>
    <x v="2"/>
    <x v="0"/>
    <x v="1144"/>
    <x v="0"/>
    <n v="64.12"/>
    <n v="2.7189999999999999"/>
    <n v="210.4798874"/>
    <n v="8.1999999999999993"/>
  </r>
  <r>
    <x v="20"/>
    <d v="2010-09-04T00:00:00"/>
    <x v="3"/>
    <x v="0"/>
    <x v="1145"/>
    <x v="0"/>
    <n v="65.739999999999995"/>
    <n v="2.77"/>
    <n v="210.28316530000001"/>
    <n v="8.1999999999999993"/>
  </r>
  <r>
    <x v="20"/>
    <d v="2010-07-05T00:00:00"/>
    <x v="4"/>
    <x v="0"/>
    <x v="1146"/>
    <x v="0"/>
    <n v="70.87"/>
    <n v="2.835"/>
    <n v="210.00110179999999"/>
    <n v="8.1999999999999993"/>
  </r>
  <r>
    <x v="20"/>
    <d v="2010-04-06T00:00:00"/>
    <x v="5"/>
    <x v="0"/>
    <x v="1147"/>
    <x v="0"/>
    <n v="82.68"/>
    <n v="2.7050000000000001"/>
    <n v="210.83361600000001"/>
    <n v="8.1999999999999993"/>
  </r>
  <r>
    <x v="20"/>
    <d v="2010-11-06T00:00:00"/>
    <x v="6"/>
    <x v="0"/>
    <x v="1148"/>
    <x v="0"/>
    <n v="83.51"/>
    <n v="2.6680000000000001"/>
    <n v="211.1120018"/>
    <n v="8.1999999999999993"/>
  </r>
  <r>
    <x v="20"/>
    <d v="2010-02-07T00:00:00"/>
    <x v="2"/>
    <x v="0"/>
    <x v="1149"/>
    <x v="0"/>
    <n v="82.29"/>
    <n v="2.669"/>
    <n v="210.88037259999999"/>
    <n v="8.0990000000000002"/>
  </r>
  <r>
    <x v="20"/>
    <d v="2010-09-07T00:00:00"/>
    <x v="3"/>
    <x v="0"/>
    <x v="1150"/>
    <x v="0"/>
    <n v="81.67"/>
    <n v="2.6419999999999999"/>
    <n v="210.7657317"/>
    <n v="8.0990000000000002"/>
  </r>
  <r>
    <x v="20"/>
    <d v="2010-06-08T00:00:00"/>
    <x v="7"/>
    <x v="0"/>
    <x v="1151"/>
    <x v="0"/>
    <n v="90.3"/>
    <n v="2.6269999999999998"/>
    <n v="211.16080489999999"/>
    <n v="8.0990000000000002"/>
  </r>
  <r>
    <x v="20"/>
    <d v="2010-03-09T00:00:00"/>
    <x v="8"/>
    <x v="0"/>
    <x v="1152"/>
    <x v="0"/>
    <n v="82.57"/>
    <n v="2.577"/>
    <n v="211.18869309999999"/>
    <n v="8.0990000000000002"/>
  </r>
  <r>
    <x v="20"/>
    <d v="2010-10-09T00:00:00"/>
    <x v="9"/>
    <x v="0"/>
    <x v="1153"/>
    <x v="1"/>
    <n v="79.3"/>
    <n v="2.5649999999999999"/>
    <n v="211.15321040000001"/>
    <n v="8.0990000000000002"/>
  </r>
  <r>
    <x v="20"/>
    <d v="2010-01-10T00:00:00"/>
    <x v="10"/>
    <x v="0"/>
    <x v="1154"/>
    <x v="0"/>
    <n v="70.28"/>
    <n v="2.6030000000000002"/>
    <n v="211.32987420000001"/>
    <n v="8.1630000000000003"/>
  </r>
  <r>
    <x v="20"/>
    <d v="2010-08-10T00:00:00"/>
    <x v="11"/>
    <x v="0"/>
    <x v="1155"/>
    <x v="0"/>
    <n v="65.760000000000005"/>
    <n v="2.633"/>
    <n v="211.4044906"/>
    <n v="8.1630000000000003"/>
  </r>
  <r>
    <x v="20"/>
    <d v="2010-05-11T00:00:00"/>
    <x v="0"/>
    <x v="0"/>
    <x v="1156"/>
    <x v="0"/>
    <n v="58.71"/>
    <n v="2.6890000000000001"/>
    <n v="211.61350530000001"/>
    <n v="8.1630000000000003"/>
  </r>
  <r>
    <x v="20"/>
    <d v="2010-12-11T00:00:00"/>
    <x v="1"/>
    <x v="0"/>
    <x v="1157"/>
    <x v="0"/>
    <n v="60.95"/>
    <n v="2.7280000000000002"/>
    <n v="211.6608975"/>
    <n v="8.1630000000000003"/>
  </r>
  <r>
    <x v="20"/>
    <d v="2010-03-12T00:00:00"/>
    <x v="8"/>
    <x v="0"/>
    <x v="1158"/>
    <x v="0"/>
    <n v="50.43"/>
    <n v="2.7080000000000002"/>
    <n v="211.26554300000001"/>
    <n v="8.1630000000000003"/>
  </r>
  <r>
    <x v="20"/>
    <d v="2010-10-12T00:00:00"/>
    <x v="9"/>
    <x v="0"/>
    <x v="1159"/>
    <x v="0"/>
    <n v="46.35"/>
    <n v="2.843"/>
    <n v="211.12479930000001"/>
    <n v="8.1630000000000003"/>
  </r>
  <r>
    <x v="20"/>
    <d v="2011-07-01T00:00:00"/>
    <x v="4"/>
    <x v="1"/>
    <x v="1160"/>
    <x v="0"/>
    <n v="44.24"/>
    <n v="2.976"/>
    <n v="211.06488809999999"/>
    <n v="8.0280000000000005"/>
  </r>
  <r>
    <x v="20"/>
    <d v="2011-04-02T00:00:00"/>
    <x v="5"/>
    <x v="1"/>
    <x v="1161"/>
    <x v="0"/>
    <n v="36.33"/>
    <n v="2.9889999999999999"/>
    <n v="212.22406459999999"/>
    <n v="8.0280000000000005"/>
  </r>
  <r>
    <x v="20"/>
    <d v="2011-11-02T00:00:00"/>
    <x v="6"/>
    <x v="1"/>
    <x v="1162"/>
    <x v="1"/>
    <n v="34.61"/>
    <n v="3.0219999999999998"/>
    <n v="212.5928624"/>
    <n v="8.0280000000000005"/>
  </r>
  <r>
    <x v="20"/>
    <d v="2011-04-03T00:00:00"/>
    <x v="5"/>
    <x v="1"/>
    <x v="1163"/>
    <x v="0"/>
    <n v="59.52"/>
    <n v="3.2879999999999998"/>
    <n v="213.4775305"/>
    <n v="8.0280000000000005"/>
  </r>
  <r>
    <x v="20"/>
    <d v="2011-11-03T00:00:00"/>
    <x v="6"/>
    <x v="1"/>
    <x v="1164"/>
    <x v="0"/>
    <n v="54.69"/>
    <n v="3.4590000000000001"/>
    <n v="213.76464010000001"/>
    <n v="8.0280000000000005"/>
  </r>
  <r>
    <x v="20"/>
    <d v="2011-01-04T00:00:00"/>
    <x v="10"/>
    <x v="1"/>
    <x v="1165"/>
    <x v="0"/>
    <n v="56.36"/>
    <n v="3.524"/>
    <n v="214.4886908"/>
    <n v="7.931"/>
  </r>
  <r>
    <x v="20"/>
    <d v="2011-08-04T00:00:00"/>
    <x v="11"/>
    <x v="1"/>
    <x v="1166"/>
    <x v="0"/>
    <n v="68.62"/>
    <n v="3.6219999999999999"/>
    <n v="214.72522420000001"/>
    <n v="7.931"/>
  </r>
  <r>
    <x v="20"/>
    <d v="2011-06-05T00:00:00"/>
    <x v="7"/>
    <x v="1"/>
    <x v="1167"/>
    <x v="0"/>
    <n v="61.87"/>
    <n v="3.9060000000000001"/>
    <n v="215.44487090000001"/>
    <n v="7.931"/>
  </r>
  <r>
    <x v="20"/>
    <d v="2011-03-06T00:00:00"/>
    <x v="8"/>
    <x v="1"/>
    <x v="1168"/>
    <x v="0"/>
    <n v="83.82"/>
    <n v="3.6989999999999998"/>
    <n v="214.92548650000001"/>
    <n v="7.931"/>
  </r>
  <r>
    <x v="20"/>
    <d v="2011-10-06T00:00:00"/>
    <x v="9"/>
    <x v="1"/>
    <x v="1169"/>
    <x v="0"/>
    <n v="84.71"/>
    <n v="3.6480000000000001"/>
    <n v="214.69649079999999"/>
    <n v="7.931"/>
  </r>
  <r>
    <x v="20"/>
    <d v="2011-01-07T00:00:00"/>
    <x v="10"/>
    <x v="1"/>
    <x v="1170"/>
    <x v="0"/>
    <n v="87.57"/>
    <n v="3.524"/>
    <n v="214.83686779999999"/>
    <n v="7.8520000000000003"/>
  </r>
  <r>
    <x v="20"/>
    <d v="2011-08-07T00:00:00"/>
    <x v="11"/>
    <x v="1"/>
    <x v="1171"/>
    <x v="0"/>
    <n v="89.16"/>
    <n v="3.48"/>
    <n v="214.92962489999999"/>
    <n v="7.8520000000000003"/>
  </r>
  <r>
    <x v="20"/>
    <d v="2011-05-08T00:00:00"/>
    <x v="0"/>
    <x v="1"/>
    <x v="1172"/>
    <x v="0"/>
    <n v="94.22"/>
    <n v="3.6840000000000002"/>
    <n v="215.19785150000001"/>
    <n v="7.8520000000000003"/>
  </r>
  <r>
    <x v="20"/>
    <d v="2011-12-08T00:00:00"/>
    <x v="1"/>
    <x v="1"/>
    <x v="1173"/>
    <x v="0"/>
    <n v="92.32"/>
    <n v="3.6379999999999999"/>
    <n v="215.25932109999999"/>
    <n v="7.8520000000000003"/>
  </r>
  <r>
    <x v="20"/>
    <d v="2011-02-09T00:00:00"/>
    <x v="2"/>
    <x v="1"/>
    <x v="1174"/>
    <x v="0"/>
    <n v="91.94"/>
    <n v="3.5329999999999999"/>
    <n v="215.45086319999999"/>
    <n v="7.8520000000000003"/>
  </r>
  <r>
    <x v="20"/>
    <d v="2011-09-09T00:00:00"/>
    <x v="3"/>
    <x v="1"/>
    <x v="1175"/>
    <x v="1"/>
    <n v="78.87"/>
    <n v="3.5459999999999998"/>
    <n v="215.51482949999999"/>
    <n v="7.8520000000000003"/>
  </r>
  <r>
    <x v="20"/>
    <d v="2011-07-10T00:00:00"/>
    <x v="4"/>
    <x v="1"/>
    <x v="1176"/>
    <x v="0"/>
    <n v="71.64"/>
    <n v="3.2850000000000001"/>
    <n v="216.69583109999999"/>
    <n v="7.4409999999999998"/>
  </r>
  <r>
    <x v="20"/>
    <d v="2011-04-11T00:00:00"/>
    <x v="5"/>
    <x v="1"/>
    <x v="1177"/>
    <x v="0"/>
    <n v="56.01"/>
    <n v="3.3319999999999999"/>
    <n v="217.48536050000001"/>
    <n v="7.4409999999999998"/>
  </r>
  <r>
    <x v="20"/>
    <d v="2011-11-11T00:00:00"/>
    <x v="6"/>
    <x v="1"/>
    <x v="1178"/>
    <x v="0"/>
    <n v="59.8"/>
    <n v="3.2970000000000002"/>
    <n v="217.6455387"/>
    <n v="7.4409999999999998"/>
  </r>
  <r>
    <x v="20"/>
    <d v="2011-02-12T00:00:00"/>
    <x v="2"/>
    <x v="1"/>
    <x v="1179"/>
    <x v="0"/>
    <n v="48.72"/>
    <n v="3.1720000000000002"/>
    <n v="218.35903189999999"/>
    <n v="7.4409999999999998"/>
  </r>
  <r>
    <x v="20"/>
    <d v="2011-09-12T00:00:00"/>
    <x v="3"/>
    <x v="1"/>
    <x v="1180"/>
    <x v="0"/>
    <n v="41.44"/>
    <n v="3.1579999999999999"/>
    <n v="218.60503700000001"/>
    <n v="7.4409999999999998"/>
  </r>
  <r>
    <x v="20"/>
    <d v="2012-06-01T00:00:00"/>
    <x v="7"/>
    <x v="2"/>
    <x v="1181"/>
    <x v="0"/>
    <n v="48.1"/>
    <n v="3.157"/>
    <n v="219.355063"/>
    <n v="7.0570000000000004"/>
  </r>
  <r>
    <x v="20"/>
    <d v="2012-03-02T00:00:00"/>
    <x v="8"/>
    <x v="2"/>
    <x v="1182"/>
    <x v="0"/>
    <n v="55.83"/>
    <n v="3.36"/>
    <n v="219.81188539999999"/>
    <n v="7.0570000000000004"/>
  </r>
  <r>
    <x v="20"/>
    <d v="2012-10-02T00:00:00"/>
    <x v="9"/>
    <x v="2"/>
    <x v="1183"/>
    <x v="1"/>
    <n v="46.52"/>
    <n v="3.4089999999999998"/>
    <n v="219.90490729999999"/>
    <n v="7.0570000000000004"/>
  </r>
  <r>
    <x v="20"/>
    <d v="2012-02-03T00:00:00"/>
    <x v="2"/>
    <x v="2"/>
    <x v="1184"/>
    <x v="0"/>
    <n v="59.3"/>
    <n v="3.63"/>
    <n v="220.48668860000001"/>
    <n v="7.0570000000000004"/>
  </r>
  <r>
    <x v="20"/>
    <d v="2012-09-03T00:00:00"/>
    <x v="3"/>
    <x v="2"/>
    <x v="1185"/>
    <x v="0"/>
    <n v="57.16"/>
    <n v="3.669"/>
    <n v="220.69743320000001"/>
    <n v="7.0570000000000004"/>
  </r>
  <r>
    <x v="20"/>
    <d v="2012-06-04T00:00:00"/>
    <x v="7"/>
    <x v="2"/>
    <x v="1186"/>
    <x v="0"/>
    <n v="69.02"/>
    <n v="3.891"/>
    <n v="221.07376379999999"/>
    <n v="6.891"/>
  </r>
  <r>
    <x v="20"/>
    <d v="2012-04-05T00:00:00"/>
    <x v="5"/>
    <x v="2"/>
    <x v="1187"/>
    <x v="0"/>
    <n v="77.53"/>
    <n v="3.7490000000000001"/>
    <n v="221.30951659999999"/>
    <n v="6.891"/>
  </r>
  <r>
    <x v="20"/>
    <d v="2012-11-05T00:00:00"/>
    <x v="6"/>
    <x v="2"/>
    <x v="1188"/>
    <x v="0"/>
    <n v="74.14"/>
    <n v="3.6880000000000002"/>
    <n v="221.3632212"/>
    <n v="6.891"/>
  </r>
  <r>
    <x v="20"/>
    <d v="2012-01-06T00:00:00"/>
    <x v="10"/>
    <x v="2"/>
    <x v="1189"/>
    <x v="0"/>
    <n v="79.239999999999995"/>
    <n v="3.5009999999999999"/>
    <n v="221.38527479999999"/>
    <n v="6.891"/>
  </r>
  <r>
    <x v="20"/>
    <d v="2012-08-06T00:00:00"/>
    <x v="11"/>
    <x v="2"/>
    <x v="1190"/>
    <x v="0"/>
    <n v="79.47"/>
    <n v="3.452"/>
    <n v="221.38774670000001"/>
    <n v="6.891"/>
  </r>
  <r>
    <x v="20"/>
    <d v="2012-06-07T00:00:00"/>
    <x v="7"/>
    <x v="2"/>
    <x v="1191"/>
    <x v="0"/>
    <n v="85.26"/>
    <n v="3.2269999999999999"/>
    <n v="221.52150639999999"/>
    <n v="6.5650000000000004"/>
  </r>
  <r>
    <x v="20"/>
    <d v="2012-03-08T00:00:00"/>
    <x v="8"/>
    <x v="2"/>
    <x v="1192"/>
    <x v="0"/>
    <n v="91.57"/>
    <n v="3.4169999999999998"/>
    <n v="221.58697989999999"/>
    <n v="6.5650000000000004"/>
  </r>
  <r>
    <x v="20"/>
    <d v="2012-10-08T00:00:00"/>
    <x v="9"/>
    <x v="2"/>
    <x v="1193"/>
    <x v="0"/>
    <n v="89.57"/>
    <n v="3.4940000000000002"/>
    <n v="221.59541379999999"/>
    <n v="6.5650000000000004"/>
  </r>
  <r>
    <x v="20"/>
    <d v="2012-07-09T00:00:00"/>
    <x v="4"/>
    <x v="2"/>
    <x v="1194"/>
    <x v="1"/>
    <n v="88.4"/>
    <n v="3.73"/>
    <n v="222.07476349999999"/>
    <n v="6.5650000000000004"/>
  </r>
  <r>
    <x v="20"/>
    <d v="2012-05-10T00:00:00"/>
    <x v="0"/>
    <x v="2"/>
    <x v="1195"/>
    <x v="0"/>
    <n v="70.28"/>
    <n v="3.617"/>
    <n v="222.8159296"/>
    <n v="6.17"/>
  </r>
  <r>
    <x v="20"/>
    <d v="2012-12-10T00:00:00"/>
    <x v="1"/>
    <x v="2"/>
    <x v="1196"/>
    <x v="0"/>
    <n v="61.53"/>
    <n v="3.601"/>
    <n v="223.0154263"/>
    <n v="6.17"/>
  </r>
  <r>
    <x v="21"/>
    <d v="2010-05-02T00:00:00"/>
    <x v="0"/>
    <x v="0"/>
    <x v="1197"/>
    <x v="0"/>
    <n v="24.36"/>
    <n v="2.7879999999999998"/>
    <n v="135.35246079999999"/>
    <n v="8.2829999999999995"/>
  </r>
  <r>
    <x v="21"/>
    <d v="2010-12-02T00:00:00"/>
    <x v="1"/>
    <x v="0"/>
    <x v="1198"/>
    <x v="1"/>
    <n v="28.14"/>
    <n v="2.7709999999999999"/>
    <n v="135.41130759999999"/>
    <n v="8.2829999999999995"/>
  </r>
  <r>
    <x v="21"/>
    <d v="2010-05-03T00:00:00"/>
    <x v="0"/>
    <x v="0"/>
    <x v="1199"/>
    <x v="0"/>
    <n v="36.82"/>
    <n v="2.766"/>
    <n v="135.57326019999999"/>
    <n v="8.2829999999999995"/>
  </r>
  <r>
    <x v="21"/>
    <d v="2010-12-03T00:00:00"/>
    <x v="1"/>
    <x v="0"/>
    <x v="1200"/>
    <x v="0"/>
    <n v="43.43"/>
    <n v="2.8050000000000002"/>
    <n v="135.62700129999999"/>
    <n v="8.2829999999999995"/>
  </r>
  <r>
    <x v="21"/>
    <d v="2010-02-04T00:00:00"/>
    <x v="2"/>
    <x v="0"/>
    <x v="1201"/>
    <x v="0"/>
    <n v="44.96"/>
    <n v="2.8260000000000001"/>
    <n v="135.74649880000001"/>
    <n v="8.3480000000000008"/>
  </r>
  <r>
    <x v="21"/>
    <d v="2010-09-04T00:00:00"/>
    <x v="3"/>
    <x v="0"/>
    <x v="1202"/>
    <x v="0"/>
    <n v="57.06"/>
    <n v="2.8490000000000002"/>
    <n v="135.78563589999999"/>
    <n v="8.3480000000000008"/>
  </r>
  <r>
    <x v="21"/>
    <d v="2010-07-05T00:00:00"/>
    <x v="4"/>
    <x v="0"/>
    <x v="1203"/>
    <x v="0"/>
    <n v="63.81"/>
    <n v="2.9809999999999999"/>
    <n v="135.96199999999999"/>
    <n v="8.3480000000000008"/>
  </r>
  <r>
    <x v="21"/>
    <d v="2010-04-06T00:00:00"/>
    <x v="5"/>
    <x v="0"/>
    <x v="1204"/>
    <x v="0"/>
    <n v="69.489999999999995"/>
    <n v="2.8570000000000002"/>
    <n v="136.21816820000001"/>
    <n v="8.3480000000000008"/>
  </r>
  <r>
    <x v="21"/>
    <d v="2010-11-06T00:00:00"/>
    <x v="6"/>
    <x v="0"/>
    <x v="1205"/>
    <x v="0"/>
    <n v="65.010000000000005"/>
    <n v="2.83"/>
    <n v="136.28742629999999"/>
    <n v="8.3480000000000008"/>
  </r>
  <r>
    <x v="21"/>
    <d v="2010-02-07T00:00:00"/>
    <x v="2"/>
    <x v="0"/>
    <x v="1206"/>
    <x v="0"/>
    <n v="72.88"/>
    <n v="2.8149999999999999"/>
    <n v="136.37228930000001"/>
    <n v="8.4329999999999998"/>
  </r>
  <r>
    <x v="21"/>
    <d v="2010-09-07T00:00:00"/>
    <x v="3"/>
    <x v="0"/>
    <x v="1207"/>
    <x v="0"/>
    <n v="79.22"/>
    <n v="2.806"/>
    <n v="136.39626430000001"/>
    <n v="8.4329999999999998"/>
  </r>
  <r>
    <x v="21"/>
    <d v="2010-06-08T00:00:00"/>
    <x v="7"/>
    <x v="0"/>
    <x v="1208"/>
    <x v="0"/>
    <n v="74.37"/>
    <n v="2.7919999999999998"/>
    <n v="136.4741118"/>
    <n v="8.4329999999999998"/>
  </r>
  <r>
    <x v="21"/>
    <d v="2010-03-09T00:00:00"/>
    <x v="8"/>
    <x v="0"/>
    <x v="1209"/>
    <x v="0"/>
    <n v="75.849999999999994"/>
    <n v="2.7349999999999999"/>
    <n v="136.58911180000001"/>
    <n v="8.4329999999999998"/>
  </r>
  <r>
    <x v="21"/>
    <d v="2010-10-09T00:00:00"/>
    <x v="9"/>
    <x v="0"/>
    <x v="1210"/>
    <x v="1"/>
    <n v="68.599999999999994"/>
    <n v="2.7170000000000001"/>
    <n v="136.62120849999999"/>
    <n v="8.4329999999999998"/>
  </r>
  <r>
    <x v="21"/>
    <d v="2010-01-10T00:00:00"/>
    <x v="10"/>
    <x v="0"/>
    <x v="1211"/>
    <x v="0"/>
    <n v="69.31"/>
    <n v="2.7170000000000001"/>
    <n v="136.62975710000001"/>
    <n v="8.5719999999999992"/>
  </r>
  <r>
    <x v="21"/>
    <d v="2010-08-10T00:00:00"/>
    <x v="11"/>
    <x v="0"/>
    <x v="1212"/>
    <x v="0"/>
    <n v="56.32"/>
    <n v="2.7759999999999998"/>
    <n v="136.6277321"/>
    <n v="8.5719999999999992"/>
  </r>
  <r>
    <x v="21"/>
    <d v="2010-05-11T00:00:00"/>
    <x v="0"/>
    <x v="0"/>
    <x v="1213"/>
    <x v="0"/>
    <n v="44.34"/>
    <n v="2.9380000000000002"/>
    <n v="136.78622580000001"/>
    <n v="8.5719999999999992"/>
  </r>
  <r>
    <x v="21"/>
    <d v="2010-12-11T00:00:00"/>
    <x v="1"/>
    <x v="0"/>
    <x v="1214"/>
    <x v="0"/>
    <n v="44.42"/>
    <n v="2.9609999999999999"/>
    <n v="136.83490320000001"/>
    <n v="8.5719999999999992"/>
  </r>
  <r>
    <x v="21"/>
    <d v="2010-03-12T00:00:00"/>
    <x v="8"/>
    <x v="0"/>
    <x v="1215"/>
    <x v="0"/>
    <n v="39.42"/>
    <n v="3.0649999999999999"/>
    <n v="136.60757140000001"/>
    <n v="8.5719999999999992"/>
  </r>
  <r>
    <x v="21"/>
    <d v="2010-10-12T00:00:00"/>
    <x v="9"/>
    <x v="0"/>
    <x v="1216"/>
    <x v="0"/>
    <n v="28.43"/>
    <n v="3.1320000000000001"/>
    <n v="136.52557139999999"/>
    <n v="8.5719999999999992"/>
  </r>
  <r>
    <x v="21"/>
    <d v="2011-07-01T00:00:00"/>
    <x v="4"/>
    <x v="1"/>
    <x v="1217"/>
    <x v="0"/>
    <n v="32.56"/>
    <n v="3.1930000000000001"/>
    <n v="136.73325689999999"/>
    <n v="8.4580000000000002"/>
  </r>
  <r>
    <x v="21"/>
    <d v="2011-04-02T00:00:00"/>
    <x v="5"/>
    <x v="1"/>
    <x v="1218"/>
    <x v="0"/>
    <n v="26.39"/>
    <n v="3.24"/>
    <n v="137.05424310000001"/>
    <n v="8.4580000000000002"/>
  </r>
  <r>
    <x v="21"/>
    <d v="2011-11-02T00:00:00"/>
    <x v="6"/>
    <x v="1"/>
    <x v="1219"/>
    <x v="1"/>
    <n v="28.89"/>
    <n v="3.2549999999999999"/>
    <n v="137.13783179999999"/>
    <n v="8.4580000000000002"/>
  </r>
  <r>
    <x v="21"/>
    <d v="2011-04-03T00:00:00"/>
    <x v="5"/>
    <x v="1"/>
    <x v="1220"/>
    <x v="0"/>
    <n v="33.520000000000003"/>
    <n v="3.4369999999999998"/>
    <n v="137.5017028"/>
    <n v="8.4580000000000002"/>
  </r>
  <r>
    <x v="21"/>
    <d v="2011-11-03T00:00:00"/>
    <x v="6"/>
    <x v="1"/>
    <x v="1221"/>
    <x v="0"/>
    <n v="41.42"/>
    <n v="3.6"/>
    <n v="137.62696170000001"/>
    <n v="8.4580000000000002"/>
  </r>
  <r>
    <x v="21"/>
    <d v="2011-01-04T00:00:00"/>
    <x v="10"/>
    <x v="1"/>
    <x v="1222"/>
    <x v="0"/>
    <n v="36.04"/>
    <n v="3.6379999999999999"/>
    <n v="137.95589290000001"/>
    <n v="8.2520000000000007"/>
  </r>
  <r>
    <x v="21"/>
    <d v="2011-08-04T00:00:00"/>
    <x v="11"/>
    <x v="1"/>
    <x v="1223"/>
    <x v="0"/>
    <n v="44.42"/>
    <n v="3.72"/>
    <n v="138.06389290000001"/>
    <n v="8.2520000000000007"/>
  </r>
  <r>
    <x v="21"/>
    <d v="2011-06-05T00:00:00"/>
    <x v="7"/>
    <x v="1"/>
    <x v="1224"/>
    <x v="0"/>
    <n v="53.63"/>
    <n v="4.0780000000000003"/>
    <n v="138.41312020000001"/>
    <n v="8.2520000000000007"/>
  </r>
  <r>
    <x v="21"/>
    <d v="2011-03-06T00:00:00"/>
    <x v="8"/>
    <x v="1"/>
    <x v="1225"/>
    <x v="0"/>
    <n v="70.09"/>
    <n v="3.9729999999999999"/>
    <n v="138.76946079999999"/>
    <n v="8.2520000000000007"/>
  </r>
  <r>
    <x v="21"/>
    <d v="2011-10-06T00:00:00"/>
    <x v="9"/>
    <x v="1"/>
    <x v="1226"/>
    <x v="0"/>
    <n v="69.53"/>
    <n v="3.9239999999999999"/>
    <n v="138.86063820000001"/>
    <n v="8.2520000000000007"/>
  </r>
  <r>
    <x v="21"/>
    <d v="2011-01-07T00:00:00"/>
    <x v="10"/>
    <x v="1"/>
    <x v="1227"/>
    <x v="0"/>
    <n v="70.8"/>
    <n v="3.8149999999999999"/>
    <n v="139.36375000000001"/>
    <n v="8.0229999999999997"/>
  </r>
  <r>
    <x v="21"/>
    <d v="2011-08-07T00:00:00"/>
    <x v="11"/>
    <x v="1"/>
    <x v="1228"/>
    <x v="0"/>
    <n v="74.22"/>
    <n v="3.7839999999999998"/>
    <n v="139.54420830000001"/>
    <n v="8.0229999999999997"/>
  </r>
  <r>
    <x v="21"/>
    <d v="2011-05-08T00:00:00"/>
    <x v="0"/>
    <x v="1"/>
    <x v="1229"/>
    <x v="0"/>
    <n v="75.33"/>
    <n v="3.903"/>
    <n v="139.98964860000001"/>
    <n v="8.0229999999999997"/>
  </r>
  <r>
    <x v="21"/>
    <d v="2011-12-08T00:00:00"/>
    <x v="1"/>
    <x v="1"/>
    <x v="1230"/>
    <x v="0"/>
    <n v="74.69"/>
    <n v="3.88"/>
    <n v="140.0859873"/>
    <n v="8.0229999999999997"/>
  </r>
  <r>
    <x v="21"/>
    <d v="2011-02-09T00:00:00"/>
    <x v="2"/>
    <x v="1"/>
    <x v="1231"/>
    <x v="0"/>
    <n v="69.16"/>
    <n v="3.7839999999999998"/>
    <n v="140.19698500000001"/>
    <n v="8.0229999999999997"/>
  </r>
  <r>
    <x v="21"/>
    <d v="2011-09-09T00:00:00"/>
    <x v="3"/>
    <x v="1"/>
    <x v="1232"/>
    <x v="1"/>
    <n v="69.14"/>
    <n v="3.8090000000000002"/>
    <n v="140.23101729999999"/>
    <n v="8.0229999999999997"/>
  </r>
  <r>
    <x v="21"/>
    <d v="2011-07-10T00:00:00"/>
    <x v="4"/>
    <x v="1"/>
    <x v="1233"/>
    <x v="0"/>
    <n v="56.44"/>
    <n v="3.633"/>
    <n v="140.43475000000001"/>
    <n v="7.7060000000000004"/>
  </r>
  <r>
    <x v="21"/>
    <d v="2011-04-11T00:00:00"/>
    <x v="5"/>
    <x v="1"/>
    <x v="1234"/>
    <x v="0"/>
    <n v="42.81"/>
    <n v="3.5859999999999999"/>
    <n v="140.42797580000001"/>
    <n v="7.7060000000000004"/>
  </r>
  <r>
    <x v="21"/>
    <d v="2011-11-11T00:00:00"/>
    <x v="6"/>
    <x v="1"/>
    <x v="1235"/>
    <x v="0"/>
    <n v="47.8"/>
    <n v="3.57"/>
    <n v="140.4111613"/>
    <n v="7.7060000000000004"/>
  </r>
  <r>
    <x v="21"/>
    <d v="2011-02-12T00:00:00"/>
    <x v="2"/>
    <x v="1"/>
    <x v="1236"/>
    <x v="0"/>
    <n v="49.11"/>
    <n v="3.5009999999999999"/>
    <n v="140.4307857"/>
    <n v="7.7060000000000004"/>
  </r>
  <r>
    <x v="21"/>
    <d v="2011-09-12T00:00:00"/>
    <x v="3"/>
    <x v="1"/>
    <x v="1237"/>
    <x v="0"/>
    <n v="45.35"/>
    <n v="3.47"/>
    <n v="140.43978569999999"/>
    <n v="7.7060000000000004"/>
  </r>
  <r>
    <x v="21"/>
    <d v="2012-06-01T00:00:00"/>
    <x v="7"/>
    <x v="2"/>
    <x v="1238"/>
    <x v="0"/>
    <n v="34.61"/>
    <n v="3.4390000000000001"/>
    <n v="140.64613589999999"/>
    <n v="7.5030000000000001"/>
  </r>
  <r>
    <x v="21"/>
    <d v="2012-03-02T00:00:00"/>
    <x v="8"/>
    <x v="2"/>
    <x v="1239"/>
    <x v="0"/>
    <n v="40.58"/>
    <n v="3.633"/>
    <n v="141.01619239999999"/>
    <n v="7.5030000000000001"/>
  </r>
  <r>
    <x v="21"/>
    <d v="2012-10-02T00:00:00"/>
    <x v="9"/>
    <x v="2"/>
    <x v="1240"/>
    <x v="1"/>
    <n v="35.68"/>
    <n v="3.6549999999999998"/>
    <n v="141.11998270000001"/>
    <n v="7.5030000000000001"/>
  </r>
  <r>
    <x v="21"/>
    <d v="2012-02-03T00:00:00"/>
    <x v="2"/>
    <x v="2"/>
    <x v="1241"/>
    <x v="0"/>
    <n v="37.47"/>
    <n v="3.827"/>
    <n v="141.3875357"/>
    <n v="7.5030000000000001"/>
  </r>
  <r>
    <x v="21"/>
    <d v="2012-09-03T00:00:00"/>
    <x v="3"/>
    <x v="2"/>
    <x v="1242"/>
    <x v="0"/>
    <n v="41.72"/>
    <n v="3.8759999999999999"/>
    <n v="141.4742857"/>
    <n v="7.5030000000000001"/>
  </r>
  <r>
    <x v="21"/>
    <d v="2012-06-04T00:00:00"/>
    <x v="7"/>
    <x v="2"/>
    <x v="1243"/>
    <x v="0"/>
    <n v="46.38"/>
    <n v="3.9569999999999999"/>
    <n v="141.7712396"/>
    <n v="7.6710000000000003"/>
  </r>
  <r>
    <x v="21"/>
    <d v="2012-04-05T00:00:00"/>
    <x v="5"/>
    <x v="2"/>
    <x v="1244"/>
    <x v="0"/>
    <n v="50.75"/>
    <n v="3.9910000000000001"/>
    <n v="142.01779289999999"/>
    <n v="7.6710000000000003"/>
  </r>
  <r>
    <x v="21"/>
    <d v="2012-11-05T00:00:00"/>
    <x v="6"/>
    <x v="2"/>
    <x v="1245"/>
    <x v="0"/>
    <n v="56.72"/>
    <n v="3.9470000000000001"/>
    <n v="142.0759262"/>
    <n v="7.6710000000000003"/>
  </r>
  <r>
    <x v="21"/>
    <d v="2012-01-06T00:00:00"/>
    <x v="10"/>
    <x v="2"/>
    <x v="1246"/>
    <x v="0"/>
    <n v="70.010000000000005"/>
    <n v="3.798"/>
    <n v="142.10954380000001"/>
    <n v="7.6710000000000003"/>
  </r>
  <r>
    <x v="21"/>
    <d v="2012-08-06T00:00:00"/>
    <x v="11"/>
    <x v="2"/>
    <x v="1247"/>
    <x v="0"/>
    <n v="61.71"/>
    <n v="3.746"/>
    <n v="142.11580989999999"/>
    <n v="7.6710000000000003"/>
  </r>
  <r>
    <x v="21"/>
    <d v="2012-06-07T00:00:00"/>
    <x v="7"/>
    <x v="2"/>
    <x v="1248"/>
    <x v="0"/>
    <n v="77.41"/>
    <n v="3.5379999999999998"/>
    <n v="142.22342979999999"/>
    <n v="7.7530000000000001"/>
  </r>
  <r>
    <x v="21"/>
    <d v="2012-03-08T00:00:00"/>
    <x v="8"/>
    <x v="2"/>
    <x v="1249"/>
    <x v="0"/>
    <n v="72.989999999999995"/>
    <n v="3.698"/>
    <n v="142.19162789999999"/>
    <n v="7.7530000000000001"/>
  </r>
  <r>
    <x v="21"/>
    <d v="2012-10-08T00:00:00"/>
    <x v="9"/>
    <x v="2"/>
    <x v="1250"/>
    <x v="0"/>
    <n v="76.739999999999995"/>
    <n v="3.7719999999999998"/>
    <n v="142.17056339999999"/>
    <n v="7.7530000000000001"/>
  </r>
  <r>
    <x v="21"/>
    <d v="2012-07-09T00:00:00"/>
    <x v="4"/>
    <x v="2"/>
    <x v="1251"/>
    <x v="1"/>
    <n v="73.3"/>
    <n v="3.9209999999999998"/>
    <n v="142.500303"/>
    <n v="7.7530000000000001"/>
  </r>
  <r>
    <x v="21"/>
    <d v="2012-05-10T00:00:00"/>
    <x v="0"/>
    <x v="2"/>
    <x v="1252"/>
    <x v="0"/>
    <n v="62.09"/>
    <n v="4.0270000000000001"/>
    <n v="142.85168329999999"/>
    <n v="7.5430000000000001"/>
  </r>
  <r>
    <x v="21"/>
    <d v="2012-12-10T00:00:00"/>
    <x v="1"/>
    <x v="2"/>
    <x v="1253"/>
    <x v="0"/>
    <n v="54.18"/>
    <n v="4.0289999999999999"/>
    <n v="142.93761670000001"/>
    <n v="7.5430000000000001"/>
  </r>
  <r>
    <x v="22"/>
    <d v="2010-05-02T00:00:00"/>
    <x v="0"/>
    <x v="0"/>
    <x v="1254"/>
    <x v="0"/>
    <n v="15.25"/>
    <n v="2.7879999999999998"/>
    <n v="131.5279032"/>
    <n v="5.8920000000000003"/>
  </r>
  <r>
    <x v="22"/>
    <d v="2010-12-02T00:00:00"/>
    <x v="1"/>
    <x v="0"/>
    <x v="1255"/>
    <x v="1"/>
    <n v="18.75"/>
    <n v="2.7709999999999999"/>
    <n v="131.58661290000001"/>
    <n v="5.8920000000000003"/>
  </r>
  <r>
    <x v="22"/>
    <d v="2010-05-03T00:00:00"/>
    <x v="0"/>
    <x v="0"/>
    <x v="1256"/>
    <x v="0"/>
    <n v="33.15"/>
    <n v="2.766"/>
    <n v="131.73500000000001"/>
    <n v="5.8920000000000003"/>
  </r>
  <r>
    <x v="22"/>
    <d v="2010-12-03T00:00:00"/>
    <x v="1"/>
    <x v="0"/>
    <x v="1257"/>
    <x v="0"/>
    <n v="36.07"/>
    <n v="2.8050000000000002"/>
    <n v="131.78399999999999"/>
    <n v="5.8920000000000003"/>
  </r>
  <r>
    <x v="22"/>
    <d v="2010-02-04T00:00:00"/>
    <x v="2"/>
    <x v="0"/>
    <x v="1258"/>
    <x v="0"/>
    <n v="40.5"/>
    <n v="2.8260000000000001"/>
    <n v="131.9019677"/>
    <n v="5.4349999999999996"/>
  </r>
  <r>
    <x v="22"/>
    <d v="2010-09-04T00:00:00"/>
    <x v="3"/>
    <x v="0"/>
    <x v="1259"/>
    <x v="0"/>
    <n v="56.82"/>
    <n v="2.8490000000000002"/>
    <n v="131.94080650000001"/>
    <n v="5.4349999999999996"/>
  </r>
  <r>
    <x v="22"/>
    <d v="2010-07-05T00:00:00"/>
    <x v="4"/>
    <x v="0"/>
    <x v="1260"/>
    <x v="0"/>
    <n v="61.04"/>
    <n v="2.9809999999999999"/>
    <n v="132.1062"/>
    <n v="5.4349999999999996"/>
  </r>
  <r>
    <x v="22"/>
    <d v="2010-04-06T00:00:00"/>
    <x v="5"/>
    <x v="0"/>
    <x v="1261"/>
    <x v="0"/>
    <n v="64.94"/>
    <n v="2.8570000000000002"/>
    <n v="132.36483870000001"/>
    <n v="5.4349999999999996"/>
  </r>
  <r>
    <x v="22"/>
    <d v="2010-11-06T00:00:00"/>
    <x v="6"/>
    <x v="0"/>
    <x v="1262"/>
    <x v="0"/>
    <n v="58.35"/>
    <n v="2.83"/>
    <n v="132.43574190000001"/>
    <n v="5.4349999999999996"/>
  </r>
  <r>
    <x v="22"/>
    <d v="2010-02-07T00:00:00"/>
    <x v="2"/>
    <x v="0"/>
    <x v="1263"/>
    <x v="0"/>
    <n v="64.760000000000005"/>
    <n v="2.8149999999999999"/>
    <n v="132.5218667"/>
    <n v="5.3259999999999996"/>
  </r>
  <r>
    <x v="22"/>
    <d v="2010-09-07T00:00:00"/>
    <x v="3"/>
    <x v="0"/>
    <x v="1264"/>
    <x v="0"/>
    <n v="77.16"/>
    <n v="2.806"/>
    <n v="132.54613330000001"/>
    <n v="5.3259999999999996"/>
  </r>
  <r>
    <x v="22"/>
    <d v="2010-06-08T00:00:00"/>
    <x v="7"/>
    <x v="0"/>
    <x v="1265"/>
    <x v="0"/>
    <n v="70.03"/>
    <n v="2.7919999999999998"/>
    <n v="132.6141935"/>
    <n v="5.3259999999999996"/>
  </r>
  <r>
    <x v="22"/>
    <d v="2010-03-09T00:00:00"/>
    <x v="8"/>
    <x v="0"/>
    <x v="1266"/>
    <x v="0"/>
    <n v="72.91"/>
    <n v="2.7349999999999999"/>
    <n v="132.72483869999999"/>
    <n v="5.3259999999999996"/>
  </r>
  <r>
    <x v="22"/>
    <d v="2010-10-09T00:00:00"/>
    <x v="9"/>
    <x v="0"/>
    <x v="1267"/>
    <x v="1"/>
    <n v="63.21"/>
    <n v="2.7170000000000001"/>
    <n v="132.75645159999999"/>
    <n v="5.3259999999999996"/>
  </r>
  <r>
    <x v="22"/>
    <d v="2010-01-10T00:00:00"/>
    <x v="10"/>
    <x v="0"/>
    <x v="1268"/>
    <x v="0"/>
    <n v="62.07"/>
    <n v="2.7170000000000001"/>
    <n v="132.7568"/>
    <n v="5.2869999999999999"/>
  </r>
  <r>
    <x v="22"/>
    <d v="2010-08-10T00:00:00"/>
    <x v="11"/>
    <x v="0"/>
    <x v="1269"/>
    <x v="0"/>
    <n v="50.75"/>
    <n v="2.7759999999999998"/>
    <n v="132.75166669999999"/>
    <n v="5.2869999999999999"/>
  </r>
  <r>
    <x v="22"/>
    <d v="2010-05-11T00:00:00"/>
    <x v="0"/>
    <x v="0"/>
    <x v="1270"/>
    <x v="0"/>
    <n v="36.6"/>
    <n v="2.9380000000000002"/>
    <n v="132.92458060000001"/>
    <n v="5.2869999999999999"/>
  </r>
  <r>
    <x v="22"/>
    <d v="2010-12-11T00:00:00"/>
    <x v="1"/>
    <x v="0"/>
    <x v="1271"/>
    <x v="0"/>
    <n v="35.590000000000003"/>
    <n v="2.9609999999999999"/>
    <n v="132.97832260000001"/>
    <n v="5.2869999999999999"/>
  </r>
  <r>
    <x v="22"/>
    <d v="2010-03-12T00:00:00"/>
    <x v="8"/>
    <x v="0"/>
    <x v="1272"/>
    <x v="0"/>
    <n v="34.299999999999997"/>
    <n v="3.0649999999999999"/>
    <n v="132.75666670000001"/>
    <n v="5.2869999999999999"/>
  </r>
  <r>
    <x v="22"/>
    <d v="2010-10-12T00:00:00"/>
    <x v="9"/>
    <x v="0"/>
    <x v="1273"/>
    <x v="0"/>
    <n v="20.12"/>
    <n v="3.1320000000000001"/>
    <n v="132.6764"/>
    <n v="5.2869999999999999"/>
  </r>
  <r>
    <x v="22"/>
    <d v="2011-07-01T00:00:00"/>
    <x v="4"/>
    <x v="1"/>
    <x v="1274"/>
    <x v="0"/>
    <n v="27.81"/>
    <n v="3.1930000000000001"/>
    <n v="132.88232260000001"/>
    <n v="5.1139999999999999"/>
  </r>
  <r>
    <x v="22"/>
    <d v="2011-04-02T00:00:00"/>
    <x v="5"/>
    <x v="1"/>
    <x v="1275"/>
    <x v="0"/>
    <n v="14.5"/>
    <n v="3.24"/>
    <n v="133.18341939999999"/>
    <n v="5.1139999999999999"/>
  </r>
  <r>
    <x v="22"/>
    <d v="2011-11-02T00:00:00"/>
    <x v="6"/>
    <x v="1"/>
    <x v="1276"/>
    <x v="1"/>
    <n v="21.52"/>
    <n v="3.2549999999999999"/>
    <n v="133.26087100000001"/>
    <n v="5.1139999999999999"/>
  </r>
  <r>
    <x v="22"/>
    <d v="2011-04-03T00:00:00"/>
    <x v="5"/>
    <x v="1"/>
    <x v="1277"/>
    <x v="0"/>
    <n v="20.67"/>
    <n v="3.4369999999999998"/>
    <n v="133.61414289999999"/>
    <n v="5.1139999999999999"/>
  </r>
  <r>
    <x v="22"/>
    <d v="2011-11-03T00:00:00"/>
    <x v="6"/>
    <x v="1"/>
    <x v="1278"/>
    <x v="0"/>
    <n v="29.36"/>
    <n v="3.6"/>
    <n v="133.7361429"/>
    <n v="5.1139999999999999"/>
  </r>
  <r>
    <x v="22"/>
    <d v="2011-01-04T00:00:00"/>
    <x v="10"/>
    <x v="1"/>
    <x v="1279"/>
    <x v="0"/>
    <n v="29.44"/>
    <n v="3.6379999999999999"/>
    <n v="134.06825810000001"/>
    <n v="4.7809999999999997"/>
  </r>
  <r>
    <x v="22"/>
    <d v="2011-08-04T00:00:00"/>
    <x v="11"/>
    <x v="1"/>
    <x v="1280"/>
    <x v="0"/>
    <n v="36.74"/>
    <n v="3.72"/>
    <n v="134.17777419999999"/>
    <n v="4.7809999999999997"/>
  </r>
  <r>
    <x v="22"/>
    <d v="2011-06-05T00:00:00"/>
    <x v="7"/>
    <x v="1"/>
    <x v="1281"/>
    <x v="0"/>
    <n v="50.07"/>
    <n v="4.0780000000000003"/>
    <n v="134.51436670000001"/>
    <n v="4.7809999999999997"/>
  </r>
  <r>
    <x v="22"/>
    <d v="2011-03-06T00:00:00"/>
    <x v="8"/>
    <x v="1"/>
    <x v="1282"/>
    <x v="0"/>
    <n v="67.209999999999994"/>
    <n v="3.9729999999999999"/>
    <n v="134.85516129999999"/>
    <n v="4.7809999999999997"/>
  </r>
  <r>
    <x v="22"/>
    <d v="2011-10-06T00:00:00"/>
    <x v="9"/>
    <x v="1"/>
    <x v="1283"/>
    <x v="0"/>
    <n v="65.23"/>
    <n v="3.9239999999999999"/>
    <n v="134.94254839999999"/>
    <n v="4.7809999999999997"/>
  </r>
  <r>
    <x v="22"/>
    <d v="2011-01-07T00:00:00"/>
    <x v="10"/>
    <x v="1"/>
    <x v="1284"/>
    <x v="0"/>
    <n v="65.650000000000006"/>
    <n v="3.8149999999999999"/>
    <n v="135.4468"/>
    <n v="4.5839999999999996"/>
  </r>
  <r>
    <x v="22"/>
    <d v="2011-08-07T00:00:00"/>
    <x v="11"/>
    <x v="1"/>
    <x v="1285"/>
    <x v="0"/>
    <n v="69.92"/>
    <n v="3.7839999999999998"/>
    <n v="135.62833330000001"/>
    <n v="4.5839999999999996"/>
  </r>
  <r>
    <x v="22"/>
    <d v="2011-05-08T00:00:00"/>
    <x v="0"/>
    <x v="1"/>
    <x v="1286"/>
    <x v="0"/>
    <n v="69.53"/>
    <n v="3.903"/>
    <n v="136.05403229999999"/>
    <n v="4.5839999999999996"/>
  </r>
  <r>
    <x v="22"/>
    <d v="2011-12-08T00:00:00"/>
    <x v="1"/>
    <x v="1"/>
    <x v="1287"/>
    <x v="0"/>
    <n v="69.86"/>
    <n v="3.88"/>
    <n v="136.14412899999999"/>
    <n v="4.5839999999999996"/>
  </r>
  <r>
    <x v="22"/>
    <d v="2011-02-09T00:00:00"/>
    <x v="2"/>
    <x v="1"/>
    <x v="1288"/>
    <x v="0"/>
    <n v="65.33"/>
    <n v="3.7839999999999998"/>
    <n v="136.24409679999999"/>
    <n v="4.5839999999999996"/>
  </r>
  <r>
    <x v="22"/>
    <d v="2011-09-09T00:00:00"/>
    <x v="3"/>
    <x v="1"/>
    <x v="1289"/>
    <x v="1"/>
    <n v="66.040000000000006"/>
    <n v="3.8090000000000002"/>
    <n v="136.27458060000001"/>
    <n v="4.5839999999999996"/>
  </r>
  <r>
    <x v="22"/>
    <d v="2011-07-10T00:00:00"/>
    <x v="4"/>
    <x v="1"/>
    <x v="1290"/>
    <x v="0"/>
    <n v="49"/>
    <n v="3.633"/>
    <n v="136.47200000000001"/>
    <n v="4.42"/>
  </r>
  <r>
    <x v="22"/>
    <d v="2011-04-11T00:00:00"/>
    <x v="5"/>
    <x v="1"/>
    <x v="1291"/>
    <x v="0"/>
    <n v="39.18"/>
    <n v="3.5859999999999999"/>
    <n v="136.47512900000001"/>
    <n v="4.42"/>
  </r>
  <r>
    <x v="22"/>
    <d v="2011-11-11T00:00:00"/>
    <x v="6"/>
    <x v="1"/>
    <x v="1292"/>
    <x v="0"/>
    <n v="44.04"/>
    <n v="3.57"/>
    <n v="136.46180649999999"/>
    <n v="4.42"/>
  </r>
  <r>
    <x v="22"/>
    <d v="2011-02-12T00:00:00"/>
    <x v="2"/>
    <x v="1"/>
    <x v="1293"/>
    <x v="0"/>
    <n v="43.6"/>
    <n v="3.5009999999999999"/>
    <n v="136.49093329999999"/>
    <n v="4.42"/>
  </r>
  <r>
    <x v="22"/>
    <d v="2011-09-12T00:00:00"/>
    <x v="3"/>
    <x v="1"/>
    <x v="1294"/>
    <x v="0"/>
    <n v="36.4"/>
    <n v="3.47"/>
    <n v="136.50306670000001"/>
    <n v="4.42"/>
  </r>
  <r>
    <x v="22"/>
    <d v="2012-06-01T00:00:00"/>
    <x v="7"/>
    <x v="2"/>
    <x v="1295"/>
    <x v="0"/>
    <n v="24.29"/>
    <n v="3.4390000000000001"/>
    <n v="136.69812899999999"/>
    <n v="4.2610000000000001"/>
  </r>
  <r>
    <x v="22"/>
    <d v="2012-03-02T00:00:00"/>
    <x v="8"/>
    <x v="2"/>
    <x v="1296"/>
    <x v="0"/>
    <n v="29.71"/>
    <n v="3.633"/>
    <n v="137.06325810000001"/>
    <n v="4.2610000000000001"/>
  </r>
  <r>
    <x v="22"/>
    <d v="2012-10-02T00:00:00"/>
    <x v="9"/>
    <x v="2"/>
    <x v="1297"/>
    <x v="1"/>
    <n v="26.6"/>
    <n v="3.6549999999999998"/>
    <n v="137.1666774"/>
    <n v="4.2610000000000001"/>
  </r>
  <r>
    <x v="22"/>
    <d v="2012-02-03T00:00:00"/>
    <x v="2"/>
    <x v="2"/>
    <x v="1298"/>
    <x v="0"/>
    <n v="25.91"/>
    <n v="3.827"/>
    <n v="137.42389660000001"/>
    <n v="4.2610000000000001"/>
  </r>
  <r>
    <x v="22"/>
    <d v="2012-09-03T00:00:00"/>
    <x v="3"/>
    <x v="2"/>
    <x v="1299"/>
    <x v="0"/>
    <n v="33.11"/>
    <n v="3.8759999999999999"/>
    <n v="137.50668970000001"/>
    <n v="4.2610000000000001"/>
  </r>
  <r>
    <x v="22"/>
    <d v="2012-06-04T00:00:00"/>
    <x v="7"/>
    <x v="2"/>
    <x v="1300"/>
    <x v="0"/>
    <n v="37.43"/>
    <n v="3.9569999999999999"/>
    <n v="137.79709679999999"/>
    <n v="4.125"/>
  </r>
  <r>
    <x v="22"/>
    <d v="2012-04-05T00:00:00"/>
    <x v="5"/>
    <x v="2"/>
    <x v="1301"/>
    <x v="0"/>
    <n v="45.88"/>
    <n v="3.9910000000000001"/>
    <n v="138.03319999999999"/>
    <n v="4.125"/>
  </r>
  <r>
    <x v="22"/>
    <d v="2012-11-05T00:00:00"/>
    <x v="6"/>
    <x v="2"/>
    <x v="1302"/>
    <x v="0"/>
    <n v="52.9"/>
    <n v="3.9470000000000001"/>
    <n v="138.08826669999999"/>
    <n v="4.125"/>
  </r>
  <r>
    <x v="22"/>
    <d v="2012-01-06T00:00:00"/>
    <x v="10"/>
    <x v="2"/>
    <x v="1303"/>
    <x v="0"/>
    <n v="66.22"/>
    <n v="3.798"/>
    <n v="138.11380650000001"/>
    <n v="4.125"/>
  </r>
  <r>
    <x v="22"/>
    <d v="2012-08-06T00:00:00"/>
    <x v="11"/>
    <x v="2"/>
    <x v="1304"/>
    <x v="0"/>
    <n v="56.82"/>
    <n v="3.746"/>
    <n v="138.11741939999999"/>
    <n v="4.125"/>
  </r>
  <r>
    <x v="22"/>
    <d v="2012-06-07T00:00:00"/>
    <x v="7"/>
    <x v="2"/>
    <x v="1305"/>
    <x v="0"/>
    <n v="70.86"/>
    <n v="3.5379999999999998"/>
    <n v="138.22963329999999"/>
    <n v="4.1559999999999997"/>
  </r>
  <r>
    <x v="22"/>
    <d v="2012-03-08T00:00:00"/>
    <x v="8"/>
    <x v="2"/>
    <x v="1306"/>
    <x v="0"/>
    <n v="71.510000000000005"/>
    <n v="3.698"/>
    <n v="138.17358060000001"/>
    <n v="4.1559999999999997"/>
  </r>
  <r>
    <x v="22"/>
    <d v="2012-10-08T00:00:00"/>
    <x v="9"/>
    <x v="2"/>
    <x v="1307"/>
    <x v="0"/>
    <n v="71.12"/>
    <n v="3.7719999999999998"/>
    <n v="138.1437742"/>
    <n v="4.1559999999999997"/>
  </r>
  <r>
    <x v="22"/>
    <d v="2012-07-09T00:00:00"/>
    <x v="4"/>
    <x v="2"/>
    <x v="1308"/>
    <x v="1"/>
    <n v="66.739999999999995"/>
    <n v="3.9209999999999998"/>
    <n v="138.47293550000001"/>
    <n v="4.1559999999999997"/>
  </r>
  <r>
    <x v="22"/>
    <d v="2012-05-10T00:00:00"/>
    <x v="0"/>
    <x v="2"/>
    <x v="1309"/>
    <x v="0"/>
    <n v="56.65"/>
    <n v="4.0270000000000001"/>
    <n v="138.82560000000001"/>
    <n v="4.1449999999999996"/>
  </r>
  <r>
    <x v="22"/>
    <d v="2012-12-10T00:00:00"/>
    <x v="1"/>
    <x v="2"/>
    <x v="1310"/>
    <x v="0"/>
    <n v="48.1"/>
    <n v="4.0289999999999999"/>
    <n v="138.9117"/>
    <n v="4.1449999999999996"/>
  </r>
  <r>
    <x v="23"/>
    <d v="2010-05-02T00:00:00"/>
    <x v="0"/>
    <x v="0"/>
    <x v="1311"/>
    <x v="0"/>
    <n v="22.43"/>
    <n v="2.9540000000000002"/>
    <n v="131.5279032"/>
    <n v="8.3260000000000005"/>
  </r>
  <r>
    <x v="23"/>
    <d v="2010-12-02T00:00:00"/>
    <x v="1"/>
    <x v="0"/>
    <x v="1312"/>
    <x v="1"/>
    <n v="25.94"/>
    <n v="2.94"/>
    <n v="131.58661290000001"/>
    <n v="8.3260000000000005"/>
  </r>
  <r>
    <x v="23"/>
    <d v="2010-05-03T00:00:00"/>
    <x v="0"/>
    <x v="0"/>
    <x v="1313"/>
    <x v="0"/>
    <n v="36.729999999999997"/>
    <n v="2.919"/>
    <n v="131.73500000000001"/>
    <n v="8.3260000000000005"/>
  </r>
  <r>
    <x v="23"/>
    <d v="2010-12-03T00:00:00"/>
    <x v="1"/>
    <x v="0"/>
    <x v="1314"/>
    <x v="0"/>
    <n v="42.31"/>
    <n v="2.9380000000000002"/>
    <n v="131.78399999999999"/>
    <n v="8.3260000000000005"/>
  </r>
  <r>
    <x v="23"/>
    <d v="2010-02-04T00:00:00"/>
    <x v="2"/>
    <x v="0"/>
    <x v="1315"/>
    <x v="0"/>
    <n v="45.22"/>
    <n v="2.9569999999999999"/>
    <n v="131.9019677"/>
    <n v="8.2110000000000003"/>
  </r>
  <r>
    <x v="23"/>
    <d v="2010-09-04T00:00:00"/>
    <x v="3"/>
    <x v="0"/>
    <x v="1316"/>
    <x v="0"/>
    <n v="62.06"/>
    <n v="2.992"/>
    <n v="131.94080650000001"/>
    <n v="8.2110000000000003"/>
  </r>
  <r>
    <x v="23"/>
    <d v="2010-07-05T00:00:00"/>
    <x v="4"/>
    <x v="0"/>
    <x v="1317"/>
    <x v="0"/>
    <n v="66.650000000000006"/>
    <n v="3.0950000000000002"/>
    <n v="132.1062"/>
    <n v="8.2110000000000003"/>
  </r>
  <r>
    <x v="23"/>
    <d v="2010-04-06T00:00:00"/>
    <x v="5"/>
    <x v="0"/>
    <x v="1318"/>
    <x v="0"/>
    <n v="71.989999999999995"/>
    <n v="3.0059999999999998"/>
    <n v="132.36483870000001"/>
    <n v="8.2110000000000003"/>
  </r>
  <r>
    <x v="23"/>
    <d v="2010-11-06T00:00:00"/>
    <x v="6"/>
    <x v="0"/>
    <x v="1319"/>
    <x v="0"/>
    <n v="64.84"/>
    <n v="2.972"/>
    <n v="132.43574190000001"/>
    <n v="8.2110000000000003"/>
  </r>
  <r>
    <x v="23"/>
    <d v="2010-02-07T00:00:00"/>
    <x v="2"/>
    <x v="0"/>
    <x v="1320"/>
    <x v="0"/>
    <n v="71.12"/>
    <n v="2.9580000000000002"/>
    <n v="132.5218667"/>
    <n v="8.1170000000000009"/>
  </r>
  <r>
    <x v="23"/>
    <d v="2010-09-07T00:00:00"/>
    <x v="3"/>
    <x v="0"/>
    <x v="1321"/>
    <x v="0"/>
    <n v="79.05"/>
    <n v="2.94"/>
    <n v="132.54613330000001"/>
    <n v="8.1170000000000009"/>
  </r>
  <r>
    <x v="23"/>
    <d v="2010-06-08T00:00:00"/>
    <x v="7"/>
    <x v="0"/>
    <x v="1322"/>
    <x v="0"/>
    <n v="74.540000000000006"/>
    <n v="2.9420000000000002"/>
    <n v="132.6141935"/>
    <n v="8.1170000000000009"/>
  </r>
  <r>
    <x v="23"/>
    <d v="2010-03-09T00:00:00"/>
    <x v="8"/>
    <x v="0"/>
    <x v="1323"/>
    <x v="0"/>
    <n v="73.52"/>
    <n v="2.86"/>
    <n v="132.72483869999999"/>
    <n v="8.1170000000000009"/>
  </r>
  <r>
    <x v="23"/>
    <d v="2010-10-09T00:00:00"/>
    <x v="9"/>
    <x v="0"/>
    <x v="1324"/>
    <x v="1"/>
    <n v="67.11"/>
    <n v="2.8370000000000002"/>
    <n v="132.75645159999999"/>
    <n v="8.1170000000000009"/>
  </r>
  <r>
    <x v="23"/>
    <d v="2010-01-10T00:00:00"/>
    <x v="10"/>
    <x v="0"/>
    <x v="1325"/>
    <x v="0"/>
    <n v="66.88"/>
    <n v="2.84"/>
    <n v="132.7568"/>
    <n v="8.2750000000000004"/>
  </r>
  <r>
    <x v="23"/>
    <d v="2010-08-10T00:00:00"/>
    <x v="11"/>
    <x v="0"/>
    <x v="1326"/>
    <x v="0"/>
    <n v="54.82"/>
    <n v="2.903"/>
    <n v="132.75166669999999"/>
    <n v="8.2750000000000004"/>
  </r>
  <r>
    <x v="23"/>
    <d v="2010-05-11T00:00:00"/>
    <x v="0"/>
    <x v="0"/>
    <x v="1327"/>
    <x v="0"/>
    <n v="42.2"/>
    <n v="3.0489999999999999"/>
    <n v="132.92458060000001"/>
    <n v="8.2750000000000004"/>
  </r>
  <r>
    <x v="23"/>
    <d v="2010-12-11T00:00:00"/>
    <x v="1"/>
    <x v="0"/>
    <x v="1328"/>
    <x v="0"/>
    <n v="41.76"/>
    <n v="3.0649999999999999"/>
    <n v="132.97832260000001"/>
    <n v="8.2750000000000004"/>
  </r>
  <r>
    <x v="23"/>
    <d v="2010-03-12T00:00:00"/>
    <x v="8"/>
    <x v="0"/>
    <x v="1329"/>
    <x v="0"/>
    <n v="37.08"/>
    <n v="3.2"/>
    <n v="132.75666670000001"/>
    <n v="8.2750000000000004"/>
  </r>
  <r>
    <x v="23"/>
    <d v="2010-10-12T00:00:00"/>
    <x v="9"/>
    <x v="0"/>
    <x v="1330"/>
    <x v="0"/>
    <n v="27.11"/>
    <n v="3.2549999999999999"/>
    <n v="132.6764"/>
    <n v="8.2750000000000004"/>
  </r>
  <r>
    <x v="23"/>
    <d v="2011-07-01T00:00:00"/>
    <x v="4"/>
    <x v="1"/>
    <x v="1331"/>
    <x v="0"/>
    <n v="30.72"/>
    <n v="3.351"/>
    <n v="132.88232260000001"/>
    <n v="8.2520000000000007"/>
  </r>
  <r>
    <x v="23"/>
    <d v="2011-04-02T00:00:00"/>
    <x v="5"/>
    <x v="1"/>
    <x v="1332"/>
    <x v="0"/>
    <n v="23.83"/>
    <n v="3.4"/>
    <n v="133.18341939999999"/>
    <n v="8.2520000000000007"/>
  </r>
  <r>
    <x v="23"/>
    <d v="2011-11-02T00:00:00"/>
    <x v="6"/>
    <x v="1"/>
    <x v="1333"/>
    <x v="1"/>
    <n v="26.51"/>
    <n v="3.4159999999999999"/>
    <n v="133.26087100000001"/>
    <n v="8.2520000000000007"/>
  </r>
  <r>
    <x v="23"/>
    <d v="2011-04-03T00:00:00"/>
    <x v="5"/>
    <x v="1"/>
    <x v="1334"/>
    <x v="0"/>
    <n v="31.36"/>
    <n v="3.605"/>
    <n v="133.61414289999999"/>
    <n v="8.2520000000000007"/>
  </r>
  <r>
    <x v="23"/>
    <d v="2011-11-03T00:00:00"/>
    <x v="6"/>
    <x v="1"/>
    <x v="1335"/>
    <x v="0"/>
    <n v="39.51"/>
    <n v="3.7519999999999998"/>
    <n v="133.7361429"/>
    <n v="8.2520000000000007"/>
  </r>
  <r>
    <x v="23"/>
    <d v="2011-01-04T00:00:00"/>
    <x v="10"/>
    <x v="1"/>
    <x v="1336"/>
    <x v="0"/>
    <n v="35.729999999999997"/>
    <n v="3.8109999999999999"/>
    <n v="134.06825810000001"/>
    <n v="8.2119999999999997"/>
  </r>
  <r>
    <x v="23"/>
    <d v="2011-08-04T00:00:00"/>
    <x v="11"/>
    <x v="1"/>
    <x v="1337"/>
    <x v="0"/>
    <n v="44.7"/>
    <n v="3.895"/>
    <n v="134.17777419999999"/>
    <n v="8.2119999999999997"/>
  </r>
  <r>
    <x v="23"/>
    <d v="2011-06-05T00:00:00"/>
    <x v="7"/>
    <x v="1"/>
    <x v="1338"/>
    <x v="0"/>
    <n v="55.75"/>
    <n v="4.1920000000000002"/>
    <n v="134.51436670000001"/>
    <n v="8.2119999999999997"/>
  </r>
  <r>
    <x v="23"/>
    <d v="2011-03-06T00:00:00"/>
    <x v="8"/>
    <x v="1"/>
    <x v="1339"/>
    <x v="0"/>
    <n v="73.12"/>
    <n v="4.069"/>
    <n v="134.85516129999999"/>
    <n v="8.2119999999999997"/>
  </r>
  <r>
    <x v="23"/>
    <d v="2011-10-06T00:00:00"/>
    <x v="9"/>
    <x v="1"/>
    <x v="1340"/>
    <x v="0"/>
    <n v="70.02"/>
    <n v="4.0250000000000004"/>
    <n v="134.94254839999999"/>
    <n v="8.2119999999999997"/>
  </r>
  <r>
    <x v="23"/>
    <d v="2011-01-07T00:00:00"/>
    <x v="10"/>
    <x v="1"/>
    <x v="1341"/>
    <x v="0"/>
    <n v="70.27"/>
    <n v="3.9159999999999999"/>
    <n v="135.4468"/>
    <n v="8.3580000000000005"/>
  </r>
  <r>
    <x v="23"/>
    <d v="2011-08-07T00:00:00"/>
    <x v="11"/>
    <x v="1"/>
    <x v="1342"/>
    <x v="0"/>
    <n v="72.56"/>
    <n v="3.8860000000000001"/>
    <n v="135.62833330000001"/>
    <n v="8.3580000000000005"/>
  </r>
  <r>
    <x v="23"/>
    <d v="2011-05-08T00:00:00"/>
    <x v="0"/>
    <x v="1"/>
    <x v="1343"/>
    <x v="0"/>
    <n v="74.64"/>
    <n v="4.0199999999999996"/>
    <n v="136.05403229999999"/>
    <n v="8.3580000000000005"/>
  </r>
  <r>
    <x v="23"/>
    <d v="2011-12-08T00:00:00"/>
    <x v="1"/>
    <x v="1"/>
    <x v="1344"/>
    <x v="0"/>
    <n v="72.52"/>
    <n v="3.9950000000000001"/>
    <n v="136.14412899999999"/>
    <n v="8.3580000000000005"/>
  </r>
  <r>
    <x v="23"/>
    <d v="2011-02-09T00:00:00"/>
    <x v="2"/>
    <x v="1"/>
    <x v="1345"/>
    <x v="0"/>
    <n v="68.14"/>
    <n v="3.879"/>
    <n v="136.24409679999999"/>
    <n v="8.3580000000000005"/>
  </r>
  <r>
    <x v="23"/>
    <d v="2011-09-09T00:00:00"/>
    <x v="3"/>
    <x v="1"/>
    <x v="1346"/>
    <x v="1"/>
    <n v="68.319999999999993"/>
    <n v="3.93"/>
    <n v="136.27458060000001"/>
    <n v="8.3580000000000005"/>
  </r>
  <r>
    <x v="23"/>
    <d v="2011-07-10T00:00:00"/>
    <x v="4"/>
    <x v="1"/>
    <x v="1347"/>
    <x v="0"/>
    <n v="53.87"/>
    <n v="3.7749999999999999"/>
    <n v="136.47200000000001"/>
    <n v="8.4540000000000006"/>
  </r>
  <r>
    <x v="23"/>
    <d v="2011-04-11T00:00:00"/>
    <x v="5"/>
    <x v="1"/>
    <x v="1348"/>
    <x v="0"/>
    <n v="39.869999999999997"/>
    <n v="3.738"/>
    <n v="136.47512900000001"/>
    <n v="8.4540000000000006"/>
  </r>
  <r>
    <x v="23"/>
    <d v="2011-11-11T00:00:00"/>
    <x v="6"/>
    <x v="1"/>
    <x v="1349"/>
    <x v="0"/>
    <n v="46.78"/>
    <n v="3.7189999999999999"/>
    <n v="136.46180649999999"/>
    <n v="8.4540000000000006"/>
  </r>
  <r>
    <x v="23"/>
    <d v="2011-02-12T00:00:00"/>
    <x v="2"/>
    <x v="1"/>
    <x v="1350"/>
    <x v="0"/>
    <n v="47.21"/>
    <n v="3.6659999999999999"/>
    <n v="136.49093329999999"/>
    <n v="8.4540000000000006"/>
  </r>
  <r>
    <x v="23"/>
    <d v="2011-09-12T00:00:00"/>
    <x v="3"/>
    <x v="1"/>
    <x v="1351"/>
    <x v="0"/>
    <n v="42.3"/>
    <n v="3.6269999999999998"/>
    <n v="136.50306670000001"/>
    <n v="8.4540000000000006"/>
  </r>
  <r>
    <x v="23"/>
    <d v="2012-06-01T00:00:00"/>
    <x v="7"/>
    <x v="2"/>
    <x v="1352"/>
    <x v="0"/>
    <n v="32.86"/>
    <n v="3.585"/>
    <n v="136.69812899999999"/>
    <n v="8.6590000000000007"/>
  </r>
  <r>
    <x v="23"/>
    <d v="2012-03-02T00:00:00"/>
    <x v="8"/>
    <x v="2"/>
    <x v="1353"/>
    <x v="0"/>
    <n v="38.61"/>
    <n v="3.7959999999999998"/>
    <n v="137.06325810000001"/>
    <n v="8.6590000000000007"/>
  </r>
  <r>
    <x v="23"/>
    <d v="2012-10-02T00:00:00"/>
    <x v="9"/>
    <x v="2"/>
    <x v="1354"/>
    <x v="1"/>
    <n v="33.82"/>
    <n v="3.8260000000000001"/>
    <n v="137.1666774"/>
    <n v="8.6590000000000007"/>
  </r>
  <r>
    <x v="23"/>
    <d v="2012-02-03T00:00:00"/>
    <x v="2"/>
    <x v="2"/>
    <x v="1355"/>
    <x v="0"/>
    <n v="35.36"/>
    <n v="3.9830000000000001"/>
    <n v="137.42389660000001"/>
    <n v="8.6590000000000007"/>
  </r>
  <r>
    <x v="23"/>
    <d v="2012-09-03T00:00:00"/>
    <x v="3"/>
    <x v="2"/>
    <x v="1356"/>
    <x v="0"/>
    <n v="41.5"/>
    <n v="4.0209999999999999"/>
    <n v="137.50668970000001"/>
    <n v="8.6590000000000007"/>
  </r>
  <r>
    <x v="23"/>
    <d v="2012-06-04T00:00:00"/>
    <x v="7"/>
    <x v="2"/>
    <x v="1357"/>
    <x v="0"/>
    <n v="45.25"/>
    <n v="4.1429999999999998"/>
    <n v="137.79709679999999"/>
    <n v="8.9830000000000005"/>
  </r>
  <r>
    <x v="23"/>
    <d v="2012-04-05T00:00:00"/>
    <x v="5"/>
    <x v="2"/>
    <x v="1358"/>
    <x v="0"/>
    <n v="52.14"/>
    <n v="4.1239999999999997"/>
    <n v="138.03319999999999"/>
    <n v="8.9830000000000005"/>
  </r>
  <r>
    <x v="23"/>
    <d v="2012-11-05T00:00:00"/>
    <x v="6"/>
    <x v="2"/>
    <x v="1359"/>
    <x v="0"/>
    <n v="58.7"/>
    <n v="4.0549999999999997"/>
    <n v="138.08826669999999"/>
    <n v="8.9830000000000005"/>
  </r>
  <r>
    <x v="23"/>
    <d v="2012-01-06T00:00:00"/>
    <x v="10"/>
    <x v="2"/>
    <x v="1360"/>
    <x v="0"/>
    <n v="71.790000000000006"/>
    <n v="3.915"/>
    <n v="138.11380650000001"/>
    <n v="8.9830000000000005"/>
  </r>
  <r>
    <x v="23"/>
    <d v="2012-08-06T00:00:00"/>
    <x v="11"/>
    <x v="2"/>
    <x v="1361"/>
    <x v="0"/>
    <n v="59.93"/>
    <n v="3.871"/>
    <n v="138.11741939999999"/>
    <n v="8.9830000000000005"/>
  </r>
  <r>
    <x v="23"/>
    <d v="2012-06-07T00:00:00"/>
    <x v="7"/>
    <x v="2"/>
    <x v="1362"/>
    <x v="0"/>
    <n v="77.180000000000007"/>
    <n v="3.6459999999999999"/>
    <n v="138.22963329999999"/>
    <n v="8.9529999999999994"/>
  </r>
  <r>
    <x v="23"/>
    <d v="2012-03-08T00:00:00"/>
    <x v="8"/>
    <x v="2"/>
    <x v="1363"/>
    <x v="0"/>
    <n v="73.260000000000005"/>
    <n v="3.819"/>
    <n v="138.17358060000001"/>
    <n v="8.9529999999999994"/>
  </r>
  <r>
    <x v="23"/>
    <d v="2012-10-08T00:00:00"/>
    <x v="9"/>
    <x v="2"/>
    <x v="1364"/>
    <x v="0"/>
    <n v="75.53"/>
    <n v="3.863"/>
    <n v="138.1437742"/>
    <n v="8.9529999999999994"/>
  </r>
  <r>
    <x v="23"/>
    <d v="2012-07-09T00:00:00"/>
    <x v="4"/>
    <x v="2"/>
    <x v="1365"/>
    <x v="1"/>
    <n v="72.81"/>
    <n v="4.0759999999999996"/>
    <n v="138.47293550000001"/>
    <n v="8.9529999999999994"/>
  </r>
  <r>
    <x v="23"/>
    <d v="2012-05-10T00:00:00"/>
    <x v="0"/>
    <x v="2"/>
    <x v="1366"/>
    <x v="0"/>
    <n v="60.35"/>
    <n v="4.1509999999999998"/>
    <n v="138.82560000000001"/>
    <n v="8.6929999999999996"/>
  </r>
  <r>
    <x v="23"/>
    <d v="2012-12-10T00:00:00"/>
    <x v="1"/>
    <x v="2"/>
    <x v="1367"/>
    <x v="0"/>
    <n v="51.64"/>
    <n v="4.1859999999999999"/>
    <n v="138.9117"/>
    <n v="8.6929999999999996"/>
  </r>
  <r>
    <x v="24"/>
    <d v="2010-05-02T00:00:00"/>
    <x v="0"/>
    <x v="0"/>
    <x v="1368"/>
    <x v="0"/>
    <n v="21.1"/>
    <n v="2.7839999999999998"/>
    <n v="204.24719350000001"/>
    <n v="8.1869999999999994"/>
  </r>
  <r>
    <x v="24"/>
    <d v="2010-12-02T00:00:00"/>
    <x v="1"/>
    <x v="0"/>
    <x v="1369"/>
    <x v="1"/>
    <n v="19.64"/>
    <n v="2.7730000000000001"/>
    <n v="204.3857472"/>
    <n v="8.1869999999999994"/>
  </r>
  <r>
    <x v="24"/>
    <d v="2010-05-03T00:00:00"/>
    <x v="0"/>
    <x v="0"/>
    <x v="1370"/>
    <x v="0"/>
    <n v="29.45"/>
    <n v="2.7770000000000001"/>
    <n v="204.49407339999999"/>
    <n v="8.1869999999999994"/>
  </r>
  <r>
    <x v="24"/>
    <d v="2010-12-03T00:00:00"/>
    <x v="1"/>
    <x v="0"/>
    <x v="1371"/>
    <x v="0"/>
    <n v="40.049999999999997"/>
    <n v="2.8180000000000001"/>
    <n v="204.52505980000001"/>
    <n v="8.1869999999999994"/>
  </r>
  <r>
    <x v="24"/>
    <d v="2010-02-04T00:00:00"/>
    <x v="2"/>
    <x v="0"/>
    <x v="1372"/>
    <x v="0"/>
    <n v="47.2"/>
    <n v="2.85"/>
    <n v="204.02528419999999"/>
    <n v="7.8559999999999999"/>
  </r>
  <r>
    <x v="24"/>
    <d v="2010-09-04T00:00:00"/>
    <x v="3"/>
    <x v="0"/>
    <x v="1373"/>
    <x v="0"/>
    <n v="61.36"/>
    <n v="2.8690000000000002"/>
    <n v="203.84881340000001"/>
    <n v="7.8559999999999999"/>
  </r>
  <r>
    <x v="24"/>
    <d v="2010-07-05T00:00:00"/>
    <x v="4"/>
    <x v="0"/>
    <x v="1374"/>
    <x v="0"/>
    <n v="63.67"/>
    <n v="2.9660000000000002"/>
    <n v="203.6101784"/>
    <n v="7.8559999999999999"/>
  </r>
  <r>
    <x v="24"/>
    <d v="2010-04-06T00:00:00"/>
    <x v="5"/>
    <x v="0"/>
    <x v="1375"/>
    <x v="0"/>
    <n v="69.22"/>
    <n v="2.847"/>
    <n v="204.4042877"/>
    <n v="7.8559999999999999"/>
  </r>
  <r>
    <x v="24"/>
    <d v="2010-11-06T00:00:00"/>
    <x v="6"/>
    <x v="0"/>
    <x v="1376"/>
    <x v="0"/>
    <n v="63.68"/>
    <n v="2.8090000000000002"/>
    <n v="204.66791979999999"/>
    <n v="7.8559999999999999"/>
  </r>
  <r>
    <x v="24"/>
    <d v="2010-02-07T00:00:00"/>
    <x v="2"/>
    <x v="0"/>
    <x v="1377"/>
    <x v="0"/>
    <n v="66.42"/>
    <n v="2.8149999999999999"/>
    <n v="204.46505590000001"/>
    <n v="7.5270000000000001"/>
  </r>
  <r>
    <x v="24"/>
    <d v="2010-09-07T00:00:00"/>
    <x v="3"/>
    <x v="0"/>
    <x v="1378"/>
    <x v="0"/>
    <n v="75.239999999999995"/>
    <n v="2.7930000000000001"/>
    <n v="204.3625658"/>
    <n v="7.5270000000000001"/>
  </r>
  <r>
    <x v="24"/>
    <d v="2010-06-08T00:00:00"/>
    <x v="7"/>
    <x v="0"/>
    <x v="1379"/>
    <x v="0"/>
    <n v="71.790000000000006"/>
    <n v="2.7839999999999998"/>
    <n v="204.72932520000001"/>
    <n v="7.5270000000000001"/>
  </r>
  <r>
    <x v="24"/>
    <d v="2010-03-09T00:00:00"/>
    <x v="8"/>
    <x v="0"/>
    <x v="1380"/>
    <x v="0"/>
    <n v="71.17"/>
    <n v="2.7149999999999999"/>
    <n v="204.75835660000001"/>
    <n v="7.5270000000000001"/>
  </r>
  <r>
    <x v="24"/>
    <d v="2010-10-09T00:00:00"/>
    <x v="9"/>
    <x v="0"/>
    <x v="1381"/>
    <x v="1"/>
    <n v="61.14"/>
    <n v="2.6989999999999998"/>
    <n v="204.7266827"/>
    <n v="7.5270000000000001"/>
  </r>
  <r>
    <x v="24"/>
    <d v="2010-01-10T00:00:00"/>
    <x v="10"/>
    <x v="0"/>
    <x v="1382"/>
    <x v="0"/>
    <n v="57.56"/>
    <n v="2.7069999999999999"/>
    <n v="204.88509730000001"/>
    <n v="7.484"/>
  </r>
  <r>
    <x v="24"/>
    <d v="2010-08-10T00:00:00"/>
    <x v="11"/>
    <x v="0"/>
    <x v="1383"/>
    <x v="0"/>
    <n v="48.46"/>
    <n v="2.7639999999999998"/>
    <n v="204.95198199999999"/>
    <n v="7.484"/>
  </r>
  <r>
    <x v="24"/>
    <d v="2010-05-11T00:00:00"/>
    <x v="0"/>
    <x v="0"/>
    <x v="1384"/>
    <x v="0"/>
    <n v="38.799999999999997"/>
    <n v="2.9169999999999998"/>
    <n v="205.16083699999999"/>
    <n v="7.484"/>
  </r>
  <r>
    <x v="24"/>
    <d v="2010-12-11T00:00:00"/>
    <x v="1"/>
    <x v="0"/>
    <x v="1385"/>
    <x v="0"/>
    <n v="40.68"/>
    <n v="2.931"/>
    <n v="205.20986139999999"/>
    <n v="7.484"/>
  </r>
  <r>
    <x v="24"/>
    <d v="2010-03-12T00:00:00"/>
    <x v="8"/>
    <x v="0"/>
    <x v="1386"/>
    <x v="0"/>
    <n v="32.409999999999997"/>
    <n v="3.0459999999999998"/>
    <n v="204.8249189"/>
    <n v="7.484"/>
  </r>
  <r>
    <x v="24"/>
    <d v="2010-10-12T00:00:00"/>
    <x v="9"/>
    <x v="0"/>
    <x v="1387"/>
    <x v="0"/>
    <n v="22.65"/>
    <n v="3.109"/>
    <n v="204.68773780000001"/>
    <n v="7.484"/>
  </r>
  <r>
    <x v="24"/>
    <d v="2011-07-01T00:00:00"/>
    <x v="4"/>
    <x v="1"/>
    <x v="1388"/>
    <x v="0"/>
    <n v="29"/>
    <n v="3.1930000000000001"/>
    <n v="204.6487803"/>
    <n v="7.343"/>
  </r>
  <r>
    <x v="24"/>
    <d v="2011-04-02T00:00:00"/>
    <x v="5"/>
    <x v="1"/>
    <x v="1389"/>
    <x v="0"/>
    <n v="23.94"/>
    <n v="3.2309999999999999"/>
    <n v="205.7329407"/>
    <n v="7.343"/>
  </r>
  <r>
    <x v="24"/>
    <d v="2011-11-02T00:00:00"/>
    <x v="6"/>
    <x v="1"/>
    <x v="1390"/>
    <x v="1"/>
    <n v="21.18"/>
    <n v="3.2389999999999999"/>
    <n v="206.0763862"/>
    <n v="7.343"/>
  </r>
  <r>
    <x v="24"/>
    <d v="2011-04-03T00:00:00"/>
    <x v="5"/>
    <x v="1"/>
    <x v="1391"/>
    <x v="0"/>
    <n v="31.59"/>
    <n v="3.4329999999999998"/>
    <n v="206.91534849999999"/>
    <n v="7.343"/>
  </r>
  <r>
    <x v="24"/>
    <d v="2011-11-03T00:00:00"/>
    <x v="6"/>
    <x v="1"/>
    <x v="1392"/>
    <x v="0"/>
    <n v="36.729999999999997"/>
    <n v="3.5819999999999999"/>
    <n v="207.1882876"/>
    <n v="7.343"/>
  </r>
  <r>
    <x v="24"/>
    <d v="2011-01-04T00:00:00"/>
    <x v="10"/>
    <x v="1"/>
    <x v="1393"/>
    <x v="0"/>
    <n v="28.5"/>
    <n v="3.6379999999999999"/>
    <n v="207.88230429999999"/>
    <n v="7.2869999999999999"/>
  </r>
  <r>
    <x v="24"/>
    <d v="2011-08-04T00:00:00"/>
    <x v="11"/>
    <x v="1"/>
    <x v="1394"/>
    <x v="0"/>
    <n v="42.11"/>
    <n v="3.72"/>
    <n v="208.10926420000001"/>
    <n v="7.2869999999999999"/>
  </r>
  <r>
    <x v="24"/>
    <d v="2011-06-05T00:00:00"/>
    <x v="7"/>
    <x v="1"/>
    <x v="1395"/>
    <x v="0"/>
    <n v="49.5"/>
    <n v="4.0460000000000003"/>
    <n v="208.79925950000001"/>
    <n v="7.2869999999999999"/>
  </r>
  <r>
    <x v="24"/>
    <d v="2011-03-06T00:00:00"/>
    <x v="8"/>
    <x v="1"/>
    <x v="1396"/>
    <x v="0"/>
    <n v="70.69"/>
    <n v="3.9220000000000002"/>
    <n v="208.35511159999999"/>
    <n v="7.2869999999999999"/>
  </r>
  <r>
    <x v="24"/>
    <d v="2011-10-06T00:00:00"/>
    <x v="9"/>
    <x v="1"/>
    <x v="1397"/>
    <x v="0"/>
    <n v="71.45"/>
    <n v="3.8809999999999998"/>
    <n v="208.1535092"/>
    <n v="7.2869999999999999"/>
  </r>
  <r>
    <x v="24"/>
    <d v="2011-01-07T00:00:00"/>
    <x v="10"/>
    <x v="1"/>
    <x v="1398"/>
    <x v="0"/>
    <n v="66.61"/>
    <n v="3.7480000000000002"/>
    <n v="208.33464319999999"/>
    <n v="7.274"/>
  </r>
  <r>
    <x v="24"/>
    <d v="2011-08-07T00:00:00"/>
    <x v="11"/>
    <x v="1"/>
    <x v="1399"/>
    <x v="0"/>
    <n v="71.64"/>
    <n v="3.7109999999999999"/>
    <n v="208.43868470000001"/>
    <n v="7.274"/>
  </r>
  <r>
    <x v="24"/>
    <d v="2011-05-08T00:00:00"/>
    <x v="0"/>
    <x v="1"/>
    <x v="1400"/>
    <x v="0"/>
    <n v="74"/>
    <n v="3.8420000000000001"/>
    <n v="208.71923799999999"/>
    <n v="7.274"/>
  </r>
  <r>
    <x v="24"/>
    <d v="2011-12-08T00:00:00"/>
    <x v="1"/>
    <x v="1"/>
    <x v="1401"/>
    <x v="0"/>
    <n v="70.930000000000007"/>
    <n v="3.8119999999999998"/>
    <n v="208.78200609999999"/>
    <n v="7.274"/>
  </r>
  <r>
    <x v="24"/>
    <d v="2011-02-09T00:00:00"/>
    <x v="2"/>
    <x v="1"/>
    <x v="1402"/>
    <x v="0"/>
    <n v="67.2"/>
    <n v="3.7029999999999998"/>
    <n v="208.96251609999999"/>
    <n v="7.274"/>
  </r>
  <r>
    <x v="24"/>
    <d v="2011-09-09T00:00:00"/>
    <x v="3"/>
    <x v="1"/>
    <x v="1403"/>
    <x v="1"/>
    <n v="67.510000000000005"/>
    <n v="3.738"/>
    <n v="209.0225562"/>
    <n v="7.274"/>
  </r>
  <r>
    <x v="24"/>
    <d v="2011-07-10T00:00:00"/>
    <x v="4"/>
    <x v="1"/>
    <x v="1404"/>
    <x v="0"/>
    <n v="50.82"/>
    <n v="3.5830000000000002"/>
    <n v="210.11705950000001"/>
    <n v="7.0819999999999999"/>
  </r>
  <r>
    <x v="24"/>
    <d v="2011-04-11T00:00:00"/>
    <x v="5"/>
    <x v="1"/>
    <x v="1405"/>
    <x v="0"/>
    <n v="40.880000000000003"/>
    <n v="3.5510000000000002"/>
    <n v="210.83645509999999"/>
    <n v="7.0819999999999999"/>
  </r>
  <r>
    <x v="24"/>
    <d v="2011-11-11T00:00:00"/>
    <x v="6"/>
    <x v="1"/>
    <x v="1406"/>
    <x v="0"/>
    <n v="44.81"/>
    <n v="3.53"/>
    <n v="210.98102009999999"/>
    <n v="7.0819999999999999"/>
  </r>
  <r>
    <x v="24"/>
    <d v="2011-02-12T00:00:00"/>
    <x v="2"/>
    <x v="1"/>
    <x v="1407"/>
    <x v="0"/>
    <n v="42.85"/>
    <n v="3.452"/>
    <n v="211.6394306"/>
    <n v="7.0819999999999999"/>
  </r>
  <r>
    <x v="24"/>
    <d v="2011-09-12T00:00:00"/>
    <x v="3"/>
    <x v="1"/>
    <x v="1408"/>
    <x v="0"/>
    <n v="38.69"/>
    <n v="3.415"/>
    <n v="211.86678559999999"/>
    <n v="7.0819999999999999"/>
  </r>
  <r>
    <x v="24"/>
    <d v="2012-06-01T00:00:00"/>
    <x v="7"/>
    <x v="2"/>
    <x v="1409"/>
    <x v="0"/>
    <n v="30.23"/>
    <n v="3.4220000000000002"/>
    <n v="212.5711125"/>
    <n v="6.9610000000000003"/>
  </r>
  <r>
    <x v="24"/>
    <d v="2012-03-02T00:00:00"/>
    <x v="8"/>
    <x v="2"/>
    <x v="1410"/>
    <x v="0"/>
    <n v="34.979999999999997"/>
    <n v="3.617"/>
    <n v="213.02362249999999"/>
    <n v="6.9610000000000003"/>
  </r>
  <r>
    <x v="24"/>
    <d v="2012-10-02T00:00:00"/>
    <x v="9"/>
    <x v="2"/>
    <x v="1411"/>
    <x v="1"/>
    <n v="32.47"/>
    <n v="3.64"/>
    <n v="213.11861379999999"/>
    <n v="6.9610000000000003"/>
  </r>
  <r>
    <x v="24"/>
    <d v="2012-02-03T00:00:00"/>
    <x v="2"/>
    <x v="2"/>
    <x v="1412"/>
    <x v="0"/>
    <n v="36.01"/>
    <n v="3.8159999999999998"/>
    <n v="213.6718127"/>
    <n v="6.9610000000000003"/>
  </r>
  <r>
    <x v="24"/>
    <d v="2012-09-03T00:00:00"/>
    <x v="3"/>
    <x v="2"/>
    <x v="1413"/>
    <x v="0"/>
    <n v="37.44"/>
    <n v="3.8479999999999999"/>
    <n v="213.8711137"/>
    <n v="6.9610000000000003"/>
  </r>
  <r>
    <x v="24"/>
    <d v="2012-06-04T00:00:00"/>
    <x v="7"/>
    <x v="2"/>
    <x v="1414"/>
    <x v="0"/>
    <n v="44.73"/>
    <n v="3.996"/>
    <n v="214.23870529999999"/>
    <n v="7.1390000000000002"/>
  </r>
  <r>
    <x v="24"/>
    <d v="2012-04-05T00:00:00"/>
    <x v="5"/>
    <x v="2"/>
    <x v="1415"/>
    <x v="0"/>
    <n v="58.76"/>
    <n v="3.9510000000000001"/>
    <n v="214.47710810000001"/>
    <n v="7.1390000000000002"/>
  </r>
  <r>
    <x v="24"/>
    <d v="2012-11-05T00:00:00"/>
    <x v="6"/>
    <x v="2"/>
    <x v="1416"/>
    <x v="0"/>
    <n v="59.21"/>
    <n v="3.8889999999999998"/>
    <n v="214.53190989999999"/>
    <n v="7.1390000000000002"/>
  </r>
  <r>
    <x v="24"/>
    <d v="2012-01-06T00:00:00"/>
    <x v="10"/>
    <x v="2"/>
    <x v="1417"/>
    <x v="0"/>
    <n v="69.540000000000006"/>
    <n v="3.742"/>
    <n v="214.5513278"/>
    <n v="7.1390000000000002"/>
  </r>
  <r>
    <x v="24"/>
    <d v="2012-08-06T00:00:00"/>
    <x v="11"/>
    <x v="2"/>
    <x v="1418"/>
    <x v="0"/>
    <n v="58.48"/>
    <n v="3.6890000000000001"/>
    <n v="214.5527132"/>
    <n v="7.1390000000000002"/>
  </r>
  <r>
    <x v="24"/>
    <d v="2012-06-07T00:00:00"/>
    <x v="7"/>
    <x v="2"/>
    <x v="1419"/>
    <x v="0"/>
    <n v="75.52"/>
    <n v="3.4750000000000001"/>
    <n v="214.68735140000001"/>
    <n v="7.28"/>
  </r>
  <r>
    <x v="24"/>
    <d v="2012-03-08T00:00:00"/>
    <x v="8"/>
    <x v="2"/>
    <x v="1420"/>
    <x v="0"/>
    <n v="72.08"/>
    <n v="3.6539999999999999"/>
    <n v="214.74335139999999"/>
    <n v="7.28"/>
  </r>
  <r>
    <x v="24"/>
    <d v="2012-10-08T00:00:00"/>
    <x v="9"/>
    <x v="2"/>
    <x v="1421"/>
    <x v="0"/>
    <n v="71.930000000000007"/>
    <n v="3.722"/>
    <n v="214.7484595"/>
    <n v="7.28"/>
  </r>
  <r>
    <x v="24"/>
    <d v="2012-07-09T00:00:00"/>
    <x v="4"/>
    <x v="2"/>
    <x v="1422"/>
    <x v="1"/>
    <n v="72.790000000000006"/>
    <n v="3.911"/>
    <n v="215.2189573"/>
    <n v="7.28"/>
  </r>
  <r>
    <x v="24"/>
    <d v="2012-05-10T00:00:00"/>
    <x v="0"/>
    <x v="2"/>
    <x v="1423"/>
    <x v="0"/>
    <n v="57.58"/>
    <n v="3.9849999999999999"/>
    <n v="215.92588649999999"/>
    <n v="7.2930000000000001"/>
  </r>
  <r>
    <x v="24"/>
    <d v="2012-12-10T00:00:00"/>
    <x v="1"/>
    <x v="2"/>
    <x v="1424"/>
    <x v="0"/>
    <n v="43.74"/>
    <n v="4"/>
    <n v="216.11505679999999"/>
    <n v="7.2930000000000001"/>
  </r>
  <r>
    <x v="25"/>
    <d v="2010-05-02T00:00:00"/>
    <x v="0"/>
    <x v="0"/>
    <x v="1425"/>
    <x v="0"/>
    <n v="9.5500000000000007"/>
    <n v="2.7879999999999998"/>
    <n v="131.5279032"/>
    <n v="8.4879999999999995"/>
  </r>
  <r>
    <x v="25"/>
    <d v="2010-12-02T00:00:00"/>
    <x v="1"/>
    <x v="0"/>
    <x v="1426"/>
    <x v="1"/>
    <n v="18.14"/>
    <n v="2.7709999999999999"/>
    <n v="131.58661290000001"/>
    <n v="8.4879999999999995"/>
  </r>
  <r>
    <x v="25"/>
    <d v="2010-05-03T00:00:00"/>
    <x v="0"/>
    <x v="0"/>
    <x v="1427"/>
    <x v="0"/>
    <n v="28.6"/>
    <n v="2.766"/>
    <n v="131.73500000000001"/>
    <n v="8.4879999999999995"/>
  </r>
  <r>
    <x v="25"/>
    <d v="2010-12-03T00:00:00"/>
    <x v="1"/>
    <x v="0"/>
    <x v="1428"/>
    <x v="0"/>
    <n v="31.1"/>
    <n v="2.8050000000000002"/>
    <n v="131.78399999999999"/>
    <n v="8.4879999999999995"/>
  </r>
  <r>
    <x v="25"/>
    <d v="2010-02-04T00:00:00"/>
    <x v="2"/>
    <x v="0"/>
    <x v="1429"/>
    <x v="0"/>
    <n v="36.53"/>
    <n v="2.8260000000000001"/>
    <n v="131.9019677"/>
    <n v="8.5120000000000005"/>
  </r>
  <r>
    <x v="25"/>
    <d v="2010-09-04T00:00:00"/>
    <x v="3"/>
    <x v="0"/>
    <x v="1430"/>
    <x v="0"/>
    <n v="50.13"/>
    <n v="2.8490000000000002"/>
    <n v="131.94080650000001"/>
    <n v="8.5120000000000005"/>
  </r>
  <r>
    <x v="25"/>
    <d v="2010-07-05T00:00:00"/>
    <x v="4"/>
    <x v="0"/>
    <x v="1431"/>
    <x v="0"/>
    <n v="54.72"/>
    <n v="2.9809999999999999"/>
    <n v="132.1062"/>
    <n v="8.5120000000000005"/>
  </r>
  <r>
    <x v="25"/>
    <d v="2010-04-06T00:00:00"/>
    <x v="5"/>
    <x v="0"/>
    <x v="1432"/>
    <x v="0"/>
    <n v="58.46"/>
    <n v="2.8570000000000002"/>
    <n v="132.36483870000001"/>
    <n v="8.5120000000000005"/>
  </r>
  <r>
    <x v="25"/>
    <d v="2010-11-06T00:00:00"/>
    <x v="6"/>
    <x v="0"/>
    <x v="1433"/>
    <x v="0"/>
    <n v="51.62"/>
    <n v="2.83"/>
    <n v="132.43574190000001"/>
    <n v="8.5120000000000005"/>
  </r>
  <r>
    <x v="25"/>
    <d v="2010-02-07T00:00:00"/>
    <x v="2"/>
    <x v="0"/>
    <x v="1434"/>
    <x v="0"/>
    <n v="58.9"/>
    <n v="2.8149999999999999"/>
    <n v="132.5218667"/>
    <n v="8.4450000000000003"/>
  </r>
  <r>
    <x v="25"/>
    <d v="2010-09-07T00:00:00"/>
    <x v="3"/>
    <x v="0"/>
    <x v="1435"/>
    <x v="0"/>
    <n v="71.08"/>
    <n v="2.806"/>
    <n v="132.54613330000001"/>
    <n v="8.4450000000000003"/>
  </r>
  <r>
    <x v="25"/>
    <d v="2010-06-08T00:00:00"/>
    <x v="7"/>
    <x v="0"/>
    <x v="1436"/>
    <x v="0"/>
    <n v="62.93"/>
    <n v="2.7919999999999998"/>
    <n v="132.6141935"/>
    <n v="8.4450000000000003"/>
  </r>
  <r>
    <x v="25"/>
    <d v="2010-03-09T00:00:00"/>
    <x v="8"/>
    <x v="0"/>
    <x v="1437"/>
    <x v="0"/>
    <n v="66.930000000000007"/>
    <n v="2.7349999999999999"/>
    <n v="132.72483869999999"/>
    <n v="8.4450000000000003"/>
  </r>
  <r>
    <x v="25"/>
    <d v="2010-10-09T00:00:00"/>
    <x v="9"/>
    <x v="0"/>
    <x v="1438"/>
    <x v="1"/>
    <n v="54.82"/>
    <n v="2.7170000000000001"/>
    <n v="132.75645159999999"/>
    <n v="8.4450000000000003"/>
  </r>
  <r>
    <x v="25"/>
    <d v="2010-01-10T00:00:00"/>
    <x v="10"/>
    <x v="0"/>
    <x v="1439"/>
    <x v="0"/>
    <n v="57.8"/>
    <n v="2.7170000000000001"/>
    <n v="132.7568"/>
    <n v="8.1489999999999991"/>
  </r>
  <r>
    <x v="25"/>
    <d v="2010-08-10T00:00:00"/>
    <x v="11"/>
    <x v="0"/>
    <x v="1440"/>
    <x v="0"/>
    <n v="46.81"/>
    <n v="2.7759999999999998"/>
    <n v="132.75166669999999"/>
    <n v="8.1489999999999991"/>
  </r>
  <r>
    <x v="25"/>
    <d v="2010-05-11T00:00:00"/>
    <x v="0"/>
    <x v="0"/>
    <x v="1441"/>
    <x v="0"/>
    <n v="30.51"/>
    <n v="2.9380000000000002"/>
    <n v="132.92458060000001"/>
    <n v="8.1489999999999991"/>
  </r>
  <r>
    <x v="25"/>
    <d v="2010-12-11T00:00:00"/>
    <x v="1"/>
    <x v="0"/>
    <x v="1442"/>
    <x v="0"/>
    <n v="37.51"/>
    <n v="2.9609999999999999"/>
    <n v="132.97832260000001"/>
    <n v="8.1489999999999991"/>
  </r>
  <r>
    <x v="25"/>
    <d v="2010-03-12T00:00:00"/>
    <x v="8"/>
    <x v="0"/>
    <x v="1443"/>
    <x v="0"/>
    <n v="27.73"/>
    <n v="3.0649999999999999"/>
    <n v="132.75666670000001"/>
    <n v="8.1489999999999991"/>
  </r>
  <r>
    <x v="25"/>
    <d v="2010-10-12T00:00:00"/>
    <x v="9"/>
    <x v="0"/>
    <x v="1444"/>
    <x v="0"/>
    <n v="16.600000000000001"/>
    <n v="3.1320000000000001"/>
    <n v="132.6764"/>
    <n v="8.1489999999999991"/>
  </r>
  <r>
    <x v="25"/>
    <d v="2011-07-01T00:00:00"/>
    <x v="4"/>
    <x v="1"/>
    <x v="1445"/>
    <x v="0"/>
    <n v="21.13"/>
    <n v="3.1930000000000001"/>
    <n v="132.88232260000001"/>
    <n v="7.907"/>
  </r>
  <r>
    <x v="25"/>
    <d v="2011-04-02T00:00:00"/>
    <x v="5"/>
    <x v="1"/>
    <x v="1446"/>
    <x v="0"/>
    <n v="11.17"/>
    <n v="3.24"/>
    <n v="133.18341939999999"/>
    <n v="7.907"/>
  </r>
  <r>
    <x v="25"/>
    <d v="2011-11-02T00:00:00"/>
    <x v="6"/>
    <x v="1"/>
    <x v="1447"/>
    <x v="1"/>
    <n v="15.12"/>
    <n v="3.2549999999999999"/>
    <n v="133.26087100000001"/>
    <n v="7.907"/>
  </r>
  <r>
    <x v="25"/>
    <d v="2011-04-03T00:00:00"/>
    <x v="5"/>
    <x v="1"/>
    <x v="1448"/>
    <x v="0"/>
    <n v="14.31"/>
    <n v="3.4369999999999998"/>
    <n v="133.61414289999999"/>
    <n v="7.907"/>
  </r>
  <r>
    <x v="25"/>
    <d v="2011-11-03T00:00:00"/>
    <x v="6"/>
    <x v="1"/>
    <x v="1449"/>
    <x v="0"/>
    <n v="28.13"/>
    <n v="3.6"/>
    <n v="133.7361429"/>
    <n v="7.907"/>
  </r>
  <r>
    <x v="25"/>
    <d v="2011-01-04T00:00:00"/>
    <x v="10"/>
    <x v="1"/>
    <x v="1450"/>
    <x v="0"/>
    <n v="22.99"/>
    <n v="3.6379999999999999"/>
    <n v="134.06825810000001"/>
    <n v="7.8179999999999996"/>
  </r>
  <r>
    <x v="25"/>
    <d v="2011-08-04T00:00:00"/>
    <x v="11"/>
    <x v="1"/>
    <x v="1451"/>
    <x v="0"/>
    <n v="29.09"/>
    <n v="3.72"/>
    <n v="134.17777419999999"/>
    <n v="7.8179999999999996"/>
  </r>
  <r>
    <x v="25"/>
    <d v="2011-06-05T00:00:00"/>
    <x v="7"/>
    <x v="1"/>
    <x v="1452"/>
    <x v="0"/>
    <n v="45"/>
    <n v="4.0780000000000003"/>
    <n v="134.51436670000001"/>
    <n v="7.8179999999999996"/>
  </r>
  <r>
    <x v="25"/>
    <d v="2011-03-06T00:00:00"/>
    <x v="8"/>
    <x v="1"/>
    <x v="1453"/>
    <x v="0"/>
    <n v="60.49"/>
    <n v="3.9729999999999999"/>
    <n v="134.85516129999999"/>
    <n v="7.8179999999999996"/>
  </r>
  <r>
    <x v="25"/>
    <d v="2011-10-06T00:00:00"/>
    <x v="9"/>
    <x v="1"/>
    <x v="1454"/>
    <x v="0"/>
    <n v="59.85"/>
    <n v="3.9239999999999999"/>
    <n v="134.94254839999999"/>
    <n v="7.8179999999999996"/>
  </r>
  <r>
    <x v="25"/>
    <d v="2011-01-07T00:00:00"/>
    <x v="10"/>
    <x v="1"/>
    <x v="1455"/>
    <x v="0"/>
    <n v="59.89"/>
    <n v="3.8149999999999999"/>
    <n v="135.4468"/>
    <n v="7.7670000000000003"/>
  </r>
  <r>
    <x v="25"/>
    <d v="2011-08-07T00:00:00"/>
    <x v="11"/>
    <x v="1"/>
    <x v="1456"/>
    <x v="0"/>
    <n v="63.34"/>
    <n v="3.7839999999999998"/>
    <n v="135.62833330000001"/>
    <n v="7.7670000000000003"/>
  </r>
  <r>
    <x v="25"/>
    <d v="2011-05-08T00:00:00"/>
    <x v="0"/>
    <x v="1"/>
    <x v="1457"/>
    <x v="0"/>
    <n v="63.16"/>
    <n v="3.903"/>
    <n v="136.05403229999999"/>
    <n v="7.7670000000000003"/>
  </r>
  <r>
    <x v="25"/>
    <d v="2011-12-08T00:00:00"/>
    <x v="1"/>
    <x v="1"/>
    <x v="1458"/>
    <x v="0"/>
    <n v="62.99"/>
    <n v="3.88"/>
    <n v="136.14412899999999"/>
    <n v="7.7670000000000003"/>
  </r>
  <r>
    <x v="25"/>
    <d v="2011-02-09T00:00:00"/>
    <x v="2"/>
    <x v="1"/>
    <x v="1459"/>
    <x v="0"/>
    <n v="59.67"/>
    <n v="3.7839999999999998"/>
    <n v="136.24409679999999"/>
    <n v="7.7670000000000003"/>
  </r>
  <r>
    <x v="25"/>
    <d v="2011-09-09T00:00:00"/>
    <x v="3"/>
    <x v="1"/>
    <x v="1460"/>
    <x v="1"/>
    <n v="60.98"/>
    <n v="3.8090000000000002"/>
    <n v="136.27458060000001"/>
    <n v="7.7670000000000003"/>
  </r>
  <r>
    <x v="25"/>
    <d v="2011-07-10T00:00:00"/>
    <x v="4"/>
    <x v="1"/>
    <x v="1461"/>
    <x v="0"/>
    <n v="46.84"/>
    <n v="3.633"/>
    <n v="136.47200000000001"/>
    <n v="7.5979999999999999"/>
  </r>
  <r>
    <x v="25"/>
    <d v="2011-04-11T00:00:00"/>
    <x v="5"/>
    <x v="1"/>
    <x v="1462"/>
    <x v="0"/>
    <n v="31.7"/>
    <n v="3.5859999999999999"/>
    <n v="136.47512900000001"/>
    <n v="7.5979999999999999"/>
  </r>
  <r>
    <x v="25"/>
    <d v="2011-11-11T00:00:00"/>
    <x v="6"/>
    <x v="1"/>
    <x v="1463"/>
    <x v="0"/>
    <n v="40.08"/>
    <n v="3.57"/>
    <n v="136.46180649999999"/>
    <n v="7.5979999999999999"/>
  </r>
  <r>
    <x v="25"/>
    <d v="2011-02-12T00:00:00"/>
    <x v="2"/>
    <x v="1"/>
    <x v="1464"/>
    <x v="0"/>
    <n v="36.74"/>
    <n v="3.5009999999999999"/>
    <n v="136.49093329999999"/>
    <n v="7.5979999999999999"/>
  </r>
  <r>
    <x v="25"/>
    <d v="2011-09-12T00:00:00"/>
    <x v="3"/>
    <x v="1"/>
    <x v="1465"/>
    <x v="0"/>
    <n v="34.24"/>
    <n v="3.47"/>
    <n v="136.50306670000001"/>
    <n v="7.5979999999999999"/>
  </r>
  <r>
    <x v="25"/>
    <d v="2012-06-01T00:00:00"/>
    <x v="7"/>
    <x v="2"/>
    <x v="1466"/>
    <x v="0"/>
    <n v="22.94"/>
    <n v="3.4390000000000001"/>
    <n v="136.69812899999999"/>
    <n v="7.4669999999999996"/>
  </r>
  <r>
    <x v="25"/>
    <d v="2012-03-02T00:00:00"/>
    <x v="8"/>
    <x v="2"/>
    <x v="1467"/>
    <x v="0"/>
    <n v="25.24"/>
    <n v="3.633"/>
    <n v="137.06325810000001"/>
    <n v="7.4669999999999996"/>
  </r>
  <r>
    <x v="25"/>
    <d v="2012-10-02T00:00:00"/>
    <x v="9"/>
    <x v="2"/>
    <x v="1468"/>
    <x v="1"/>
    <n v="23.89"/>
    <n v="3.6549999999999998"/>
    <n v="137.1666774"/>
    <n v="7.4669999999999996"/>
  </r>
  <r>
    <x v="25"/>
    <d v="2012-02-03T00:00:00"/>
    <x v="2"/>
    <x v="2"/>
    <x v="1469"/>
    <x v="0"/>
    <n v="22.49"/>
    <n v="3.827"/>
    <n v="137.42389660000001"/>
    <n v="7.4669999999999996"/>
  </r>
  <r>
    <x v="25"/>
    <d v="2012-09-03T00:00:00"/>
    <x v="3"/>
    <x v="2"/>
    <x v="1470"/>
    <x v="0"/>
    <n v="29.03"/>
    <n v="3.8759999999999999"/>
    <n v="137.50668970000001"/>
    <n v="7.4669999999999996"/>
  </r>
  <r>
    <x v="25"/>
    <d v="2012-06-04T00:00:00"/>
    <x v="7"/>
    <x v="2"/>
    <x v="1471"/>
    <x v="0"/>
    <n v="33.35"/>
    <n v="3.9569999999999999"/>
    <n v="137.79709679999999"/>
    <n v="7.4889999999999999"/>
  </r>
  <r>
    <x v="25"/>
    <d v="2012-04-05T00:00:00"/>
    <x v="5"/>
    <x v="2"/>
    <x v="1472"/>
    <x v="0"/>
    <n v="40.29"/>
    <n v="3.9910000000000001"/>
    <n v="138.03319999999999"/>
    <n v="7.4889999999999999"/>
  </r>
  <r>
    <x v="25"/>
    <d v="2012-11-05T00:00:00"/>
    <x v="6"/>
    <x v="2"/>
    <x v="1473"/>
    <x v="0"/>
    <n v="47.11"/>
    <n v="3.9470000000000001"/>
    <n v="138.08826669999999"/>
    <n v="7.4889999999999999"/>
  </r>
  <r>
    <x v="25"/>
    <d v="2012-01-06T00:00:00"/>
    <x v="10"/>
    <x v="2"/>
    <x v="1474"/>
    <x v="0"/>
    <n v="58.51"/>
    <n v="3.798"/>
    <n v="138.11380650000001"/>
    <n v="7.4889999999999999"/>
  </r>
  <r>
    <x v="25"/>
    <d v="2012-08-06T00:00:00"/>
    <x v="11"/>
    <x v="2"/>
    <x v="1475"/>
    <x v="0"/>
    <n v="49.43"/>
    <n v="3.746"/>
    <n v="138.11741939999999"/>
    <n v="7.4889999999999999"/>
  </r>
  <r>
    <x v="25"/>
    <d v="2012-06-07T00:00:00"/>
    <x v="7"/>
    <x v="2"/>
    <x v="1476"/>
    <x v="0"/>
    <n v="64.94"/>
    <n v="3.5379999999999998"/>
    <n v="138.22963329999999"/>
    <n v="7.4050000000000002"/>
  </r>
  <r>
    <x v="25"/>
    <d v="2012-03-08T00:00:00"/>
    <x v="8"/>
    <x v="2"/>
    <x v="1477"/>
    <x v="0"/>
    <n v="65.599999999999994"/>
    <n v="3.698"/>
    <n v="138.17358060000001"/>
    <n v="7.4050000000000002"/>
  </r>
  <r>
    <x v="25"/>
    <d v="2012-10-08T00:00:00"/>
    <x v="9"/>
    <x v="2"/>
    <x v="1478"/>
    <x v="0"/>
    <n v="67.010000000000005"/>
    <n v="3.7719999999999998"/>
    <n v="138.1437742"/>
    <n v="7.4050000000000002"/>
  </r>
  <r>
    <x v="25"/>
    <d v="2012-07-09T00:00:00"/>
    <x v="4"/>
    <x v="2"/>
    <x v="1479"/>
    <x v="1"/>
    <n v="61.58"/>
    <n v="3.9209999999999998"/>
    <n v="138.47293550000001"/>
    <n v="7.4050000000000002"/>
  </r>
  <r>
    <x v="25"/>
    <d v="2012-05-10T00:00:00"/>
    <x v="0"/>
    <x v="2"/>
    <x v="1480"/>
    <x v="0"/>
    <n v="54.07"/>
    <n v="4.0270000000000001"/>
    <n v="138.82560000000001"/>
    <n v="7.1379999999999999"/>
  </r>
  <r>
    <x v="25"/>
    <d v="2012-12-10T00:00:00"/>
    <x v="1"/>
    <x v="2"/>
    <x v="1481"/>
    <x v="0"/>
    <n v="45.19"/>
    <n v="4.0289999999999999"/>
    <n v="138.9117"/>
    <n v="7.1379999999999999"/>
  </r>
  <r>
    <x v="26"/>
    <d v="2010-05-02T00:00:00"/>
    <x v="0"/>
    <x v="0"/>
    <x v="1482"/>
    <x v="0"/>
    <n v="27.19"/>
    <n v="2.9540000000000002"/>
    <n v="135.35246079999999"/>
    <n v="8.2370000000000001"/>
  </r>
  <r>
    <x v="26"/>
    <d v="2010-12-02T00:00:00"/>
    <x v="1"/>
    <x v="0"/>
    <x v="1483"/>
    <x v="1"/>
    <n v="29.81"/>
    <n v="2.94"/>
    <n v="135.41130759999999"/>
    <n v="8.2370000000000001"/>
  </r>
  <r>
    <x v="26"/>
    <d v="2010-05-03T00:00:00"/>
    <x v="0"/>
    <x v="0"/>
    <x v="1484"/>
    <x v="0"/>
    <n v="38.07"/>
    <n v="2.919"/>
    <n v="135.57326019999999"/>
    <n v="8.2370000000000001"/>
  </r>
  <r>
    <x v="26"/>
    <d v="2010-12-03T00:00:00"/>
    <x v="1"/>
    <x v="0"/>
    <x v="1485"/>
    <x v="0"/>
    <n v="45.98"/>
    <n v="2.9380000000000002"/>
    <n v="135.62700129999999"/>
    <n v="8.2370000000000001"/>
  </r>
  <r>
    <x v="26"/>
    <d v="2010-02-04T00:00:00"/>
    <x v="2"/>
    <x v="0"/>
    <x v="1486"/>
    <x v="0"/>
    <n v="46.9"/>
    <n v="2.9569999999999999"/>
    <n v="135.74649880000001"/>
    <n v="8.0579999999999998"/>
  </r>
  <r>
    <x v="26"/>
    <d v="2010-09-04T00:00:00"/>
    <x v="3"/>
    <x v="0"/>
    <x v="1487"/>
    <x v="0"/>
    <n v="62.62"/>
    <n v="2.992"/>
    <n v="135.78563589999999"/>
    <n v="8.0579999999999998"/>
  </r>
  <r>
    <x v="26"/>
    <d v="2010-07-05T00:00:00"/>
    <x v="4"/>
    <x v="0"/>
    <x v="1488"/>
    <x v="0"/>
    <n v="69.02"/>
    <n v="3.0950000000000002"/>
    <n v="135.96199999999999"/>
    <n v="8.0579999999999998"/>
  </r>
  <r>
    <x v="26"/>
    <d v="2010-04-06T00:00:00"/>
    <x v="5"/>
    <x v="0"/>
    <x v="1489"/>
    <x v="0"/>
    <n v="74.290000000000006"/>
    <n v="3.0059999999999998"/>
    <n v="136.21816820000001"/>
    <n v="8.0579999999999998"/>
  </r>
  <r>
    <x v="26"/>
    <d v="2010-11-06T00:00:00"/>
    <x v="6"/>
    <x v="0"/>
    <x v="1490"/>
    <x v="0"/>
    <n v="68.900000000000006"/>
    <n v="2.972"/>
    <n v="136.28742629999999"/>
    <n v="8.0579999999999998"/>
  </r>
  <r>
    <x v="26"/>
    <d v="2010-02-07T00:00:00"/>
    <x v="2"/>
    <x v="0"/>
    <x v="1491"/>
    <x v="0"/>
    <n v="76.25"/>
    <n v="2.9580000000000002"/>
    <n v="136.37228930000001"/>
    <n v="7.9820000000000002"/>
  </r>
  <r>
    <x v="26"/>
    <d v="2010-09-07T00:00:00"/>
    <x v="3"/>
    <x v="0"/>
    <x v="1492"/>
    <x v="0"/>
    <n v="82.69"/>
    <n v="2.94"/>
    <n v="136.39626430000001"/>
    <n v="7.9820000000000002"/>
  </r>
  <r>
    <x v="26"/>
    <d v="2010-06-08T00:00:00"/>
    <x v="7"/>
    <x v="0"/>
    <x v="1493"/>
    <x v="0"/>
    <n v="77.45"/>
    <n v="2.9420000000000002"/>
    <n v="136.4741118"/>
    <n v="7.9820000000000002"/>
  </r>
  <r>
    <x v="26"/>
    <d v="2010-03-09T00:00:00"/>
    <x v="8"/>
    <x v="0"/>
    <x v="1494"/>
    <x v="0"/>
    <n v="78.52"/>
    <n v="2.86"/>
    <n v="136.58911180000001"/>
    <n v="7.9820000000000002"/>
  </r>
  <r>
    <x v="26"/>
    <d v="2010-10-09T00:00:00"/>
    <x v="9"/>
    <x v="0"/>
    <x v="1495"/>
    <x v="1"/>
    <n v="70.38"/>
    <n v="2.8370000000000002"/>
    <n v="136.62120849999999"/>
    <n v="7.9820000000000002"/>
  </r>
  <r>
    <x v="26"/>
    <d v="2010-01-10T00:00:00"/>
    <x v="10"/>
    <x v="0"/>
    <x v="1496"/>
    <x v="0"/>
    <n v="70.19"/>
    <n v="2.84"/>
    <n v="136.62975710000001"/>
    <n v="8.0210000000000008"/>
  </r>
  <r>
    <x v="26"/>
    <d v="2010-08-10T00:00:00"/>
    <x v="11"/>
    <x v="0"/>
    <x v="1497"/>
    <x v="0"/>
    <n v="57.78"/>
    <n v="2.903"/>
    <n v="136.6277321"/>
    <n v="8.0210000000000008"/>
  </r>
  <r>
    <x v="26"/>
    <d v="2010-05-11T00:00:00"/>
    <x v="0"/>
    <x v="0"/>
    <x v="1498"/>
    <x v="0"/>
    <n v="45.91"/>
    <n v="3.0489999999999999"/>
    <n v="136.78622580000001"/>
    <n v="8.0210000000000008"/>
  </r>
  <r>
    <x v="26"/>
    <d v="2010-12-11T00:00:00"/>
    <x v="1"/>
    <x v="0"/>
    <x v="1499"/>
    <x v="0"/>
    <n v="45.9"/>
    <n v="3.0649999999999999"/>
    <n v="136.83490320000001"/>
    <n v="8.0210000000000008"/>
  </r>
  <r>
    <x v="26"/>
    <d v="2010-03-12T00:00:00"/>
    <x v="8"/>
    <x v="0"/>
    <x v="1500"/>
    <x v="0"/>
    <n v="41.81"/>
    <n v="3.2"/>
    <n v="136.60757140000001"/>
    <n v="8.0210000000000008"/>
  </r>
  <r>
    <x v="26"/>
    <d v="2010-10-12T00:00:00"/>
    <x v="9"/>
    <x v="0"/>
    <x v="1501"/>
    <x v="0"/>
    <n v="30.83"/>
    <n v="3.2549999999999999"/>
    <n v="136.52557139999999"/>
    <n v="8.0210000000000008"/>
  </r>
  <r>
    <x v="26"/>
    <d v="2011-07-01T00:00:00"/>
    <x v="4"/>
    <x v="1"/>
    <x v="1502"/>
    <x v="0"/>
    <n v="34.42"/>
    <n v="3.351"/>
    <n v="136.73325689999999"/>
    <n v="7.827"/>
  </r>
  <r>
    <x v="26"/>
    <d v="2011-04-02T00:00:00"/>
    <x v="5"/>
    <x v="1"/>
    <x v="1503"/>
    <x v="0"/>
    <n v="28.7"/>
    <n v="3.4"/>
    <n v="137.05424310000001"/>
    <n v="7.827"/>
  </r>
  <r>
    <x v="26"/>
    <d v="2011-11-02T00:00:00"/>
    <x v="6"/>
    <x v="1"/>
    <x v="1504"/>
    <x v="1"/>
    <n v="30.45"/>
    <n v="3.4159999999999999"/>
    <n v="137.13783179999999"/>
    <n v="7.827"/>
  </r>
  <r>
    <x v="26"/>
    <d v="2011-04-03T00:00:00"/>
    <x v="5"/>
    <x v="1"/>
    <x v="1505"/>
    <x v="0"/>
    <n v="36.99"/>
    <n v="3.605"/>
    <n v="137.5017028"/>
    <n v="7.827"/>
  </r>
  <r>
    <x v="26"/>
    <d v="2011-11-03T00:00:00"/>
    <x v="6"/>
    <x v="1"/>
    <x v="1506"/>
    <x v="0"/>
    <n v="43.64"/>
    <n v="3.7519999999999998"/>
    <n v="137.62696170000001"/>
    <n v="7.827"/>
  </r>
  <r>
    <x v="26"/>
    <d v="2011-01-04T00:00:00"/>
    <x v="10"/>
    <x v="1"/>
    <x v="1507"/>
    <x v="0"/>
    <n v="37.270000000000003"/>
    <n v="3.8109999999999999"/>
    <n v="137.95589290000001"/>
    <n v="7.7249999999999996"/>
  </r>
  <r>
    <x v="26"/>
    <d v="2011-08-04T00:00:00"/>
    <x v="11"/>
    <x v="1"/>
    <x v="1508"/>
    <x v="0"/>
    <n v="46.87"/>
    <n v="3.895"/>
    <n v="138.06389290000001"/>
    <n v="7.7249999999999996"/>
  </r>
  <r>
    <x v="26"/>
    <d v="2011-06-05T00:00:00"/>
    <x v="7"/>
    <x v="1"/>
    <x v="1509"/>
    <x v="0"/>
    <n v="56.48"/>
    <n v="4.1920000000000002"/>
    <n v="138.41312020000001"/>
    <n v="7.7249999999999996"/>
  </r>
  <r>
    <x v="26"/>
    <d v="2011-03-06T00:00:00"/>
    <x v="8"/>
    <x v="1"/>
    <x v="1510"/>
    <x v="0"/>
    <n v="74.17"/>
    <n v="4.069"/>
    <n v="138.76946079999999"/>
    <n v="7.7249999999999996"/>
  </r>
  <r>
    <x v="26"/>
    <d v="2011-10-06T00:00:00"/>
    <x v="9"/>
    <x v="1"/>
    <x v="1511"/>
    <x v="0"/>
    <n v="73.260000000000005"/>
    <n v="4.0250000000000004"/>
    <n v="138.86063820000001"/>
    <n v="7.7249999999999996"/>
  </r>
  <r>
    <x v="26"/>
    <d v="2011-01-07T00:00:00"/>
    <x v="10"/>
    <x v="1"/>
    <x v="1512"/>
    <x v="0"/>
    <n v="73.760000000000005"/>
    <n v="3.9159999999999999"/>
    <n v="139.36375000000001"/>
    <n v="7.85"/>
  </r>
  <r>
    <x v="26"/>
    <d v="2011-08-07T00:00:00"/>
    <x v="11"/>
    <x v="1"/>
    <x v="1513"/>
    <x v="0"/>
    <n v="76.87"/>
    <n v="3.8860000000000001"/>
    <n v="139.54420830000001"/>
    <n v="7.85"/>
  </r>
  <r>
    <x v="26"/>
    <d v="2011-05-08T00:00:00"/>
    <x v="0"/>
    <x v="1"/>
    <x v="1514"/>
    <x v="0"/>
    <n v="78.14"/>
    <n v="4.0199999999999996"/>
    <n v="139.98964860000001"/>
    <n v="7.85"/>
  </r>
  <r>
    <x v="26"/>
    <d v="2011-12-08T00:00:00"/>
    <x v="1"/>
    <x v="1"/>
    <x v="1515"/>
    <x v="0"/>
    <n v="76.67"/>
    <n v="3.9950000000000001"/>
    <n v="140.0859873"/>
    <n v="7.85"/>
  </r>
  <r>
    <x v="26"/>
    <d v="2011-02-09T00:00:00"/>
    <x v="2"/>
    <x v="1"/>
    <x v="1516"/>
    <x v="0"/>
    <n v="71.44"/>
    <n v="3.879"/>
    <n v="140.19698500000001"/>
    <n v="7.85"/>
  </r>
  <r>
    <x v="26"/>
    <d v="2011-09-09T00:00:00"/>
    <x v="3"/>
    <x v="1"/>
    <x v="1517"/>
    <x v="1"/>
    <n v="70.930000000000007"/>
    <n v="3.93"/>
    <n v="140.23101729999999"/>
    <n v="7.85"/>
  </r>
  <r>
    <x v="26"/>
    <d v="2011-07-10T00:00:00"/>
    <x v="4"/>
    <x v="1"/>
    <x v="1518"/>
    <x v="0"/>
    <n v="56.91"/>
    <n v="3.7749999999999999"/>
    <n v="140.43475000000001"/>
    <n v="7.9059999999999997"/>
  </r>
  <r>
    <x v="26"/>
    <d v="2011-04-11T00:00:00"/>
    <x v="5"/>
    <x v="1"/>
    <x v="1519"/>
    <x v="0"/>
    <n v="44.46"/>
    <n v="3.738"/>
    <n v="140.42797580000001"/>
    <n v="7.9059999999999997"/>
  </r>
  <r>
    <x v="26"/>
    <d v="2011-11-11T00:00:00"/>
    <x v="6"/>
    <x v="1"/>
    <x v="1520"/>
    <x v="0"/>
    <n v="49.69"/>
    <n v="3.7189999999999999"/>
    <n v="140.4111613"/>
    <n v="7.9059999999999997"/>
  </r>
  <r>
    <x v="26"/>
    <d v="2011-02-12T00:00:00"/>
    <x v="2"/>
    <x v="1"/>
    <x v="1521"/>
    <x v="0"/>
    <n v="50.55"/>
    <n v="3.6659999999999999"/>
    <n v="140.4307857"/>
    <n v="7.9059999999999997"/>
  </r>
  <r>
    <x v="26"/>
    <d v="2011-09-12T00:00:00"/>
    <x v="3"/>
    <x v="1"/>
    <x v="1522"/>
    <x v="0"/>
    <n v="46.28"/>
    <n v="3.6269999999999998"/>
    <n v="140.43978569999999"/>
    <n v="7.9059999999999997"/>
  </r>
  <r>
    <x v="26"/>
    <d v="2012-06-01T00:00:00"/>
    <x v="7"/>
    <x v="2"/>
    <x v="1523"/>
    <x v="0"/>
    <n v="35.799999999999997"/>
    <n v="3.585"/>
    <n v="140.64613589999999"/>
    <n v="8.0090000000000003"/>
  </r>
  <r>
    <x v="26"/>
    <d v="2012-03-02T00:00:00"/>
    <x v="8"/>
    <x v="2"/>
    <x v="1524"/>
    <x v="0"/>
    <n v="42.52"/>
    <n v="3.7959999999999998"/>
    <n v="141.01619239999999"/>
    <n v="8.0090000000000003"/>
  </r>
  <r>
    <x v="26"/>
    <d v="2012-10-02T00:00:00"/>
    <x v="9"/>
    <x v="2"/>
    <x v="1525"/>
    <x v="1"/>
    <n v="37.86"/>
    <n v="3.8260000000000001"/>
    <n v="141.11998270000001"/>
    <n v="8.0090000000000003"/>
  </r>
  <r>
    <x v="26"/>
    <d v="2012-02-03T00:00:00"/>
    <x v="2"/>
    <x v="2"/>
    <x v="1526"/>
    <x v="0"/>
    <n v="40.07"/>
    <n v="3.9830000000000001"/>
    <n v="141.3875357"/>
    <n v="8.0090000000000003"/>
  </r>
  <r>
    <x v="26"/>
    <d v="2012-09-03T00:00:00"/>
    <x v="3"/>
    <x v="2"/>
    <x v="1527"/>
    <x v="0"/>
    <n v="44.32"/>
    <n v="4.0209999999999999"/>
    <n v="141.4742857"/>
    <n v="8.0090000000000003"/>
  </r>
  <r>
    <x v="26"/>
    <d v="2012-06-04T00:00:00"/>
    <x v="7"/>
    <x v="2"/>
    <x v="1528"/>
    <x v="0"/>
    <n v="48.73"/>
    <n v="4.1429999999999998"/>
    <n v="141.7712396"/>
    <n v="8.2530000000000001"/>
  </r>
  <r>
    <x v="26"/>
    <d v="2012-04-05T00:00:00"/>
    <x v="5"/>
    <x v="2"/>
    <x v="1529"/>
    <x v="0"/>
    <n v="53.68"/>
    <n v="4.1239999999999997"/>
    <n v="142.01779289999999"/>
    <n v="8.2530000000000001"/>
  </r>
  <r>
    <x v="26"/>
    <d v="2012-11-05T00:00:00"/>
    <x v="6"/>
    <x v="2"/>
    <x v="1530"/>
    <x v="0"/>
    <n v="58.97"/>
    <n v="4.0549999999999997"/>
    <n v="142.0759262"/>
    <n v="8.2530000000000001"/>
  </r>
  <r>
    <x v="26"/>
    <d v="2012-01-06T00:00:00"/>
    <x v="10"/>
    <x v="2"/>
    <x v="1531"/>
    <x v="0"/>
    <n v="73.400000000000006"/>
    <n v="3.915"/>
    <n v="142.10954380000001"/>
    <n v="8.2530000000000001"/>
  </r>
  <r>
    <x v="26"/>
    <d v="2012-08-06T00:00:00"/>
    <x v="11"/>
    <x v="2"/>
    <x v="1532"/>
    <x v="0"/>
    <n v="64.05"/>
    <n v="3.871"/>
    <n v="142.11580989999999"/>
    <n v="8.2530000000000001"/>
  </r>
  <r>
    <x v="26"/>
    <d v="2012-06-07T00:00:00"/>
    <x v="7"/>
    <x v="2"/>
    <x v="1533"/>
    <x v="0"/>
    <n v="82.08"/>
    <n v="3.6459999999999999"/>
    <n v="142.22342979999999"/>
    <n v="8.2390000000000008"/>
  </r>
  <r>
    <x v="26"/>
    <d v="2012-03-08T00:00:00"/>
    <x v="8"/>
    <x v="2"/>
    <x v="1534"/>
    <x v="0"/>
    <n v="75.22"/>
    <n v="3.819"/>
    <n v="142.19162789999999"/>
    <n v="8.2390000000000008"/>
  </r>
  <r>
    <x v="26"/>
    <d v="2012-10-08T00:00:00"/>
    <x v="9"/>
    <x v="2"/>
    <x v="1535"/>
    <x v="0"/>
    <n v="78.44"/>
    <n v="3.863"/>
    <n v="142.17056339999999"/>
    <n v="8.2390000000000008"/>
  </r>
  <r>
    <x v="26"/>
    <d v="2012-07-09T00:00:00"/>
    <x v="4"/>
    <x v="2"/>
    <x v="1536"/>
    <x v="1"/>
    <n v="76"/>
    <n v="4.0759999999999996"/>
    <n v="142.500303"/>
    <n v="8.2390000000000008"/>
  </r>
  <r>
    <x v="26"/>
    <d v="2012-05-10T00:00:00"/>
    <x v="0"/>
    <x v="2"/>
    <x v="1537"/>
    <x v="0"/>
    <n v="64.5"/>
    <n v="4.1509999999999998"/>
    <n v="142.85168329999999"/>
    <n v="8"/>
  </r>
  <r>
    <x v="26"/>
    <d v="2012-12-10T00:00:00"/>
    <x v="1"/>
    <x v="2"/>
    <x v="1538"/>
    <x v="0"/>
    <n v="55.4"/>
    <n v="4.1859999999999999"/>
    <n v="142.93761670000001"/>
    <n v="8"/>
  </r>
  <r>
    <x v="27"/>
    <d v="2010-05-02T00:00:00"/>
    <x v="0"/>
    <x v="0"/>
    <x v="1539"/>
    <x v="0"/>
    <n v="49.47"/>
    <n v="2.9620000000000002"/>
    <n v="126.4420645"/>
    <n v="13.975"/>
  </r>
  <r>
    <x v="27"/>
    <d v="2010-12-02T00:00:00"/>
    <x v="1"/>
    <x v="0"/>
    <x v="1540"/>
    <x v="1"/>
    <n v="47.87"/>
    <n v="2.9460000000000002"/>
    <n v="126.49625810000001"/>
    <n v="13.975"/>
  </r>
  <r>
    <x v="27"/>
    <d v="2010-05-03T00:00:00"/>
    <x v="0"/>
    <x v="0"/>
    <x v="1541"/>
    <x v="0"/>
    <n v="53.77"/>
    <n v="2.9870000000000001"/>
    <n v="126.5782857"/>
    <n v="13.975"/>
  </r>
  <r>
    <x v="27"/>
    <d v="2010-12-03T00:00:00"/>
    <x v="1"/>
    <x v="0"/>
    <x v="1542"/>
    <x v="0"/>
    <n v="50.11"/>
    <n v="2.9249999999999998"/>
    <n v="126.60428570000001"/>
    <n v="13.975"/>
  </r>
  <r>
    <x v="27"/>
    <d v="2010-02-04T00:00:00"/>
    <x v="2"/>
    <x v="0"/>
    <x v="1543"/>
    <x v="0"/>
    <n v="59.84"/>
    <n v="3.0859999999999999"/>
    <n v="126.6034839"/>
    <n v="14.099"/>
  </r>
  <r>
    <x v="27"/>
    <d v="2010-09-04T00:00:00"/>
    <x v="3"/>
    <x v="0"/>
    <x v="1544"/>
    <x v="0"/>
    <n v="59.25"/>
    <n v="3.09"/>
    <n v="126.6019032"/>
    <n v="14.099"/>
  </r>
  <r>
    <x v="27"/>
    <d v="2010-07-05T00:00:00"/>
    <x v="4"/>
    <x v="0"/>
    <x v="1545"/>
    <x v="0"/>
    <n v="70.150000000000006"/>
    <n v="3.1269999999999998"/>
    <n v="126.2898"/>
    <n v="14.099"/>
  </r>
  <r>
    <x v="27"/>
    <d v="2010-04-06T00:00:00"/>
    <x v="5"/>
    <x v="0"/>
    <x v="1546"/>
    <x v="0"/>
    <n v="81.39"/>
    <n v="2.9409999999999998"/>
    <n v="126.1360645"/>
    <n v="14.099"/>
  </r>
  <r>
    <x v="27"/>
    <d v="2010-11-06T00:00:00"/>
    <x v="6"/>
    <x v="0"/>
    <x v="1547"/>
    <x v="0"/>
    <n v="90.84"/>
    <n v="2.9489999999999998"/>
    <n v="126.1119032"/>
    <n v="14.099"/>
  </r>
  <r>
    <x v="27"/>
    <d v="2010-02-07T00:00:00"/>
    <x v="2"/>
    <x v="0"/>
    <x v="1548"/>
    <x v="0"/>
    <n v="91.98"/>
    <n v="3.105"/>
    <n v="126.1392"/>
    <n v="14.18"/>
  </r>
  <r>
    <x v="27"/>
    <d v="2010-09-07T00:00:00"/>
    <x v="3"/>
    <x v="0"/>
    <x v="1549"/>
    <x v="0"/>
    <n v="90.37"/>
    <n v="3.1"/>
    <n v="126.15179999999999"/>
    <n v="14.18"/>
  </r>
  <r>
    <x v="27"/>
    <d v="2010-06-08T00:00:00"/>
    <x v="7"/>
    <x v="0"/>
    <x v="1550"/>
    <x v="0"/>
    <n v="92.95"/>
    <n v="3.1230000000000002"/>
    <n v="126.0854516"/>
    <n v="14.18"/>
  </r>
  <r>
    <x v="27"/>
    <d v="2010-03-09T00:00:00"/>
    <x v="8"/>
    <x v="0"/>
    <x v="1551"/>
    <x v="0"/>
    <n v="83.12"/>
    <n v="3.0870000000000002"/>
    <n v="126.1019355"/>
    <n v="14.18"/>
  </r>
  <r>
    <x v="27"/>
    <d v="2010-10-09T00:00:00"/>
    <x v="9"/>
    <x v="0"/>
    <x v="1552"/>
    <x v="1"/>
    <n v="83.63"/>
    <n v="3.044"/>
    <n v="126.1145806"/>
    <n v="14.18"/>
  </r>
  <r>
    <x v="27"/>
    <d v="2010-01-10T00:00:00"/>
    <x v="10"/>
    <x v="0"/>
    <x v="1553"/>
    <x v="0"/>
    <n v="85.2"/>
    <n v="3.0009999999999999"/>
    <n v="126.2346"/>
    <n v="14.313000000000001"/>
  </r>
  <r>
    <x v="27"/>
    <d v="2010-08-10T00:00:00"/>
    <x v="11"/>
    <x v="0"/>
    <x v="1554"/>
    <x v="0"/>
    <n v="71.819999999999993"/>
    <n v="3.0129999999999999"/>
    <n v="126.2791667"/>
    <n v="14.313000000000001"/>
  </r>
  <r>
    <x v="27"/>
    <d v="2010-05-11T00:00:00"/>
    <x v="0"/>
    <x v="0"/>
    <x v="1555"/>
    <x v="0"/>
    <n v="65.489999999999995"/>
    <n v="3.129"/>
    <n v="126.4912903"/>
    <n v="14.313000000000001"/>
  </r>
  <r>
    <x v="27"/>
    <d v="2010-12-11T00:00:00"/>
    <x v="1"/>
    <x v="0"/>
    <x v="1556"/>
    <x v="0"/>
    <n v="57.79"/>
    <n v="3.13"/>
    <n v="126.54616129999999"/>
    <n v="14.313000000000001"/>
  </r>
  <r>
    <x v="27"/>
    <d v="2010-03-12T00:00:00"/>
    <x v="8"/>
    <x v="0"/>
    <x v="1557"/>
    <x v="0"/>
    <n v="43.33"/>
    <n v="3.0409999999999999"/>
    <n v="126.7313333"/>
    <n v="14.313000000000001"/>
  </r>
  <r>
    <x v="27"/>
    <d v="2010-10-12T00:00:00"/>
    <x v="9"/>
    <x v="0"/>
    <x v="1558"/>
    <x v="0"/>
    <n v="50.01"/>
    <n v="3.2029999999999998"/>
    <n v="126.79340000000001"/>
    <n v="14.313000000000001"/>
  </r>
  <r>
    <x v="27"/>
    <d v="2011-07-01T00:00:00"/>
    <x v="4"/>
    <x v="1"/>
    <x v="1559"/>
    <x v="0"/>
    <n v="37.64"/>
    <n v="3.2869999999999999"/>
    <n v="127.1917742"/>
    <n v="14.021000000000001"/>
  </r>
  <r>
    <x v="27"/>
    <d v="2011-04-02T00:00:00"/>
    <x v="5"/>
    <x v="1"/>
    <x v="1560"/>
    <x v="0"/>
    <n v="45.14"/>
    <n v="3.3479999999999999"/>
    <n v="127.7195806"/>
    <n v="14.021000000000001"/>
  </r>
  <r>
    <x v="27"/>
    <d v="2011-11-02T00:00:00"/>
    <x v="6"/>
    <x v="1"/>
    <x v="1561"/>
    <x v="1"/>
    <n v="51.3"/>
    <n v="3.3809999999999998"/>
    <n v="127.859129"/>
    <n v="14.021000000000001"/>
  </r>
  <r>
    <x v="27"/>
    <d v="2011-04-03T00:00:00"/>
    <x v="5"/>
    <x v="1"/>
    <x v="1562"/>
    <x v="0"/>
    <n v="51.72"/>
    <n v="3.6739999999999999"/>
    <n v="128.26474999999999"/>
    <n v="14.021000000000001"/>
  </r>
  <r>
    <x v="27"/>
    <d v="2011-11-03T00:00:00"/>
    <x v="6"/>
    <x v="1"/>
    <x v="1563"/>
    <x v="0"/>
    <n v="57.75"/>
    <n v="3.8180000000000001"/>
    <n v="128.39949999999999"/>
    <n v="14.021000000000001"/>
  </r>
  <r>
    <x v="27"/>
    <d v="2011-01-04T00:00:00"/>
    <x v="10"/>
    <x v="1"/>
    <x v="1564"/>
    <x v="0"/>
    <n v="63.63"/>
    <n v="3.7719999999999998"/>
    <n v="128.71993549999999"/>
    <n v="13.736000000000001"/>
  </r>
  <r>
    <x v="27"/>
    <d v="2011-08-04T00:00:00"/>
    <x v="11"/>
    <x v="1"/>
    <x v="1565"/>
    <x v="0"/>
    <n v="64.47"/>
    <n v="4.0030000000000001"/>
    <n v="128.82380649999999"/>
    <n v="13.736000000000001"/>
  </r>
  <r>
    <x v="27"/>
    <d v="2011-06-05T00:00:00"/>
    <x v="7"/>
    <x v="1"/>
    <x v="1566"/>
    <x v="0"/>
    <n v="68.400000000000006"/>
    <n v="4.1929999999999996"/>
    <n v="129.04443330000001"/>
    <n v="13.736000000000001"/>
  </r>
  <r>
    <x v="27"/>
    <d v="2011-03-06T00:00:00"/>
    <x v="8"/>
    <x v="1"/>
    <x v="1567"/>
    <x v="0"/>
    <n v="71.81"/>
    <n v="4.0309999999999997"/>
    <n v="129.04903229999999"/>
    <n v="13.736000000000001"/>
  </r>
  <r>
    <x v="27"/>
    <d v="2011-10-06T00:00:00"/>
    <x v="9"/>
    <x v="1"/>
    <x v="1568"/>
    <x v="0"/>
    <n v="78.72"/>
    <n v="3.9809999999999999"/>
    <n v="129.03570970000001"/>
    <n v="13.736000000000001"/>
  </r>
  <r>
    <x v="27"/>
    <d v="2011-01-07T00:00:00"/>
    <x v="10"/>
    <x v="1"/>
    <x v="1569"/>
    <x v="0"/>
    <n v="89.85"/>
    <n v="3.8420000000000001"/>
    <n v="129.08940000000001"/>
    <n v="13.503"/>
  </r>
  <r>
    <x v="27"/>
    <d v="2011-08-07T00:00:00"/>
    <x v="11"/>
    <x v="1"/>
    <x v="1570"/>
    <x v="0"/>
    <n v="89.9"/>
    <n v="3.7050000000000001"/>
    <n v="129.11250000000001"/>
    <n v="13.503"/>
  </r>
  <r>
    <x v="27"/>
    <d v="2011-05-08T00:00:00"/>
    <x v="0"/>
    <x v="1"/>
    <x v="1571"/>
    <x v="0"/>
    <n v="90.61"/>
    <n v="3.8029999999999999"/>
    <n v="129.18464520000001"/>
    <n v="13.503"/>
  </r>
  <r>
    <x v="27"/>
    <d v="2011-12-08T00:00:00"/>
    <x v="1"/>
    <x v="1"/>
    <x v="1572"/>
    <x v="0"/>
    <n v="91.04"/>
    <n v="3.7010000000000001"/>
    <n v="129.2015806"/>
    <n v="13.503"/>
  </r>
  <r>
    <x v="27"/>
    <d v="2011-02-09T00:00:00"/>
    <x v="2"/>
    <x v="1"/>
    <x v="1573"/>
    <x v="0"/>
    <n v="93.66"/>
    <n v="3.798"/>
    <n v="129.32593550000001"/>
    <n v="13.503"/>
  </r>
  <r>
    <x v="27"/>
    <d v="2011-09-09T00:00:00"/>
    <x v="3"/>
    <x v="1"/>
    <x v="1574"/>
    <x v="1"/>
    <n v="88"/>
    <n v="3.9129999999999998"/>
    <n v="129.36861289999999"/>
    <n v="13.503"/>
  </r>
  <r>
    <x v="27"/>
    <d v="2011-07-10T00:00:00"/>
    <x v="4"/>
    <x v="1"/>
    <x v="1575"/>
    <x v="0"/>
    <n v="70.44"/>
    <n v="3.827"/>
    <n v="129.69380000000001"/>
    <n v="12.89"/>
  </r>
  <r>
    <x v="27"/>
    <d v="2011-04-11T00:00:00"/>
    <x v="5"/>
    <x v="1"/>
    <x v="1576"/>
    <x v="0"/>
    <n v="59.77"/>
    <n v="3.8279999999999998"/>
    <n v="129.8051935"/>
    <n v="12.89"/>
  </r>
  <r>
    <x v="27"/>
    <d v="2011-11-11T00:00:00"/>
    <x v="6"/>
    <x v="1"/>
    <x v="1577"/>
    <x v="0"/>
    <n v="48.76"/>
    <n v="3.8239999999999998"/>
    <n v="129.81670969999999"/>
    <n v="12.89"/>
  </r>
  <r>
    <x v="27"/>
    <d v="2011-02-12T00:00:00"/>
    <x v="2"/>
    <x v="1"/>
    <x v="1578"/>
    <x v="0"/>
    <n v="52.5"/>
    <n v="3.7010000000000001"/>
    <n v="129.84596669999999"/>
    <n v="12.89"/>
  </r>
  <r>
    <x v="27"/>
    <d v="2011-09-12T00:00:00"/>
    <x v="3"/>
    <x v="1"/>
    <x v="1579"/>
    <x v="0"/>
    <n v="42.17"/>
    <n v="3.6440000000000001"/>
    <n v="129.85553329999999"/>
    <n v="12.89"/>
  </r>
  <r>
    <x v="27"/>
    <d v="2012-06-01T00:00:00"/>
    <x v="7"/>
    <x v="2"/>
    <x v="1580"/>
    <x v="0"/>
    <n v="50.43"/>
    <n v="3.5990000000000002"/>
    <n v="130.15751610000001"/>
    <n v="12.186999999999999"/>
  </r>
  <r>
    <x v="27"/>
    <d v="2012-03-02T00:00:00"/>
    <x v="8"/>
    <x v="2"/>
    <x v="1581"/>
    <x v="0"/>
    <n v="50.58"/>
    <n v="3.702"/>
    <n v="130.34967739999999"/>
    <n v="12.186999999999999"/>
  </r>
  <r>
    <x v="27"/>
    <d v="2012-10-02T00:00:00"/>
    <x v="9"/>
    <x v="2"/>
    <x v="1582"/>
    <x v="1"/>
    <n v="52.27"/>
    <n v="3.722"/>
    <n v="130.3849032"/>
    <n v="12.186999999999999"/>
  </r>
  <r>
    <x v="27"/>
    <d v="2012-02-03T00:00:00"/>
    <x v="2"/>
    <x v="2"/>
    <x v="1583"/>
    <x v="0"/>
    <n v="52.27"/>
    <n v="4.1779999999999999"/>
    <n v="130.64579309999999"/>
    <n v="12.186999999999999"/>
  </r>
  <r>
    <x v="27"/>
    <d v="2012-09-03T00:00:00"/>
    <x v="3"/>
    <x v="2"/>
    <x v="1584"/>
    <x v="0"/>
    <n v="54.54"/>
    <n v="4.25"/>
    <n v="130.74137930000001"/>
    <n v="12.186999999999999"/>
  </r>
  <r>
    <x v="27"/>
    <d v="2012-06-04T00:00:00"/>
    <x v="7"/>
    <x v="2"/>
    <x v="1585"/>
    <x v="0"/>
    <n v="64.05"/>
    <n v="4.1210000000000004"/>
    <n v="131.03754839999999"/>
    <n v="11.627000000000001"/>
  </r>
  <r>
    <x v="27"/>
    <d v="2012-04-05T00:00:00"/>
    <x v="5"/>
    <x v="2"/>
    <x v="1586"/>
    <x v="0"/>
    <n v="76.03"/>
    <n v="4.1710000000000003"/>
    <n v="131.136"/>
    <n v="11.627000000000001"/>
  </r>
  <r>
    <x v="27"/>
    <d v="2012-11-05T00:00:00"/>
    <x v="6"/>
    <x v="2"/>
    <x v="1587"/>
    <x v="0"/>
    <n v="77.27"/>
    <n v="4.1859999999999999"/>
    <n v="131.1453333"/>
    <n v="11.627000000000001"/>
  </r>
  <r>
    <x v="27"/>
    <d v="2012-01-06T00:00:00"/>
    <x v="10"/>
    <x v="2"/>
    <x v="1588"/>
    <x v="0"/>
    <n v="78.11"/>
    <n v="4.2770000000000001"/>
    <n v="130.95922580000001"/>
    <n v="11.627000000000001"/>
  </r>
  <r>
    <x v="27"/>
    <d v="2012-08-06T00:00:00"/>
    <x v="11"/>
    <x v="2"/>
    <x v="1589"/>
    <x v="0"/>
    <n v="84.83"/>
    <n v="4.1029999999999998"/>
    <n v="130.88967740000001"/>
    <n v="11.627000000000001"/>
  </r>
  <r>
    <x v="27"/>
    <d v="2012-06-07T00:00:00"/>
    <x v="7"/>
    <x v="2"/>
    <x v="1590"/>
    <x v="0"/>
    <n v="89.13"/>
    <n v="3.7650000000000001"/>
    <n v="130.7196333"/>
    <n v="10.926"/>
  </r>
  <r>
    <x v="27"/>
    <d v="2012-03-08T00:00:00"/>
    <x v="8"/>
    <x v="2"/>
    <x v="1591"/>
    <x v="0"/>
    <n v="88.16"/>
    <n v="3.76"/>
    <n v="130.73787100000001"/>
    <n v="10.926"/>
  </r>
  <r>
    <x v="27"/>
    <d v="2012-10-08T00:00:00"/>
    <x v="9"/>
    <x v="2"/>
    <x v="1592"/>
    <x v="0"/>
    <n v="95.91"/>
    <n v="3.8109999999999999"/>
    <n v="130.7561613"/>
    <n v="10.926"/>
  </r>
  <r>
    <x v="27"/>
    <d v="2012-07-09T00:00:00"/>
    <x v="4"/>
    <x v="2"/>
    <x v="1593"/>
    <x v="1"/>
    <n v="88.52"/>
    <n v="4.1239999999999997"/>
    <n v="130.9325484"/>
    <n v="10.926"/>
  </r>
  <r>
    <x v="27"/>
    <d v="2012-05-10T00:00:00"/>
    <x v="0"/>
    <x v="2"/>
    <x v="1594"/>
    <x v="0"/>
    <n v="81.61"/>
    <n v="3.9660000000000002"/>
    <n v="131.0756667"/>
    <n v="10.199"/>
  </r>
  <r>
    <x v="27"/>
    <d v="2012-12-10T00:00:00"/>
    <x v="1"/>
    <x v="2"/>
    <x v="1595"/>
    <x v="0"/>
    <n v="71.739999999999995"/>
    <n v="4.468"/>
    <n v="131.1083333"/>
    <n v="10.199"/>
  </r>
  <r>
    <x v="28"/>
    <d v="2010-05-02T00:00:00"/>
    <x v="0"/>
    <x v="0"/>
    <x v="1596"/>
    <x v="0"/>
    <n v="24.36"/>
    <n v="2.7879999999999998"/>
    <n v="131.5279032"/>
    <n v="10.064"/>
  </r>
  <r>
    <x v="28"/>
    <d v="2010-12-02T00:00:00"/>
    <x v="1"/>
    <x v="0"/>
    <x v="1597"/>
    <x v="1"/>
    <n v="28.14"/>
    <n v="2.7709999999999999"/>
    <n v="131.58661290000001"/>
    <n v="10.064"/>
  </r>
  <r>
    <x v="28"/>
    <d v="2010-05-03T00:00:00"/>
    <x v="0"/>
    <x v="0"/>
    <x v="1598"/>
    <x v="0"/>
    <n v="36.82"/>
    <n v="2.766"/>
    <n v="131.73500000000001"/>
    <n v="10.064"/>
  </r>
  <r>
    <x v="28"/>
    <d v="2010-12-03T00:00:00"/>
    <x v="1"/>
    <x v="0"/>
    <x v="1599"/>
    <x v="0"/>
    <n v="43.43"/>
    <n v="2.8050000000000002"/>
    <n v="131.78399999999999"/>
    <n v="10.064"/>
  </r>
  <r>
    <x v="28"/>
    <d v="2010-02-04T00:00:00"/>
    <x v="2"/>
    <x v="0"/>
    <x v="1600"/>
    <x v="0"/>
    <n v="44.96"/>
    <n v="2.8260000000000001"/>
    <n v="131.9019677"/>
    <n v="10.16"/>
  </r>
  <r>
    <x v="28"/>
    <d v="2010-09-04T00:00:00"/>
    <x v="3"/>
    <x v="0"/>
    <x v="1601"/>
    <x v="0"/>
    <n v="57.06"/>
    <n v="2.8490000000000002"/>
    <n v="131.94080650000001"/>
    <n v="10.16"/>
  </r>
  <r>
    <x v="28"/>
    <d v="2010-07-05T00:00:00"/>
    <x v="4"/>
    <x v="0"/>
    <x v="1602"/>
    <x v="0"/>
    <n v="63.81"/>
    <n v="2.9809999999999999"/>
    <n v="132.1062"/>
    <n v="10.16"/>
  </r>
  <r>
    <x v="28"/>
    <d v="2010-04-06T00:00:00"/>
    <x v="5"/>
    <x v="0"/>
    <x v="1603"/>
    <x v="0"/>
    <n v="69.489999999999995"/>
    <n v="2.8570000000000002"/>
    <n v="132.36483870000001"/>
    <n v="10.16"/>
  </r>
  <r>
    <x v="28"/>
    <d v="2010-11-06T00:00:00"/>
    <x v="6"/>
    <x v="0"/>
    <x v="1604"/>
    <x v="0"/>
    <n v="65.010000000000005"/>
    <n v="2.83"/>
    <n v="132.43574190000001"/>
    <n v="10.16"/>
  </r>
  <r>
    <x v="28"/>
    <d v="2010-02-07T00:00:00"/>
    <x v="2"/>
    <x v="0"/>
    <x v="1605"/>
    <x v="0"/>
    <n v="72.88"/>
    <n v="2.8149999999999999"/>
    <n v="132.5218667"/>
    <n v="10.409000000000001"/>
  </r>
  <r>
    <x v="28"/>
    <d v="2010-09-07T00:00:00"/>
    <x v="3"/>
    <x v="0"/>
    <x v="1606"/>
    <x v="0"/>
    <n v="79.22"/>
    <n v="2.806"/>
    <n v="132.54613330000001"/>
    <n v="10.409000000000001"/>
  </r>
  <r>
    <x v="28"/>
    <d v="2010-06-08T00:00:00"/>
    <x v="7"/>
    <x v="0"/>
    <x v="1607"/>
    <x v="0"/>
    <n v="74.37"/>
    <n v="2.7919999999999998"/>
    <n v="132.6141935"/>
    <n v="10.409000000000001"/>
  </r>
  <r>
    <x v="28"/>
    <d v="2010-03-09T00:00:00"/>
    <x v="8"/>
    <x v="0"/>
    <x v="1608"/>
    <x v="0"/>
    <n v="75.849999999999994"/>
    <n v="2.7349999999999999"/>
    <n v="132.72483869999999"/>
    <n v="10.409000000000001"/>
  </r>
  <r>
    <x v="28"/>
    <d v="2010-10-09T00:00:00"/>
    <x v="9"/>
    <x v="0"/>
    <x v="1609"/>
    <x v="1"/>
    <n v="68.599999999999994"/>
    <n v="2.7170000000000001"/>
    <n v="132.75645159999999"/>
    <n v="10.409000000000001"/>
  </r>
  <r>
    <x v="28"/>
    <d v="2010-01-10T00:00:00"/>
    <x v="10"/>
    <x v="0"/>
    <x v="1610"/>
    <x v="0"/>
    <n v="69.31"/>
    <n v="2.7170000000000001"/>
    <n v="132.7568"/>
    <n v="10.523999999999999"/>
  </r>
  <r>
    <x v="28"/>
    <d v="2010-08-10T00:00:00"/>
    <x v="11"/>
    <x v="0"/>
    <x v="1611"/>
    <x v="0"/>
    <n v="56.32"/>
    <n v="2.7759999999999998"/>
    <n v="132.75166669999999"/>
    <n v="10.523999999999999"/>
  </r>
  <r>
    <x v="28"/>
    <d v="2010-05-11T00:00:00"/>
    <x v="0"/>
    <x v="0"/>
    <x v="1612"/>
    <x v="0"/>
    <n v="44.34"/>
    <n v="2.9380000000000002"/>
    <n v="132.92458060000001"/>
    <n v="10.523999999999999"/>
  </r>
  <r>
    <x v="28"/>
    <d v="2010-12-11T00:00:00"/>
    <x v="1"/>
    <x v="0"/>
    <x v="1613"/>
    <x v="0"/>
    <n v="44.42"/>
    <n v="2.9609999999999999"/>
    <n v="132.97832260000001"/>
    <n v="10.523999999999999"/>
  </r>
  <r>
    <x v="28"/>
    <d v="2010-03-12T00:00:00"/>
    <x v="8"/>
    <x v="0"/>
    <x v="1614"/>
    <x v="0"/>
    <n v="39.42"/>
    <n v="3.0649999999999999"/>
    <n v="132.75666670000001"/>
    <n v="10.523999999999999"/>
  </r>
  <r>
    <x v="28"/>
    <d v="2010-10-12T00:00:00"/>
    <x v="9"/>
    <x v="0"/>
    <x v="1615"/>
    <x v="0"/>
    <n v="28.43"/>
    <n v="3.1320000000000001"/>
    <n v="132.6764"/>
    <n v="10.523999999999999"/>
  </r>
  <r>
    <x v="28"/>
    <d v="2011-07-01T00:00:00"/>
    <x v="4"/>
    <x v="1"/>
    <x v="1616"/>
    <x v="0"/>
    <n v="32.56"/>
    <n v="3.1930000000000001"/>
    <n v="132.88232260000001"/>
    <n v="10.256"/>
  </r>
  <r>
    <x v="28"/>
    <d v="2011-04-02T00:00:00"/>
    <x v="5"/>
    <x v="1"/>
    <x v="1617"/>
    <x v="0"/>
    <n v="26.39"/>
    <n v="3.24"/>
    <n v="133.18341939999999"/>
    <n v="10.256"/>
  </r>
  <r>
    <x v="28"/>
    <d v="2011-11-02T00:00:00"/>
    <x v="6"/>
    <x v="1"/>
    <x v="1618"/>
    <x v="1"/>
    <n v="28.89"/>
    <n v="3.2549999999999999"/>
    <n v="133.26087100000001"/>
    <n v="10.256"/>
  </r>
  <r>
    <x v="28"/>
    <d v="2011-04-03T00:00:00"/>
    <x v="5"/>
    <x v="1"/>
    <x v="1619"/>
    <x v="0"/>
    <n v="33.520000000000003"/>
    <n v="3.4369999999999998"/>
    <n v="133.61414289999999"/>
    <n v="10.256"/>
  </r>
  <r>
    <x v="28"/>
    <d v="2011-11-03T00:00:00"/>
    <x v="6"/>
    <x v="1"/>
    <x v="1620"/>
    <x v="0"/>
    <n v="41.42"/>
    <n v="3.6"/>
    <n v="133.7361429"/>
    <n v="10.256"/>
  </r>
  <r>
    <x v="28"/>
    <d v="2011-01-04T00:00:00"/>
    <x v="10"/>
    <x v="1"/>
    <x v="1621"/>
    <x v="0"/>
    <n v="36.04"/>
    <n v="3.6379999999999999"/>
    <n v="134.06825810000001"/>
    <n v="9.9659999999999993"/>
  </r>
  <r>
    <x v="28"/>
    <d v="2011-08-04T00:00:00"/>
    <x v="11"/>
    <x v="1"/>
    <x v="1622"/>
    <x v="0"/>
    <n v="44.42"/>
    <n v="3.72"/>
    <n v="134.17777419999999"/>
    <n v="9.9659999999999993"/>
  </r>
  <r>
    <x v="28"/>
    <d v="2011-06-05T00:00:00"/>
    <x v="7"/>
    <x v="1"/>
    <x v="1623"/>
    <x v="0"/>
    <n v="53.63"/>
    <n v="4.0780000000000003"/>
    <n v="134.51436670000001"/>
    <n v="9.9659999999999993"/>
  </r>
  <r>
    <x v="28"/>
    <d v="2011-03-06T00:00:00"/>
    <x v="8"/>
    <x v="1"/>
    <x v="1624"/>
    <x v="0"/>
    <n v="70.09"/>
    <n v="3.9729999999999999"/>
    <n v="134.85516129999999"/>
    <n v="9.9659999999999993"/>
  </r>
  <r>
    <x v="28"/>
    <d v="2011-10-06T00:00:00"/>
    <x v="9"/>
    <x v="1"/>
    <x v="1625"/>
    <x v="0"/>
    <n v="69.53"/>
    <n v="3.9239999999999999"/>
    <n v="134.94254839999999"/>
    <n v="9.9659999999999993"/>
  </r>
  <r>
    <x v="28"/>
    <d v="2011-01-07T00:00:00"/>
    <x v="10"/>
    <x v="1"/>
    <x v="1626"/>
    <x v="0"/>
    <n v="70.8"/>
    <n v="3.8149999999999999"/>
    <n v="135.4468"/>
    <n v="9.8629999999999995"/>
  </r>
  <r>
    <x v="28"/>
    <d v="2011-08-07T00:00:00"/>
    <x v="11"/>
    <x v="1"/>
    <x v="1627"/>
    <x v="0"/>
    <n v="74.22"/>
    <n v="3.7839999999999998"/>
    <n v="135.62833330000001"/>
    <n v="9.8629999999999995"/>
  </r>
  <r>
    <x v="28"/>
    <d v="2011-05-08T00:00:00"/>
    <x v="0"/>
    <x v="1"/>
    <x v="1628"/>
    <x v="0"/>
    <n v="75.33"/>
    <n v="3.903"/>
    <n v="136.05403229999999"/>
    <n v="9.8629999999999995"/>
  </r>
  <r>
    <x v="28"/>
    <d v="2011-12-08T00:00:00"/>
    <x v="1"/>
    <x v="1"/>
    <x v="1629"/>
    <x v="0"/>
    <n v="74.69"/>
    <n v="3.88"/>
    <n v="136.14412899999999"/>
    <n v="9.8629999999999995"/>
  </r>
  <r>
    <x v="28"/>
    <d v="2011-02-09T00:00:00"/>
    <x v="2"/>
    <x v="1"/>
    <x v="1630"/>
    <x v="0"/>
    <n v="69.16"/>
    <n v="3.7839999999999998"/>
    <n v="136.24409679999999"/>
    <n v="9.8629999999999995"/>
  </r>
  <r>
    <x v="28"/>
    <d v="2011-09-09T00:00:00"/>
    <x v="3"/>
    <x v="1"/>
    <x v="1631"/>
    <x v="1"/>
    <n v="69.14"/>
    <n v="3.8090000000000002"/>
    <n v="136.27458060000001"/>
    <n v="9.8629999999999995"/>
  </r>
  <r>
    <x v="28"/>
    <d v="2011-07-10T00:00:00"/>
    <x v="4"/>
    <x v="1"/>
    <x v="1632"/>
    <x v="0"/>
    <n v="56.44"/>
    <n v="3.633"/>
    <n v="136.47200000000001"/>
    <n v="9.3569999999999993"/>
  </r>
  <r>
    <x v="28"/>
    <d v="2011-04-11T00:00:00"/>
    <x v="5"/>
    <x v="1"/>
    <x v="1633"/>
    <x v="0"/>
    <n v="42.81"/>
    <n v="3.5859999999999999"/>
    <n v="136.47512900000001"/>
    <n v="9.3569999999999993"/>
  </r>
  <r>
    <x v="28"/>
    <d v="2011-11-11T00:00:00"/>
    <x v="6"/>
    <x v="1"/>
    <x v="1634"/>
    <x v="0"/>
    <n v="47.8"/>
    <n v="3.57"/>
    <n v="136.46180649999999"/>
    <n v="9.3569999999999993"/>
  </r>
  <r>
    <x v="28"/>
    <d v="2011-02-12T00:00:00"/>
    <x v="2"/>
    <x v="1"/>
    <x v="1635"/>
    <x v="0"/>
    <n v="49.11"/>
    <n v="3.5009999999999999"/>
    <n v="136.49093329999999"/>
    <n v="9.3569999999999993"/>
  </r>
  <r>
    <x v="28"/>
    <d v="2011-09-12T00:00:00"/>
    <x v="3"/>
    <x v="1"/>
    <x v="1636"/>
    <x v="0"/>
    <n v="45.35"/>
    <n v="3.47"/>
    <n v="136.50306670000001"/>
    <n v="9.3569999999999993"/>
  </r>
  <r>
    <x v="28"/>
    <d v="2012-06-01T00:00:00"/>
    <x v="7"/>
    <x v="2"/>
    <x v="1637"/>
    <x v="0"/>
    <n v="34.61"/>
    <n v="3.4390000000000001"/>
    <n v="136.69812899999999"/>
    <n v="8.9879999999999995"/>
  </r>
  <r>
    <x v="28"/>
    <d v="2012-03-02T00:00:00"/>
    <x v="8"/>
    <x v="2"/>
    <x v="1638"/>
    <x v="0"/>
    <n v="40.58"/>
    <n v="3.633"/>
    <n v="137.06325810000001"/>
    <n v="8.9879999999999995"/>
  </r>
  <r>
    <x v="28"/>
    <d v="2012-10-02T00:00:00"/>
    <x v="9"/>
    <x v="2"/>
    <x v="1639"/>
    <x v="1"/>
    <n v="35.68"/>
    <n v="3.6549999999999998"/>
    <n v="137.1666774"/>
    <n v="8.9879999999999995"/>
  </r>
  <r>
    <x v="28"/>
    <d v="2012-02-03T00:00:00"/>
    <x v="2"/>
    <x v="2"/>
    <x v="1640"/>
    <x v="0"/>
    <n v="37.47"/>
    <n v="3.827"/>
    <n v="137.42389660000001"/>
    <n v="8.9879999999999995"/>
  </r>
  <r>
    <x v="28"/>
    <d v="2012-09-03T00:00:00"/>
    <x v="3"/>
    <x v="2"/>
    <x v="1641"/>
    <x v="0"/>
    <n v="41.72"/>
    <n v="3.8759999999999999"/>
    <n v="137.50668970000001"/>
    <n v="8.9879999999999995"/>
  </r>
  <r>
    <x v="28"/>
    <d v="2012-06-04T00:00:00"/>
    <x v="7"/>
    <x v="2"/>
    <x v="1642"/>
    <x v="0"/>
    <n v="46.38"/>
    <n v="3.9569999999999999"/>
    <n v="137.79709679999999"/>
    <n v="9.14"/>
  </r>
  <r>
    <x v="28"/>
    <d v="2012-04-05T00:00:00"/>
    <x v="5"/>
    <x v="2"/>
    <x v="1643"/>
    <x v="0"/>
    <n v="50.75"/>
    <n v="3.9910000000000001"/>
    <n v="138.03319999999999"/>
    <n v="9.14"/>
  </r>
  <r>
    <x v="28"/>
    <d v="2012-11-05T00:00:00"/>
    <x v="6"/>
    <x v="2"/>
    <x v="1644"/>
    <x v="0"/>
    <n v="56.72"/>
    <n v="3.9470000000000001"/>
    <n v="138.08826669999999"/>
    <n v="9.14"/>
  </r>
  <r>
    <x v="28"/>
    <d v="2012-01-06T00:00:00"/>
    <x v="10"/>
    <x v="2"/>
    <x v="1645"/>
    <x v="0"/>
    <n v="70.010000000000005"/>
    <n v="3.798"/>
    <n v="138.11380650000001"/>
    <n v="9.14"/>
  </r>
  <r>
    <x v="28"/>
    <d v="2012-08-06T00:00:00"/>
    <x v="11"/>
    <x v="2"/>
    <x v="1646"/>
    <x v="0"/>
    <n v="61.71"/>
    <n v="3.746"/>
    <n v="138.11741939999999"/>
    <n v="9.14"/>
  </r>
  <r>
    <x v="28"/>
    <d v="2012-06-07T00:00:00"/>
    <x v="7"/>
    <x v="2"/>
    <x v="1647"/>
    <x v="0"/>
    <n v="77.41"/>
    <n v="3.5379999999999998"/>
    <n v="138.22963329999999"/>
    <n v="9.4190000000000005"/>
  </r>
  <r>
    <x v="28"/>
    <d v="2012-03-08T00:00:00"/>
    <x v="8"/>
    <x v="2"/>
    <x v="1648"/>
    <x v="0"/>
    <n v="72.989999999999995"/>
    <n v="3.698"/>
    <n v="138.17358060000001"/>
    <n v="9.4190000000000005"/>
  </r>
  <r>
    <x v="28"/>
    <d v="2012-10-08T00:00:00"/>
    <x v="9"/>
    <x v="2"/>
    <x v="1649"/>
    <x v="0"/>
    <n v="76.739999999999995"/>
    <n v="3.7719999999999998"/>
    <n v="138.1437742"/>
    <n v="9.4190000000000005"/>
  </r>
  <r>
    <x v="28"/>
    <d v="2012-07-09T00:00:00"/>
    <x v="4"/>
    <x v="2"/>
    <x v="1650"/>
    <x v="1"/>
    <n v="73.3"/>
    <n v="3.9209999999999998"/>
    <n v="138.47293550000001"/>
    <n v="9.4190000000000005"/>
  </r>
  <r>
    <x v="28"/>
    <d v="2012-05-10T00:00:00"/>
    <x v="0"/>
    <x v="2"/>
    <x v="1651"/>
    <x v="0"/>
    <n v="62.09"/>
    <n v="4.0270000000000001"/>
    <n v="138.82560000000001"/>
    <n v="9.1509999999999998"/>
  </r>
  <r>
    <x v="28"/>
    <d v="2012-12-10T00:00:00"/>
    <x v="1"/>
    <x v="2"/>
    <x v="1652"/>
    <x v="0"/>
    <n v="54.18"/>
    <n v="4.0289999999999999"/>
    <n v="138.9117"/>
    <n v="9.1509999999999998"/>
  </r>
  <r>
    <x v="29"/>
    <d v="2010-05-02T00:00:00"/>
    <x v="0"/>
    <x v="0"/>
    <x v="1653"/>
    <x v="0"/>
    <n v="39.049999999999997"/>
    <n v="2.5720000000000001"/>
    <n v="210.7526053"/>
    <n v="8.3239999999999998"/>
  </r>
  <r>
    <x v="29"/>
    <d v="2010-12-02T00:00:00"/>
    <x v="1"/>
    <x v="0"/>
    <x v="1654"/>
    <x v="1"/>
    <n v="37.770000000000003"/>
    <n v="2.548"/>
    <n v="210.89799350000001"/>
    <n v="8.3239999999999998"/>
  </r>
  <r>
    <x v="29"/>
    <d v="2010-05-03T00:00:00"/>
    <x v="0"/>
    <x v="0"/>
    <x v="1655"/>
    <x v="0"/>
    <n v="48.61"/>
    <n v="2.625"/>
    <n v="211.00675419999999"/>
    <n v="8.3239999999999998"/>
  </r>
  <r>
    <x v="29"/>
    <d v="2010-12-03T00:00:00"/>
    <x v="1"/>
    <x v="0"/>
    <x v="1656"/>
    <x v="0"/>
    <n v="57.1"/>
    <n v="2.6669999999999998"/>
    <n v="211.03755100000001"/>
    <n v="8.3239999999999998"/>
  </r>
  <r>
    <x v="29"/>
    <d v="2010-02-04T00:00:00"/>
    <x v="2"/>
    <x v="0"/>
    <x v="1657"/>
    <x v="0"/>
    <n v="64.12"/>
    <n v="2.7189999999999999"/>
    <n v="210.4798874"/>
    <n v="8.1999999999999993"/>
  </r>
  <r>
    <x v="29"/>
    <d v="2010-09-04T00:00:00"/>
    <x v="3"/>
    <x v="0"/>
    <x v="1658"/>
    <x v="0"/>
    <n v="65.739999999999995"/>
    <n v="2.77"/>
    <n v="210.28316530000001"/>
    <n v="8.1999999999999993"/>
  </r>
  <r>
    <x v="29"/>
    <d v="2010-07-05T00:00:00"/>
    <x v="4"/>
    <x v="0"/>
    <x v="1659"/>
    <x v="0"/>
    <n v="70.87"/>
    <n v="2.835"/>
    <n v="210.00110179999999"/>
    <n v="8.1999999999999993"/>
  </r>
  <r>
    <x v="29"/>
    <d v="2010-04-06T00:00:00"/>
    <x v="5"/>
    <x v="0"/>
    <x v="1660"/>
    <x v="0"/>
    <n v="82.68"/>
    <n v="2.7050000000000001"/>
    <n v="210.83361600000001"/>
    <n v="8.1999999999999993"/>
  </r>
  <r>
    <x v="29"/>
    <d v="2010-11-06T00:00:00"/>
    <x v="6"/>
    <x v="0"/>
    <x v="1661"/>
    <x v="0"/>
    <n v="83.51"/>
    <n v="2.6680000000000001"/>
    <n v="211.1120018"/>
    <n v="8.1999999999999993"/>
  </r>
  <r>
    <x v="29"/>
    <d v="2010-02-07T00:00:00"/>
    <x v="2"/>
    <x v="0"/>
    <x v="1662"/>
    <x v="0"/>
    <n v="82.29"/>
    <n v="2.669"/>
    <n v="210.88037259999999"/>
    <n v="8.0990000000000002"/>
  </r>
  <r>
    <x v="29"/>
    <d v="2010-09-07T00:00:00"/>
    <x v="3"/>
    <x v="0"/>
    <x v="1663"/>
    <x v="0"/>
    <n v="81.67"/>
    <n v="2.6419999999999999"/>
    <n v="210.7657317"/>
    <n v="8.0990000000000002"/>
  </r>
  <r>
    <x v="29"/>
    <d v="2010-06-08T00:00:00"/>
    <x v="7"/>
    <x v="0"/>
    <x v="1664"/>
    <x v="0"/>
    <n v="90.3"/>
    <n v="2.6269999999999998"/>
    <n v="211.16080489999999"/>
    <n v="8.0990000000000002"/>
  </r>
  <r>
    <x v="29"/>
    <d v="2010-03-09T00:00:00"/>
    <x v="8"/>
    <x v="0"/>
    <x v="1665"/>
    <x v="0"/>
    <n v="82.57"/>
    <n v="2.577"/>
    <n v="211.18869309999999"/>
    <n v="8.0990000000000002"/>
  </r>
  <r>
    <x v="29"/>
    <d v="2010-10-09T00:00:00"/>
    <x v="9"/>
    <x v="0"/>
    <x v="1666"/>
    <x v="1"/>
    <n v="79.3"/>
    <n v="2.5649999999999999"/>
    <n v="211.15321040000001"/>
    <n v="8.0990000000000002"/>
  </r>
  <r>
    <x v="29"/>
    <d v="2010-01-10T00:00:00"/>
    <x v="10"/>
    <x v="0"/>
    <x v="1667"/>
    <x v="0"/>
    <n v="70.28"/>
    <n v="2.6030000000000002"/>
    <n v="211.32987420000001"/>
    <n v="8.1630000000000003"/>
  </r>
  <r>
    <x v="29"/>
    <d v="2010-08-10T00:00:00"/>
    <x v="11"/>
    <x v="0"/>
    <x v="1668"/>
    <x v="0"/>
    <n v="65.760000000000005"/>
    <n v="2.633"/>
    <n v="211.4044906"/>
    <n v="8.1630000000000003"/>
  </r>
  <r>
    <x v="29"/>
    <d v="2010-05-11T00:00:00"/>
    <x v="0"/>
    <x v="0"/>
    <x v="1669"/>
    <x v="0"/>
    <n v="58.71"/>
    <n v="2.6890000000000001"/>
    <n v="211.61350530000001"/>
    <n v="8.1630000000000003"/>
  </r>
  <r>
    <x v="29"/>
    <d v="2010-12-11T00:00:00"/>
    <x v="1"/>
    <x v="0"/>
    <x v="1670"/>
    <x v="0"/>
    <n v="60.95"/>
    <n v="2.7280000000000002"/>
    <n v="211.6608975"/>
    <n v="8.1630000000000003"/>
  </r>
  <r>
    <x v="29"/>
    <d v="2010-03-12T00:00:00"/>
    <x v="8"/>
    <x v="0"/>
    <x v="1671"/>
    <x v="0"/>
    <n v="50.43"/>
    <n v="2.7080000000000002"/>
    <n v="211.26554300000001"/>
    <n v="8.1630000000000003"/>
  </r>
  <r>
    <x v="29"/>
    <d v="2010-10-12T00:00:00"/>
    <x v="9"/>
    <x v="0"/>
    <x v="1672"/>
    <x v="0"/>
    <n v="46.35"/>
    <n v="2.843"/>
    <n v="211.12479930000001"/>
    <n v="8.1630000000000003"/>
  </r>
  <r>
    <x v="29"/>
    <d v="2011-07-01T00:00:00"/>
    <x v="4"/>
    <x v="1"/>
    <x v="1673"/>
    <x v="0"/>
    <n v="44.24"/>
    <n v="2.976"/>
    <n v="211.06488809999999"/>
    <n v="8.0280000000000005"/>
  </r>
  <r>
    <x v="29"/>
    <d v="2011-04-02T00:00:00"/>
    <x v="5"/>
    <x v="1"/>
    <x v="1674"/>
    <x v="0"/>
    <n v="36.33"/>
    <n v="2.9889999999999999"/>
    <n v="212.22406459999999"/>
    <n v="8.0280000000000005"/>
  </r>
  <r>
    <x v="29"/>
    <d v="2011-11-02T00:00:00"/>
    <x v="6"/>
    <x v="1"/>
    <x v="1675"/>
    <x v="1"/>
    <n v="34.61"/>
    <n v="3.0219999999999998"/>
    <n v="212.5928624"/>
    <n v="8.0280000000000005"/>
  </r>
  <r>
    <x v="29"/>
    <d v="2011-04-03T00:00:00"/>
    <x v="5"/>
    <x v="1"/>
    <x v="1676"/>
    <x v="0"/>
    <n v="59.52"/>
    <n v="3.2879999999999998"/>
    <n v="213.4775305"/>
    <n v="8.0280000000000005"/>
  </r>
  <r>
    <x v="29"/>
    <d v="2011-11-03T00:00:00"/>
    <x v="6"/>
    <x v="1"/>
    <x v="1677"/>
    <x v="0"/>
    <n v="54.69"/>
    <n v="3.4590000000000001"/>
    <n v="213.76464010000001"/>
    <n v="8.0280000000000005"/>
  </r>
  <r>
    <x v="29"/>
    <d v="2011-01-04T00:00:00"/>
    <x v="10"/>
    <x v="1"/>
    <x v="1678"/>
    <x v="0"/>
    <n v="56.36"/>
    <n v="3.524"/>
    <n v="214.4886908"/>
    <n v="7.931"/>
  </r>
  <r>
    <x v="29"/>
    <d v="2011-08-04T00:00:00"/>
    <x v="11"/>
    <x v="1"/>
    <x v="1679"/>
    <x v="0"/>
    <n v="68.62"/>
    <n v="3.6219999999999999"/>
    <n v="214.72522420000001"/>
    <n v="7.931"/>
  </r>
  <r>
    <x v="29"/>
    <d v="2011-06-05T00:00:00"/>
    <x v="7"/>
    <x v="1"/>
    <x v="1680"/>
    <x v="0"/>
    <n v="61.87"/>
    <n v="3.9060000000000001"/>
    <n v="215.44487090000001"/>
    <n v="7.931"/>
  </r>
  <r>
    <x v="29"/>
    <d v="2011-03-06T00:00:00"/>
    <x v="8"/>
    <x v="1"/>
    <x v="1681"/>
    <x v="0"/>
    <n v="83.82"/>
    <n v="3.6989999999999998"/>
    <n v="214.92548650000001"/>
    <n v="7.931"/>
  </r>
  <r>
    <x v="29"/>
    <d v="2011-10-06T00:00:00"/>
    <x v="9"/>
    <x v="1"/>
    <x v="1682"/>
    <x v="0"/>
    <n v="84.71"/>
    <n v="3.6480000000000001"/>
    <n v="214.69649079999999"/>
    <n v="7.931"/>
  </r>
  <r>
    <x v="29"/>
    <d v="2011-01-07T00:00:00"/>
    <x v="10"/>
    <x v="1"/>
    <x v="1683"/>
    <x v="0"/>
    <n v="87.57"/>
    <n v="3.524"/>
    <n v="214.83686779999999"/>
    <n v="7.8520000000000003"/>
  </r>
  <r>
    <x v="29"/>
    <d v="2011-08-07T00:00:00"/>
    <x v="11"/>
    <x v="1"/>
    <x v="1684"/>
    <x v="0"/>
    <n v="89.16"/>
    <n v="3.48"/>
    <n v="214.92962489999999"/>
    <n v="7.8520000000000003"/>
  </r>
  <r>
    <x v="29"/>
    <d v="2011-05-08T00:00:00"/>
    <x v="0"/>
    <x v="1"/>
    <x v="1685"/>
    <x v="0"/>
    <n v="94.22"/>
    <n v="3.6840000000000002"/>
    <n v="215.19785150000001"/>
    <n v="7.8520000000000003"/>
  </r>
  <r>
    <x v="29"/>
    <d v="2011-12-08T00:00:00"/>
    <x v="1"/>
    <x v="1"/>
    <x v="1686"/>
    <x v="0"/>
    <n v="92.32"/>
    <n v="3.6379999999999999"/>
    <n v="215.25932109999999"/>
    <n v="7.8520000000000003"/>
  </r>
  <r>
    <x v="29"/>
    <d v="2011-02-09T00:00:00"/>
    <x v="2"/>
    <x v="1"/>
    <x v="1687"/>
    <x v="0"/>
    <n v="91.94"/>
    <n v="3.5329999999999999"/>
    <n v="215.45086319999999"/>
    <n v="7.8520000000000003"/>
  </r>
  <r>
    <x v="29"/>
    <d v="2011-09-09T00:00:00"/>
    <x v="3"/>
    <x v="1"/>
    <x v="1688"/>
    <x v="1"/>
    <n v="78.87"/>
    <n v="3.5459999999999998"/>
    <n v="215.51482949999999"/>
    <n v="7.8520000000000003"/>
  </r>
  <r>
    <x v="29"/>
    <d v="2011-07-10T00:00:00"/>
    <x v="4"/>
    <x v="1"/>
    <x v="1689"/>
    <x v="0"/>
    <n v="71.64"/>
    <n v="3.2850000000000001"/>
    <n v="216.69583109999999"/>
    <n v="7.4409999999999998"/>
  </r>
  <r>
    <x v="29"/>
    <d v="2011-04-11T00:00:00"/>
    <x v="5"/>
    <x v="1"/>
    <x v="1690"/>
    <x v="0"/>
    <n v="56.01"/>
    <n v="3.3319999999999999"/>
    <n v="217.48536050000001"/>
    <n v="7.4409999999999998"/>
  </r>
  <r>
    <x v="29"/>
    <d v="2011-11-11T00:00:00"/>
    <x v="6"/>
    <x v="1"/>
    <x v="1691"/>
    <x v="0"/>
    <n v="59.8"/>
    <n v="3.2970000000000002"/>
    <n v="217.6455387"/>
    <n v="7.4409999999999998"/>
  </r>
  <r>
    <x v="29"/>
    <d v="2011-02-12T00:00:00"/>
    <x v="2"/>
    <x v="1"/>
    <x v="1692"/>
    <x v="0"/>
    <n v="48.72"/>
    <n v="3.1720000000000002"/>
    <n v="218.35903189999999"/>
    <n v="7.4409999999999998"/>
  </r>
  <r>
    <x v="29"/>
    <d v="2011-09-12T00:00:00"/>
    <x v="3"/>
    <x v="1"/>
    <x v="1693"/>
    <x v="0"/>
    <n v="41.44"/>
    <n v="3.1579999999999999"/>
    <n v="218.60503700000001"/>
    <n v="7.4409999999999998"/>
  </r>
  <r>
    <x v="29"/>
    <d v="2012-06-01T00:00:00"/>
    <x v="7"/>
    <x v="2"/>
    <x v="1694"/>
    <x v="0"/>
    <n v="48.1"/>
    <n v="3.157"/>
    <n v="219.355063"/>
    <n v="7.0570000000000004"/>
  </r>
  <r>
    <x v="29"/>
    <d v="2012-03-02T00:00:00"/>
    <x v="8"/>
    <x v="2"/>
    <x v="1695"/>
    <x v="0"/>
    <n v="55.83"/>
    <n v="3.36"/>
    <n v="219.81188539999999"/>
    <n v="7.0570000000000004"/>
  </r>
  <r>
    <x v="29"/>
    <d v="2012-10-02T00:00:00"/>
    <x v="9"/>
    <x v="2"/>
    <x v="1696"/>
    <x v="1"/>
    <n v="46.52"/>
    <n v="3.4089999999999998"/>
    <n v="219.90490729999999"/>
    <n v="7.0570000000000004"/>
  </r>
  <r>
    <x v="29"/>
    <d v="2012-02-03T00:00:00"/>
    <x v="2"/>
    <x v="2"/>
    <x v="1697"/>
    <x v="0"/>
    <n v="59.3"/>
    <n v="3.63"/>
    <n v="220.48668860000001"/>
    <n v="7.0570000000000004"/>
  </r>
  <r>
    <x v="29"/>
    <d v="2012-09-03T00:00:00"/>
    <x v="3"/>
    <x v="2"/>
    <x v="1698"/>
    <x v="0"/>
    <n v="57.16"/>
    <n v="3.669"/>
    <n v="220.69743320000001"/>
    <n v="7.0570000000000004"/>
  </r>
  <r>
    <x v="29"/>
    <d v="2012-06-04T00:00:00"/>
    <x v="7"/>
    <x v="2"/>
    <x v="1699"/>
    <x v="0"/>
    <n v="69.02"/>
    <n v="3.891"/>
    <n v="221.07376379999999"/>
    <n v="6.891"/>
  </r>
  <r>
    <x v="29"/>
    <d v="2012-04-05T00:00:00"/>
    <x v="5"/>
    <x v="2"/>
    <x v="1700"/>
    <x v="0"/>
    <n v="77.53"/>
    <n v="3.7490000000000001"/>
    <n v="221.30951659999999"/>
    <n v="6.891"/>
  </r>
  <r>
    <x v="29"/>
    <d v="2012-11-05T00:00:00"/>
    <x v="6"/>
    <x v="2"/>
    <x v="1701"/>
    <x v="0"/>
    <n v="74.14"/>
    <n v="3.6880000000000002"/>
    <n v="221.3632212"/>
    <n v="6.891"/>
  </r>
  <r>
    <x v="29"/>
    <d v="2012-01-06T00:00:00"/>
    <x v="10"/>
    <x v="2"/>
    <x v="1702"/>
    <x v="0"/>
    <n v="79.239999999999995"/>
    <n v="3.5009999999999999"/>
    <n v="221.38527479999999"/>
    <n v="6.891"/>
  </r>
  <r>
    <x v="29"/>
    <d v="2012-08-06T00:00:00"/>
    <x v="11"/>
    <x v="2"/>
    <x v="1703"/>
    <x v="0"/>
    <n v="79.47"/>
    <n v="3.452"/>
    <n v="221.38774670000001"/>
    <n v="6.891"/>
  </r>
  <r>
    <x v="29"/>
    <d v="2012-06-07T00:00:00"/>
    <x v="7"/>
    <x v="2"/>
    <x v="1704"/>
    <x v="0"/>
    <n v="85.26"/>
    <n v="3.2269999999999999"/>
    <n v="221.52150639999999"/>
    <n v="6.5650000000000004"/>
  </r>
  <r>
    <x v="29"/>
    <d v="2012-03-08T00:00:00"/>
    <x v="8"/>
    <x v="2"/>
    <x v="1705"/>
    <x v="0"/>
    <n v="91.57"/>
    <n v="3.4169999999999998"/>
    <n v="221.58697989999999"/>
    <n v="6.5650000000000004"/>
  </r>
  <r>
    <x v="29"/>
    <d v="2012-10-08T00:00:00"/>
    <x v="9"/>
    <x v="2"/>
    <x v="1706"/>
    <x v="0"/>
    <n v="89.57"/>
    <n v="3.4940000000000002"/>
    <n v="221.59541379999999"/>
    <n v="6.5650000000000004"/>
  </r>
  <r>
    <x v="29"/>
    <d v="2012-07-09T00:00:00"/>
    <x v="4"/>
    <x v="2"/>
    <x v="1707"/>
    <x v="1"/>
    <n v="88.4"/>
    <n v="3.73"/>
    <n v="222.07476349999999"/>
    <n v="6.5650000000000004"/>
  </r>
  <r>
    <x v="29"/>
    <d v="2012-05-10T00:00:00"/>
    <x v="0"/>
    <x v="2"/>
    <x v="1708"/>
    <x v="0"/>
    <n v="70.28"/>
    <n v="3.617"/>
    <n v="222.8159296"/>
    <n v="6.17"/>
  </r>
  <r>
    <x v="29"/>
    <d v="2012-12-10T00:00:00"/>
    <x v="1"/>
    <x v="2"/>
    <x v="1709"/>
    <x v="0"/>
    <n v="61.53"/>
    <n v="3.601"/>
    <n v="223.0154263"/>
    <n v="6.17"/>
  </r>
  <r>
    <x v="30"/>
    <d v="2010-05-02T00:00:00"/>
    <x v="0"/>
    <x v="0"/>
    <x v="1710"/>
    <x v="0"/>
    <n v="39.049999999999997"/>
    <n v="2.5720000000000001"/>
    <n v="210.7526053"/>
    <n v="8.3239999999999998"/>
  </r>
  <r>
    <x v="30"/>
    <d v="2010-12-02T00:00:00"/>
    <x v="1"/>
    <x v="0"/>
    <x v="1711"/>
    <x v="1"/>
    <n v="37.770000000000003"/>
    <n v="2.548"/>
    <n v="210.89799350000001"/>
    <n v="8.3239999999999998"/>
  </r>
  <r>
    <x v="30"/>
    <d v="2010-05-03T00:00:00"/>
    <x v="0"/>
    <x v="0"/>
    <x v="1712"/>
    <x v="0"/>
    <n v="48.61"/>
    <n v="2.625"/>
    <n v="211.00675419999999"/>
    <n v="8.3239999999999998"/>
  </r>
  <r>
    <x v="30"/>
    <d v="2010-12-03T00:00:00"/>
    <x v="1"/>
    <x v="0"/>
    <x v="1713"/>
    <x v="0"/>
    <n v="57.1"/>
    <n v="2.6669999999999998"/>
    <n v="211.03755100000001"/>
    <n v="8.3239999999999998"/>
  </r>
  <r>
    <x v="30"/>
    <d v="2010-02-04T00:00:00"/>
    <x v="2"/>
    <x v="0"/>
    <x v="1714"/>
    <x v="0"/>
    <n v="64.12"/>
    <n v="2.7189999999999999"/>
    <n v="210.4798874"/>
    <n v="8.1999999999999993"/>
  </r>
  <r>
    <x v="30"/>
    <d v="2010-09-04T00:00:00"/>
    <x v="3"/>
    <x v="0"/>
    <x v="1715"/>
    <x v="0"/>
    <n v="65.739999999999995"/>
    <n v="2.77"/>
    <n v="210.28316530000001"/>
    <n v="8.1999999999999993"/>
  </r>
  <r>
    <x v="30"/>
    <d v="2010-07-05T00:00:00"/>
    <x v="4"/>
    <x v="0"/>
    <x v="1716"/>
    <x v="0"/>
    <n v="70.87"/>
    <n v="2.835"/>
    <n v="210.00110179999999"/>
    <n v="8.1999999999999993"/>
  </r>
  <r>
    <x v="30"/>
    <d v="2010-04-06T00:00:00"/>
    <x v="5"/>
    <x v="0"/>
    <x v="1717"/>
    <x v="0"/>
    <n v="82.68"/>
    <n v="2.7050000000000001"/>
    <n v="210.83361600000001"/>
    <n v="8.1999999999999993"/>
  </r>
  <r>
    <x v="30"/>
    <d v="2010-11-06T00:00:00"/>
    <x v="6"/>
    <x v="0"/>
    <x v="1718"/>
    <x v="0"/>
    <n v="83.51"/>
    <n v="2.6680000000000001"/>
    <n v="211.1120018"/>
    <n v="8.1999999999999993"/>
  </r>
  <r>
    <x v="30"/>
    <d v="2010-02-07T00:00:00"/>
    <x v="2"/>
    <x v="0"/>
    <x v="1719"/>
    <x v="0"/>
    <n v="82.29"/>
    <n v="2.669"/>
    <n v="210.88037259999999"/>
    <n v="8.0990000000000002"/>
  </r>
  <r>
    <x v="30"/>
    <d v="2010-09-07T00:00:00"/>
    <x v="3"/>
    <x v="0"/>
    <x v="1720"/>
    <x v="0"/>
    <n v="81.67"/>
    <n v="2.6419999999999999"/>
    <n v="210.7657317"/>
    <n v="8.0990000000000002"/>
  </r>
  <r>
    <x v="30"/>
    <d v="2010-06-08T00:00:00"/>
    <x v="7"/>
    <x v="0"/>
    <x v="1721"/>
    <x v="0"/>
    <n v="90.3"/>
    <n v="2.6269999999999998"/>
    <n v="211.16080489999999"/>
    <n v="8.0990000000000002"/>
  </r>
  <r>
    <x v="30"/>
    <d v="2010-03-09T00:00:00"/>
    <x v="8"/>
    <x v="0"/>
    <x v="1722"/>
    <x v="0"/>
    <n v="82.57"/>
    <n v="2.577"/>
    <n v="211.18869309999999"/>
    <n v="8.0990000000000002"/>
  </r>
  <r>
    <x v="30"/>
    <d v="2010-10-09T00:00:00"/>
    <x v="9"/>
    <x v="0"/>
    <x v="1723"/>
    <x v="1"/>
    <n v="79.3"/>
    <n v="2.5649999999999999"/>
    <n v="211.15321040000001"/>
    <n v="8.0990000000000002"/>
  </r>
  <r>
    <x v="30"/>
    <d v="2010-01-10T00:00:00"/>
    <x v="10"/>
    <x v="0"/>
    <x v="1724"/>
    <x v="0"/>
    <n v="70.28"/>
    <n v="2.6030000000000002"/>
    <n v="211.32987420000001"/>
    <n v="8.1630000000000003"/>
  </r>
  <r>
    <x v="30"/>
    <d v="2010-08-10T00:00:00"/>
    <x v="11"/>
    <x v="0"/>
    <x v="1725"/>
    <x v="0"/>
    <n v="65.760000000000005"/>
    <n v="2.633"/>
    <n v="211.4044906"/>
    <n v="8.1630000000000003"/>
  </r>
  <r>
    <x v="30"/>
    <d v="2010-05-11T00:00:00"/>
    <x v="0"/>
    <x v="0"/>
    <x v="1726"/>
    <x v="0"/>
    <n v="58.71"/>
    <n v="2.6890000000000001"/>
    <n v="211.61350530000001"/>
    <n v="8.1630000000000003"/>
  </r>
  <r>
    <x v="30"/>
    <d v="2010-12-11T00:00:00"/>
    <x v="1"/>
    <x v="0"/>
    <x v="1727"/>
    <x v="0"/>
    <n v="60.95"/>
    <n v="2.7280000000000002"/>
    <n v="211.6608975"/>
    <n v="8.1630000000000003"/>
  </r>
  <r>
    <x v="30"/>
    <d v="2010-03-12T00:00:00"/>
    <x v="8"/>
    <x v="0"/>
    <x v="1728"/>
    <x v="0"/>
    <n v="50.43"/>
    <n v="2.7080000000000002"/>
    <n v="211.26554300000001"/>
    <n v="8.1630000000000003"/>
  </r>
  <r>
    <x v="30"/>
    <d v="2010-10-12T00:00:00"/>
    <x v="9"/>
    <x v="0"/>
    <x v="1729"/>
    <x v="0"/>
    <n v="46.35"/>
    <n v="2.843"/>
    <n v="211.12479930000001"/>
    <n v="8.1630000000000003"/>
  </r>
  <r>
    <x v="30"/>
    <d v="2011-07-01T00:00:00"/>
    <x v="4"/>
    <x v="1"/>
    <x v="1730"/>
    <x v="0"/>
    <n v="44.24"/>
    <n v="2.976"/>
    <n v="211.06488809999999"/>
    <n v="8.0280000000000005"/>
  </r>
  <r>
    <x v="30"/>
    <d v="2011-04-02T00:00:00"/>
    <x v="5"/>
    <x v="1"/>
    <x v="1731"/>
    <x v="0"/>
    <n v="36.33"/>
    <n v="2.9889999999999999"/>
    <n v="212.22406459999999"/>
    <n v="8.0280000000000005"/>
  </r>
  <r>
    <x v="30"/>
    <d v="2011-11-02T00:00:00"/>
    <x v="6"/>
    <x v="1"/>
    <x v="1732"/>
    <x v="1"/>
    <n v="34.61"/>
    <n v="3.0219999999999998"/>
    <n v="212.5928624"/>
    <n v="8.0280000000000005"/>
  </r>
  <r>
    <x v="30"/>
    <d v="2011-04-03T00:00:00"/>
    <x v="5"/>
    <x v="1"/>
    <x v="1733"/>
    <x v="0"/>
    <n v="59.52"/>
    <n v="3.2879999999999998"/>
    <n v="213.4775305"/>
    <n v="8.0280000000000005"/>
  </r>
  <r>
    <x v="30"/>
    <d v="2011-11-03T00:00:00"/>
    <x v="6"/>
    <x v="1"/>
    <x v="1734"/>
    <x v="0"/>
    <n v="54.69"/>
    <n v="3.4590000000000001"/>
    <n v="213.76464010000001"/>
    <n v="8.0280000000000005"/>
  </r>
  <r>
    <x v="30"/>
    <d v="2011-01-04T00:00:00"/>
    <x v="10"/>
    <x v="1"/>
    <x v="1735"/>
    <x v="0"/>
    <n v="56.36"/>
    <n v="3.524"/>
    <n v="214.4886908"/>
    <n v="7.931"/>
  </r>
  <r>
    <x v="30"/>
    <d v="2011-08-04T00:00:00"/>
    <x v="11"/>
    <x v="1"/>
    <x v="1736"/>
    <x v="0"/>
    <n v="68.62"/>
    <n v="3.6219999999999999"/>
    <n v="214.72522420000001"/>
    <n v="7.931"/>
  </r>
  <r>
    <x v="30"/>
    <d v="2011-06-05T00:00:00"/>
    <x v="7"/>
    <x v="1"/>
    <x v="1737"/>
    <x v="0"/>
    <n v="61.87"/>
    <n v="3.9060000000000001"/>
    <n v="215.44487090000001"/>
    <n v="7.931"/>
  </r>
  <r>
    <x v="30"/>
    <d v="2011-03-06T00:00:00"/>
    <x v="8"/>
    <x v="1"/>
    <x v="1738"/>
    <x v="0"/>
    <n v="83.82"/>
    <n v="3.6989999999999998"/>
    <n v="214.92548650000001"/>
    <n v="7.931"/>
  </r>
  <r>
    <x v="30"/>
    <d v="2011-10-06T00:00:00"/>
    <x v="9"/>
    <x v="1"/>
    <x v="1739"/>
    <x v="0"/>
    <n v="84.71"/>
    <n v="3.6480000000000001"/>
    <n v="214.69649079999999"/>
    <n v="7.931"/>
  </r>
  <r>
    <x v="30"/>
    <d v="2011-01-07T00:00:00"/>
    <x v="10"/>
    <x v="1"/>
    <x v="1740"/>
    <x v="0"/>
    <n v="87.57"/>
    <n v="3.524"/>
    <n v="214.83686779999999"/>
    <n v="7.8520000000000003"/>
  </r>
  <r>
    <x v="30"/>
    <d v="2011-08-07T00:00:00"/>
    <x v="11"/>
    <x v="1"/>
    <x v="1741"/>
    <x v="0"/>
    <n v="89.16"/>
    <n v="3.48"/>
    <n v="214.92962489999999"/>
    <n v="7.8520000000000003"/>
  </r>
  <r>
    <x v="30"/>
    <d v="2011-05-08T00:00:00"/>
    <x v="0"/>
    <x v="1"/>
    <x v="1742"/>
    <x v="0"/>
    <n v="94.22"/>
    <n v="3.6840000000000002"/>
    <n v="215.19785150000001"/>
    <n v="7.8520000000000003"/>
  </r>
  <r>
    <x v="30"/>
    <d v="2011-12-08T00:00:00"/>
    <x v="1"/>
    <x v="1"/>
    <x v="1743"/>
    <x v="0"/>
    <n v="92.32"/>
    <n v="3.6379999999999999"/>
    <n v="215.25932109999999"/>
    <n v="7.8520000000000003"/>
  </r>
  <r>
    <x v="30"/>
    <d v="2011-02-09T00:00:00"/>
    <x v="2"/>
    <x v="1"/>
    <x v="1744"/>
    <x v="0"/>
    <n v="91.94"/>
    <n v="3.5329999999999999"/>
    <n v="215.45086319999999"/>
    <n v="7.8520000000000003"/>
  </r>
  <r>
    <x v="30"/>
    <d v="2011-09-09T00:00:00"/>
    <x v="3"/>
    <x v="1"/>
    <x v="1745"/>
    <x v="1"/>
    <n v="78.87"/>
    <n v="3.5459999999999998"/>
    <n v="215.51482949999999"/>
    <n v="7.8520000000000003"/>
  </r>
  <r>
    <x v="30"/>
    <d v="2011-07-10T00:00:00"/>
    <x v="4"/>
    <x v="1"/>
    <x v="1746"/>
    <x v="0"/>
    <n v="71.64"/>
    <n v="3.2850000000000001"/>
    <n v="216.69583109999999"/>
    <n v="7.4409999999999998"/>
  </r>
  <r>
    <x v="30"/>
    <d v="2011-04-11T00:00:00"/>
    <x v="5"/>
    <x v="1"/>
    <x v="1747"/>
    <x v="0"/>
    <n v="56.01"/>
    <n v="3.3319999999999999"/>
    <n v="217.48536050000001"/>
    <n v="7.4409999999999998"/>
  </r>
  <r>
    <x v="30"/>
    <d v="2011-11-11T00:00:00"/>
    <x v="6"/>
    <x v="1"/>
    <x v="1748"/>
    <x v="0"/>
    <n v="59.8"/>
    <n v="3.2970000000000002"/>
    <n v="217.6455387"/>
    <n v="7.4409999999999998"/>
  </r>
  <r>
    <x v="30"/>
    <d v="2011-02-12T00:00:00"/>
    <x v="2"/>
    <x v="1"/>
    <x v="1749"/>
    <x v="0"/>
    <n v="48.72"/>
    <n v="3.1720000000000002"/>
    <n v="218.35903189999999"/>
    <n v="7.4409999999999998"/>
  </r>
  <r>
    <x v="30"/>
    <d v="2011-09-12T00:00:00"/>
    <x v="3"/>
    <x v="1"/>
    <x v="1750"/>
    <x v="0"/>
    <n v="41.44"/>
    <n v="3.1579999999999999"/>
    <n v="218.60503700000001"/>
    <n v="7.4409999999999998"/>
  </r>
  <r>
    <x v="30"/>
    <d v="2012-06-01T00:00:00"/>
    <x v="7"/>
    <x v="2"/>
    <x v="1751"/>
    <x v="0"/>
    <n v="48.1"/>
    <n v="3.157"/>
    <n v="219.355063"/>
    <n v="7.0570000000000004"/>
  </r>
  <r>
    <x v="30"/>
    <d v="2012-03-02T00:00:00"/>
    <x v="8"/>
    <x v="2"/>
    <x v="1752"/>
    <x v="0"/>
    <n v="55.83"/>
    <n v="3.36"/>
    <n v="219.81188539999999"/>
    <n v="7.0570000000000004"/>
  </r>
  <r>
    <x v="30"/>
    <d v="2012-10-02T00:00:00"/>
    <x v="9"/>
    <x v="2"/>
    <x v="1753"/>
    <x v="1"/>
    <n v="46.52"/>
    <n v="3.4089999999999998"/>
    <n v="219.90490729999999"/>
    <n v="7.0570000000000004"/>
  </r>
  <r>
    <x v="30"/>
    <d v="2012-02-03T00:00:00"/>
    <x v="2"/>
    <x v="2"/>
    <x v="1754"/>
    <x v="0"/>
    <n v="59.3"/>
    <n v="3.63"/>
    <n v="220.48668860000001"/>
    <n v="7.0570000000000004"/>
  </r>
  <r>
    <x v="30"/>
    <d v="2012-09-03T00:00:00"/>
    <x v="3"/>
    <x v="2"/>
    <x v="1755"/>
    <x v="0"/>
    <n v="57.16"/>
    <n v="3.669"/>
    <n v="220.69743320000001"/>
    <n v="7.0570000000000004"/>
  </r>
  <r>
    <x v="30"/>
    <d v="2012-06-04T00:00:00"/>
    <x v="7"/>
    <x v="2"/>
    <x v="1756"/>
    <x v="0"/>
    <n v="69.02"/>
    <n v="3.891"/>
    <n v="221.07376379999999"/>
    <n v="6.891"/>
  </r>
  <r>
    <x v="30"/>
    <d v="2012-04-05T00:00:00"/>
    <x v="5"/>
    <x v="2"/>
    <x v="1757"/>
    <x v="0"/>
    <n v="77.53"/>
    <n v="3.7490000000000001"/>
    <n v="221.30951659999999"/>
    <n v="6.891"/>
  </r>
  <r>
    <x v="30"/>
    <d v="2012-11-05T00:00:00"/>
    <x v="6"/>
    <x v="2"/>
    <x v="1758"/>
    <x v="0"/>
    <n v="74.14"/>
    <n v="3.6880000000000002"/>
    <n v="221.3632212"/>
    <n v="6.891"/>
  </r>
  <r>
    <x v="30"/>
    <d v="2012-01-06T00:00:00"/>
    <x v="10"/>
    <x v="2"/>
    <x v="1759"/>
    <x v="0"/>
    <n v="79.239999999999995"/>
    <n v="3.5009999999999999"/>
    <n v="221.38527479999999"/>
    <n v="6.891"/>
  </r>
  <r>
    <x v="30"/>
    <d v="2012-08-06T00:00:00"/>
    <x v="11"/>
    <x v="2"/>
    <x v="1760"/>
    <x v="0"/>
    <n v="79.47"/>
    <n v="3.452"/>
    <n v="221.38774670000001"/>
    <n v="6.891"/>
  </r>
  <r>
    <x v="30"/>
    <d v="2012-06-07T00:00:00"/>
    <x v="7"/>
    <x v="2"/>
    <x v="1761"/>
    <x v="0"/>
    <n v="85.26"/>
    <n v="3.2269999999999999"/>
    <n v="221.52150639999999"/>
    <n v="6.5650000000000004"/>
  </r>
  <r>
    <x v="30"/>
    <d v="2012-03-08T00:00:00"/>
    <x v="8"/>
    <x v="2"/>
    <x v="1762"/>
    <x v="0"/>
    <n v="91.57"/>
    <n v="3.4169999999999998"/>
    <n v="221.58697989999999"/>
    <n v="6.5650000000000004"/>
  </r>
  <r>
    <x v="30"/>
    <d v="2012-10-08T00:00:00"/>
    <x v="9"/>
    <x v="2"/>
    <x v="1763"/>
    <x v="0"/>
    <n v="89.57"/>
    <n v="3.4940000000000002"/>
    <n v="221.59541379999999"/>
    <n v="6.5650000000000004"/>
  </r>
  <r>
    <x v="30"/>
    <d v="2012-07-09T00:00:00"/>
    <x v="4"/>
    <x v="2"/>
    <x v="1764"/>
    <x v="1"/>
    <n v="88.4"/>
    <n v="3.73"/>
    <n v="222.07476349999999"/>
    <n v="6.5650000000000004"/>
  </r>
  <r>
    <x v="30"/>
    <d v="2012-05-10T00:00:00"/>
    <x v="0"/>
    <x v="2"/>
    <x v="1765"/>
    <x v="0"/>
    <n v="70.28"/>
    <n v="3.617"/>
    <n v="222.8159296"/>
    <n v="6.17"/>
  </r>
  <r>
    <x v="30"/>
    <d v="2012-12-10T00:00:00"/>
    <x v="1"/>
    <x v="2"/>
    <x v="1766"/>
    <x v="0"/>
    <n v="61.53"/>
    <n v="3.601"/>
    <n v="223.0154263"/>
    <n v="6.17"/>
  </r>
  <r>
    <x v="31"/>
    <d v="2010-05-02T00:00:00"/>
    <x v="0"/>
    <x v="0"/>
    <x v="1767"/>
    <x v="0"/>
    <n v="34.43"/>
    <n v="2.58"/>
    <n v="189.38169740000001"/>
    <n v="9.0139999999999993"/>
  </r>
  <r>
    <x v="31"/>
    <d v="2010-12-02T00:00:00"/>
    <x v="1"/>
    <x v="0"/>
    <x v="1768"/>
    <x v="1"/>
    <n v="28.09"/>
    <n v="2.5720000000000001"/>
    <n v="189.46427249999999"/>
    <n v="9.0139999999999993"/>
  </r>
  <r>
    <x v="31"/>
    <d v="2010-05-03T00:00:00"/>
    <x v="0"/>
    <x v="0"/>
    <x v="1769"/>
    <x v="0"/>
    <n v="37.72"/>
    <n v="2.62"/>
    <n v="189.66950489999999"/>
    <n v="9.0139999999999993"/>
  </r>
  <r>
    <x v="31"/>
    <d v="2010-12-03T00:00:00"/>
    <x v="1"/>
    <x v="0"/>
    <x v="1770"/>
    <x v="0"/>
    <n v="39.880000000000003"/>
    <n v="2.6840000000000002"/>
    <n v="189.73720750000001"/>
    <n v="9.0139999999999993"/>
  </r>
  <r>
    <x v="31"/>
    <d v="2010-02-04T00:00:00"/>
    <x v="2"/>
    <x v="0"/>
    <x v="1771"/>
    <x v="0"/>
    <n v="48.28"/>
    <n v="2.7250000000000001"/>
    <n v="189.70482150000001"/>
    <n v="8.9629999999999992"/>
  </r>
  <r>
    <x v="31"/>
    <d v="2010-09-04T00:00:00"/>
    <x v="3"/>
    <x v="0"/>
    <x v="1772"/>
    <x v="0"/>
    <n v="44.88"/>
    <n v="2.75"/>
    <n v="189.69010119999999"/>
    <n v="8.9629999999999992"/>
  </r>
  <r>
    <x v="31"/>
    <d v="2010-07-05T00:00:00"/>
    <x v="4"/>
    <x v="0"/>
    <x v="1773"/>
    <x v="0"/>
    <n v="48.94"/>
    <n v="2.7709999999999999"/>
    <n v="189.53124829999999"/>
    <n v="8.9629999999999992"/>
  </r>
  <r>
    <x v="31"/>
    <d v="2010-04-06T00:00:00"/>
    <x v="5"/>
    <x v="0"/>
    <x v="1774"/>
    <x v="0"/>
    <n v="66.69"/>
    <n v="2.7"/>
    <n v="189.42265800000001"/>
    <n v="8.9629999999999992"/>
  </r>
  <r>
    <x v="31"/>
    <d v="2010-11-06T00:00:00"/>
    <x v="6"/>
    <x v="0"/>
    <x v="1775"/>
    <x v="0"/>
    <n v="70.86"/>
    <n v="2.6840000000000002"/>
    <n v="189.4000734"/>
    <n v="8.9629999999999992"/>
  </r>
  <r>
    <x v="31"/>
    <d v="2010-02-07T00:00:00"/>
    <x v="2"/>
    <x v="0"/>
    <x v="1776"/>
    <x v="0"/>
    <n v="74.739999999999995"/>
    <n v="2.7280000000000002"/>
    <n v="189.48826030000001"/>
    <n v="9.0169999999999995"/>
  </r>
  <r>
    <x v="31"/>
    <d v="2010-09-07T00:00:00"/>
    <x v="3"/>
    <x v="0"/>
    <x v="1777"/>
    <x v="0"/>
    <n v="67.55"/>
    <n v="2.7109999999999999"/>
    <n v="189.52312760000001"/>
    <n v="9.0169999999999995"/>
  </r>
  <r>
    <x v="31"/>
    <d v="2010-06-08T00:00:00"/>
    <x v="7"/>
    <x v="0"/>
    <x v="1778"/>
    <x v="0"/>
    <n v="72.95"/>
    <n v="2.69"/>
    <n v="190.09900279999999"/>
    <n v="9.0169999999999995"/>
  </r>
  <r>
    <x v="31"/>
    <d v="2010-03-09T00:00:00"/>
    <x v="8"/>
    <x v="0"/>
    <x v="1779"/>
    <x v="0"/>
    <n v="70.2"/>
    <n v="2.7730000000000001"/>
    <n v="190.3621607"/>
    <n v="9.0169999999999995"/>
  </r>
  <r>
    <x v="31"/>
    <d v="2010-10-09T00:00:00"/>
    <x v="9"/>
    <x v="0"/>
    <x v="1780"/>
    <x v="1"/>
    <n v="68.44"/>
    <n v="2.78"/>
    <n v="190.3958293"/>
    <n v="9.0169999999999995"/>
  </r>
  <r>
    <x v="31"/>
    <d v="2010-01-10T00:00:00"/>
    <x v="10"/>
    <x v="0"/>
    <x v="1781"/>
    <x v="0"/>
    <n v="66.14"/>
    <n v="2.7589999999999999"/>
    <n v="190.67382409999999"/>
    <n v="9.1370000000000005"/>
  </r>
  <r>
    <x v="31"/>
    <d v="2010-08-10T00:00:00"/>
    <x v="11"/>
    <x v="0"/>
    <x v="1782"/>
    <x v="0"/>
    <n v="61.81"/>
    <n v="2.7450000000000001"/>
    <n v="190.77632180000001"/>
    <n v="9.1370000000000005"/>
  </r>
  <r>
    <x v="31"/>
    <d v="2010-05-11T00:00:00"/>
    <x v="0"/>
    <x v="0"/>
    <x v="1783"/>
    <x v="0"/>
    <n v="49.2"/>
    <n v="2.7290000000000001"/>
    <n v="190.9964377"/>
    <n v="9.1370000000000005"/>
  </r>
  <r>
    <x v="31"/>
    <d v="2010-12-11T00:00:00"/>
    <x v="1"/>
    <x v="0"/>
    <x v="1784"/>
    <x v="0"/>
    <n v="42.3"/>
    <n v="2.7370000000000001"/>
    <n v="191.0411474"/>
    <n v="9.1370000000000005"/>
  </r>
  <r>
    <x v="31"/>
    <d v="2010-03-12T00:00:00"/>
    <x v="8"/>
    <x v="0"/>
    <x v="1785"/>
    <x v="0"/>
    <n v="35.18"/>
    <n v="2.7120000000000002"/>
    <n v="190.99314369999999"/>
    <n v="9.1370000000000005"/>
  </r>
  <r>
    <x v="31"/>
    <d v="2010-10-12T00:00:00"/>
    <x v="9"/>
    <x v="0"/>
    <x v="1786"/>
    <x v="0"/>
    <n v="36.619999999999997"/>
    <n v="2.7280000000000002"/>
    <n v="190.97410690000001"/>
    <n v="9.1370000000000005"/>
  </r>
  <r>
    <x v="31"/>
    <d v="2011-07-01T00:00:00"/>
    <x v="4"/>
    <x v="1"/>
    <x v="1787"/>
    <x v="0"/>
    <n v="23.78"/>
    <n v="2.8820000000000001"/>
    <n v="191.3683815"/>
    <n v="8.8179999999999996"/>
  </r>
  <r>
    <x v="31"/>
    <d v="2011-04-02T00:00:00"/>
    <x v="5"/>
    <x v="1"/>
    <x v="1788"/>
    <x v="0"/>
    <n v="15.47"/>
    <n v="3.0110000000000001"/>
    <n v="191.76258949999999"/>
    <n v="8.8179999999999996"/>
  </r>
  <r>
    <x v="31"/>
    <d v="2011-11-02T00:00:00"/>
    <x v="6"/>
    <x v="1"/>
    <x v="1789"/>
    <x v="1"/>
    <n v="18.510000000000002"/>
    <n v="3.0369999999999999"/>
    <n v="191.85728810000001"/>
    <n v="8.8179999999999996"/>
  </r>
  <r>
    <x v="31"/>
    <d v="2011-04-03T00:00:00"/>
    <x v="5"/>
    <x v="1"/>
    <x v="1790"/>
    <x v="0"/>
    <n v="39.17"/>
    <n v="3.2320000000000002"/>
    <n v="192.01160039999999"/>
    <n v="8.8179999999999996"/>
  </r>
  <r>
    <x v="31"/>
    <d v="2011-11-03T00:00:00"/>
    <x v="6"/>
    <x v="1"/>
    <x v="1791"/>
    <x v="0"/>
    <n v="36.51"/>
    <n v="3.3719999999999999"/>
    <n v="192.05848399999999"/>
    <n v="8.8179999999999996"/>
  </r>
  <r>
    <x v="31"/>
    <d v="2011-01-04T00:00:00"/>
    <x v="10"/>
    <x v="1"/>
    <x v="1792"/>
    <x v="0"/>
    <n v="44.83"/>
    <n v="3.4609999999999999"/>
    <n v="192.26917069999999"/>
    <n v="8.5950000000000006"/>
  </r>
  <r>
    <x v="31"/>
    <d v="2011-08-04T00:00:00"/>
    <x v="11"/>
    <x v="1"/>
    <x v="1793"/>
    <x v="0"/>
    <n v="48.81"/>
    <n v="3.532"/>
    <n v="192.3418571"/>
    <n v="8.5950000000000006"/>
  </r>
  <r>
    <x v="31"/>
    <d v="2011-06-05T00:00:00"/>
    <x v="7"/>
    <x v="1"/>
    <x v="1794"/>
    <x v="0"/>
    <n v="46.65"/>
    <n v="3.7349999999999999"/>
    <n v="192.72520059999999"/>
    <n v="8.5950000000000006"/>
  </r>
  <r>
    <x v="31"/>
    <d v="2011-03-06T00:00:00"/>
    <x v="8"/>
    <x v="1"/>
    <x v="1795"/>
    <x v="0"/>
    <n v="61.25"/>
    <n v="3.7629999999999999"/>
    <n v="192.8418131"/>
    <n v="8.5950000000000006"/>
  </r>
  <r>
    <x v="31"/>
    <d v="2011-10-06T00:00:00"/>
    <x v="9"/>
    <x v="1"/>
    <x v="1796"/>
    <x v="0"/>
    <n v="65.489999999999995"/>
    <n v="3.7349999999999999"/>
    <n v="192.84706120000001"/>
    <n v="8.5950000000000006"/>
  </r>
  <r>
    <x v="31"/>
    <d v="2011-01-07T00:00:00"/>
    <x v="10"/>
    <x v="1"/>
    <x v="1797"/>
    <x v="0"/>
    <n v="72.86"/>
    <n v="3.597"/>
    <n v="193.09305520000001"/>
    <n v="8.6219999999999999"/>
  </r>
  <r>
    <x v="31"/>
    <d v="2011-08-07T00:00:00"/>
    <x v="11"/>
    <x v="1"/>
    <x v="1798"/>
    <x v="0"/>
    <n v="72.56"/>
    <n v="3.54"/>
    <n v="193.18784479999999"/>
    <n v="8.6219999999999999"/>
  </r>
  <r>
    <x v="31"/>
    <d v="2011-05-08T00:00:00"/>
    <x v="0"/>
    <x v="1"/>
    <x v="1799"/>
    <x v="0"/>
    <n v="74.83"/>
    <n v="3.5539999999999998"/>
    <n v="193.91101330000001"/>
    <n v="8.6219999999999999"/>
  </r>
  <r>
    <x v="31"/>
    <d v="2011-12-08T00:00:00"/>
    <x v="1"/>
    <x v="1"/>
    <x v="1800"/>
    <x v="0"/>
    <n v="74.2"/>
    <n v="3.5419999999999998"/>
    <n v="194.11050169999999"/>
    <n v="8.6219999999999999"/>
  </r>
  <r>
    <x v="31"/>
    <d v="2011-02-09T00:00:00"/>
    <x v="2"/>
    <x v="1"/>
    <x v="1801"/>
    <x v="0"/>
    <n v="74.599999999999994"/>
    <n v="3.5110000000000001"/>
    <n v="194.5092113"/>
    <n v="8.6219999999999999"/>
  </r>
  <r>
    <x v="31"/>
    <d v="2011-09-09T00:00:00"/>
    <x v="3"/>
    <x v="1"/>
    <x v="1802"/>
    <x v="1"/>
    <n v="61.24"/>
    <n v="3.5659999999999998"/>
    <n v="194.6387853"/>
    <n v="8.6219999999999999"/>
  </r>
  <r>
    <x v="31"/>
    <d v="2011-07-10T00:00:00"/>
    <x v="4"/>
    <x v="1"/>
    <x v="1803"/>
    <x v="0"/>
    <n v="62.62"/>
    <n v="3.4980000000000002"/>
    <n v="194.94597239999999"/>
    <n v="8.5129999999999999"/>
  </r>
  <r>
    <x v="31"/>
    <d v="2011-04-11T00:00:00"/>
    <x v="5"/>
    <x v="1"/>
    <x v="1804"/>
    <x v="0"/>
    <n v="37.950000000000003"/>
    <n v="3.5270000000000001"/>
    <n v="195.48479589999999"/>
    <n v="8.5129999999999999"/>
  </r>
  <r>
    <x v="31"/>
    <d v="2011-11-11T00:00:00"/>
    <x v="6"/>
    <x v="1"/>
    <x v="1805"/>
    <x v="0"/>
    <n v="38.1"/>
    <n v="3.5049999999999999"/>
    <n v="195.6376941"/>
    <n v="8.5129999999999999"/>
  </r>
  <r>
    <x v="31"/>
    <d v="2011-02-12T00:00:00"/>
    <x v="2"/>
    <x v="1"/>
    <x v="1806"/>
    <x v="0"/>
    <n v="33.799999999999997"/>
    <n v="3.3780000000000001"/>
    <n v="195.82232870000001"/>
    <n v="8.5129999999999999"/>
  </r>
  <r>
    <x v="31"/>
    <d v="2011-09-12T00:00:00"/>
    <x v="3"/>
    <x v="1"/>
    <x v="1807"/>
    <x v="0"/>
    <n v="17.940000000000001"/>
    <n v="3.331"/>
    <n v="195.8742575"/>
    <n v="8.5129999999999999"/>
  </r>
  <r>
    <x v="31"/>
    <d v="2012-06-01T00:00:00"/>
    <x v="7"/>
    <x v="2"/>
    <x v="1808"/>
    <x v="0"/>
    <n v="36.75"/>
    <n v="3.0950000000000002"/>
    <n v="196.5458309"/>
    <n v="8.2560000000000002"/>
  </r>
  <r>
    <x v="31"/>
    <d v="2012-03-02T00:00:00"/>
    <x v="8"/>
    <x v="2"/>
    <x v="1809"/>
    <x v="0"/>
    <n v="35.89"/>
    <n v="3.0310000000000001"/>
    <n v="196.8728921"/>
    <n v="8.2560000000000002"/>
  </r>
  <r>
    <x v="31"/>
    <d v="2012-10-02T00:00:00"/>
    <x v="9"/>
    <x v="2"/>
    <x v="1810"/>
    <x v="1"/>
    <n v="23.34"/>
    <n v="3.1030000000000002"/>
    <n v="196.91950560000001"/>
    <n v="8.2560000000000002"/>
  </r>
  <r>
    <x v="31"/>
    <d v="2012-02-03T00:00:00"/>
    <x v="2"/>
    <x v="2"/>
    <x v="1811"/>
    <x v="0"/>
    <n v="33.4"/>
    <n v="3.1909999999999998"/>
    <n v="196.9565303"/>
    <n v="8.2560000000000002"/>
  </r>
  <r>
    <x v="31"/>
    <d v="2012-09-03T00:00:00"/>
    <x v="3"/>
    <x v="2"/>
    <x v="1812"/>
    <x v="0"/>
    <n v="39.9"/>
    <n v="3.286"/>
    <n v="196.96315989999999"/>
    <n v="8.2560000000000002"/>
  </r>
  <r>
    <x v="31"/>
    <d v="2012-06-04T00:00:00"/>
    <x v="7"/>
    <x v="2"/>
    <x v="1813"/>
    <x v="0"/>
    <n v="51.49"/>
    <n v="3.8540000000000001"/>
    <n v="197.5971285"/>
    <n v="8.09"/>
  </r>
  <r>
    <x v="31"/>
    <d v="2012-04-05T00:00:00"/>
    <x v="5"/>
    <x v="2"/>
    <x v="1814"/>
    <x v="0"/>
    <n v="58.29"/>
    <n v="3.903"/>
    <n v="197.60635339999999"/>
    <n v="8.09"/>
  </r>
  <r>
    <x v="31"/>
    <d v="2012-11-05T00:00:00"/>
    <x v="6"/>
    <x v="2"/>
    <x v="1815"/>
    <x v="0"/>
    <n v="55.4"/>
    <n v="3.87"/>
    <n v="197.5481609"/>
    <n v="8.09"/>
  </r>
  <r>
    <x v="31"/>
    <d v="2012-01-06T00:00:00"/>
    <x v="10"/>
    <x v="2"/>
    <x v="1816"/>
    <x v="0"/>
    <n v="62.84"/>
    <n v="3.7639999999999998"/>
    <n v="197.6218954"/>
    <n v="8.09"/>
  </r>
  <r>
    <x v="31"/>
    <d v="2012-08-06T00:00:00"/>
    <x v="11"/>
    <x v="2"/>
    <x v="1817"/>
    <x v="0"/>
    <n v="71.14"/>
    <n v="3.7410000000000001"/>
    <n v="197.6551863"/>
    <n v="8.09"/>
  </r>
  <r>
    <x v="31"/>
    <d v="2012-06-07T00:00:00"/>
    <x v="7"/>
    <x v="2"/>
    <x v="1818"/>
    <x v="0"/>
    <n v="78.680000000000007"/>
    <n v="3.6459999999999999"/>
    <n v="197.83221950000001"/>
    <n v="7.8719999999999999"/>
  </r>
  <r>
    <x v="31"/>
    <d v="2012-03-08T00:00:00"/>
    <x v="8"/>
    <x v="2"/>
    <x v="1819"/>
    <x v="0"/>
    <n v="75.09"/>
    <n v="3.528"/>
    <n v="198.02938929999999"/>
    <n v="7.8719999999999999"/>
  </r>
  <r>
    <x v="31"/>
    <d v="2012-10-08T00:00:00"/>
    <x v="9"/>
    <x v="2"/>
    <x v="1820"/>
    <x v="0"/>
    <n v="75.930000000000007"/>
    <n v="3.5089999999999999"/>
    <n v="198.0795651"/>
    <n v="7.8719999999999999"/>
  </r>
  <r>
    <x v="31"/>
    <d v="2012-07-09T00:00:00"/>
    <x v="4"/>
    <x v="2"/>
    <x v="1821"/>
    <x v="1"/>
    <n v="72.56"/>
    <n v="3.5960000000000001"/>
    <n v="198.0950484"/>
    <n v="7.8719999999999999"/>
  </r>
  <r>
    <x v="31"/>
    <d v="2012-05-10T00:00:00"/>
    <x v="0"/>
    <x v="2"/>
    <x v="1822"/>
    <x v="0"/>
    <n v="55.34"/>
    <n v="3.7789999999999999"/>
    <n v="198.8221322"/>
    <n v="7.5570000000000004"/>
  </r>
  <r>
    <x v="31"/>
    <d v="2012-12-10T00:00:00"/>
    <x v="1"/>
    <x v="2"/>
    <x v="1823"/>
    <x v="0"/>
    <n v="43.49"/>
    <n v="3.76"/>
    <n v="199.0539368"/>
    <n v="7.5570000000000004"/>
  </r>
  <r>
    <x v="32"/>
    <d v="2010-05-02T00:00:00"/>
    <x v="0"/>
    <x v="0"/>
    <x v="1824"/>
    <x v="0"/>
    <n v="58.4"/>
    <n v="2.9620000000000002"/>
    <n v="126.4420645"/>
    <n v="10.115"/>
  </r>
  <r>
    <x v="32"/>
    <d v="2010-12-02T00:00:00"/>
    <x v="1"/>
    <x v="0"/>
    <x v="1825"/>
    <x v="1"/>
    <n v="55.47"/>
    <n v="2.8279999999999998"/>
    <n v="126.49625810000001"/>
    <n v="10.115"/>
  </r>
  <r>
    <x v="32"/>
    <d v="2010-05-03T00:00:00"/>
    <x v="0"/>
    <x v="0"/>
    <x v="1826"/>
    <x v="0"/>
    <n v="59.17"/>
    <n v="2.8769999999999998"/>
    <n v="126.5782857"/>
    <n v="10.115"/>
  </r>
  <r>
    <x v="32"/>
    <d v="2010-12-03T00:00:00"/>
    <x v="1"/>
    <x v="0"/>
    <x v="1827"/>
    <x v="0"/>
    <n v="55.61"/>
    <n v="3.0339999999999998"/>
    <n v="126.60428570000001"/>
    <n v="10.115"/>
  </r>
  <r>
    <x v="32"/>
    <d v="2010-02-04T00:00:00"/>
    <x v="2"/>
    <x v="0"/>
    <x v="1828"/>
    <x v="0"/>
    <n v="66.790000000000006"/>
    <n v="3.0859999999999999"/>
    <n v="126.6034839"/>
    <n v="9.8490000000000002"/>
  </r>
  <r>
    <x v="32"/>
    <d v="2010-09-04T00:00:00"/>
    <x v="3"/>
    <x v="0"/>
    <x v="1829"/>
    <x v="0"/>
    <n v="68.430000000000007"/>
    <n v="3.004"/>
    <n v="126.6019032"/>
    <n v="9.8490000000000002"/>
  </r>
  <r>
    <x v="32"/>
    <d v="2010-07-05T00:00:00"/>
    <x v="4"/>
    <x v="0"/>
    <x v="1830"/>
    <x v="0"/>
    <n v="75.400000000000006"/>
    <n v="3.1269999999999998"/>
    <n v="126.2898"/>
    <n v="9.8490000000000002"/>
  </r>
  <r>
    <x v="32"/>
    <d v="2010-04-06T00:00:00"/>
    <x v="5"/>
    <x v="0"/>
    <x v="1831"/>
    <x v="0"/>
    <n v="86.06"/>
    <n v="2.9409999999999998"/>
    <n v="126.1360645"/>
    <n v="9.8490000000000002"/>
  </r>
  <r>
    <x v="32"/>
    <d v="2010-11-06T00:00:00"/>
    <x v="6"/>
    <x v="0"/>
    <x v="1832"/>
    <x v="0"/>
    <n v="93.52"/>
    <n v="3.0569999999999999"/>
    <n v="126.1119032"/>
    <n v="9.8490000000000002"/>
  </r>
  <r>
    <x v="32"/>
    <d v="2010-02-07T00:00:00"/>
    <x v="2"/>
    <x v="0"/>
    <x v="1833"/>
    <x v="0"/>
    <n v="97.66"/>
    <n v="2.9780000000000002"/>
    <n v="126.1392"/>
    <n v="9.4949999999999992"/>
  </r>
  <r>
    <x v="32"/>
    <d v="2010-09-07T00:00:00"/>
    <x v="3"/>
    <x v="0"/>
    <x v="1834"/>
    <x v="0"/>
    <n v="95.88"/>
    <n v="3.1"/>
    <n v="126.15179999999999"/>
    <n v="9.4949999999999992"/>
  </r>
  <r>
    <x v="32"/>
    <d v="2010-06-08T00:00:00"/>
    <x v="7"/>
    <x v="0"/>
    <x v="1835"/>
    <x v="0"/>
    <n v="92.51"/>
    <n v="3.1230000000000002"/>
    <n v="126.0854516"/>
    <n v="9.4949999999999992"/>
  </r>
  <r>
    <x v="32"/>
    <d v="2010-03-09T00:00:00"/>
    <x v="8"/>
    <x v="0"/>
    <x v="1836"/>
    <x v="0"/>
    <n v="90.82"/>
    <n v="3.0870000000000002"/>
    <n v="126.1019355"/>
    <n v="9.4949999999999992"/>
  </r>
  <r>
    <x v="32"/>
    <d v="2010-10-09T00:00:00"/>
    <x v="9"/>
    <x v="0"/>
    <x v="1837"/>
    <x v="1"/>
    <n v="91.77"/>
    <n v="2.9609999999999999"/>
    <n v="126.1145806"/>
    <n v="9.4949999999999992"/>
  </r>
  <r>
    <x v="32"/>
    <d v="2010-01-10T00:00:00"/>
    <x v="10"/>
    <x v="0"/>
    <x v="1838"/>
    <x v="0"/>
    <n v="91.45"/>
    <n v="3.0009999999999999"/>
    <n v="126.2346"/>
    <n v="9.2650000000000006"/>
  </r>
  <r>
    <x v="32"/>
    <d v="2010-08-10T00:00:00"/>
    <x v="11"/>
    <x v="0"/>
    <x v="1839"/>
    <x v="0"/>
    <n v="79.02"/>
    <n v="2.9239999999999999"/>
    <n v="126.2791667"/>
    <n v="9.2650000000000006"/>
  </r>
  <r>
    <x v="32"/>
    <d v="2010-05-11T00:00:00"/>
    <x v="0"/>
    <x v="0"/>
    <x v="1840"/>
    <x v="0"/>
    <n v="74.23"/>
    <n v="3.0089999999999999"/>
    <n v="126.4912903"/>
    <n v="9.2650000000000006"/>
  </r>
  <r>
    <x v="32"/>
    <d v="2010-12-11T00:00:00"/>
    <x v="1"/>
    <x v="0"/>
    <x v="1841"/>
    <x v="0"/>
    <n v="65.209999999999994"/>
    <n v="3.13"/>
    <n v="126.54616129999999"/>
    <n v="9.2650000000000006"/>
  </r>
  <r>
    <x v="32"/>
    <d v="2010-03-12T00:00:00"/>
    <x v="8"/>
    <x v="0"/>
    <x v="1842"/>
    <x v="0"/>
    <n v="52.82"/>
    <n v="3.0409999999999999"/>
    <n v="126.7313333"/>
    <n v="9.2650000000000006"/>
  </r>
  <r>
    <x v="32"/>
    <d v="2010-10-12T00:00:00"/>
    <x v="9"/>
    <x v="0"/>
    <x v="1843"/>
    <x v="0"/>
    <n v="60.72"/>
    <n v="3.0910000000000002"/>
    <n v="126.79340000000001"/>
    <n v="9.2650000000000006"/>
  </r>
  <r>
    <x v="32"/>
    <d v="2011-07-01T00:00:00"/>
    <x v="4"/>
    <x v="1"/>
    <x v="1844"/>
    <x v="0"/>
    <n v="46.25"/>
    <n v="3.2869999999999999"/>
    <n v="127.1917742"/>
    <n v="8.9510000000000005"/>
  </r>
  <r>
    <x v="32"/>
    <d v="2011-04-02T00:00:00"/>
    <x v="5"/>
    <x v="1"/>
    <x v="1845"/>
    <x v="0"/>
    <n v="49.26"/>
    <n v="3.3479999999999999"/>
    <n v="127.7195806"/>
    <n v="8.9510000000000005"/>
  </r>
  <r>
    <x v="32"/>
    <d v="2011-11-02T00:00:00"/>
    <x v="6"/>
    <x v="1"/>
    <x v="1846"/>
    <x v="1"/>
    <n v="53.35"/>
    <n v="3.3809999999999998"/>
    <n v="127.859129"/>
    <n v="8.9510000000000005"/>
  </r>
  <r>
    <x v="32"/>
    <d v="2011-04-03T00:00:00"/>
    <x v="5"/>
    <x v="1"/>
    <x v="1847"/>
    <x v="0"/>
    <n v="59.51"/>
    <n v="3.6739999999999999"/>
    <n v="128.26474999999999"/>
    <n v="8.9510000000000005"/>
  </r>
  <r>
    <x v="32"/>
    <d v="2011-11-03T00:00:00"/>
    <x v="6"/>
    <x v="1"/>
    <x v="1848"/>
    <x v="0"/>
    <n v="66.510000000000005"/>
    <n v="3.63"/>
    <n v="128.39949999999999"/>
    <n v="8.9510000000000005"/>
  </r>
  <r>
    <x v="32"/>
    <d v="2011-01-04T00:00:00"/>
    <x v="10"/>
    <x v="1"/>
    <x v="1849"/>
    <x v="0"/>
    <n v="71.41"/>
    <n v="3.7719999999999998"/>
    <n v="128.71993549999999"/>
    <n v="8.6869999999999994"/>
  </r>
  <r>
    <x v="32"/>
    <d v="2011-08-04T00:00:00"/>
    <x v="11"/>
    <x v="1"/>
    <x v="1850"/>
    <x v="0"/>
    <n v="75.11"/>
    <n v="3.8180000000000001"/>
    <n v="128.82380649999999"/>
    <n v="8.6869999999999994"/>
  </r>
  <r>
    <x v="32"/>
    <d v="2011-06-05T00:00:00"/>
    <x v="7"/>
    <x v="1"/>
    <x v="1851"/>
    <x v="0"/>
    <n v="77.92"/>
    <n v="4.1929999999999996"/>
    <n v="129.04443330000001"/>
    <n v="8.6869999999999994"/>
  </r>
  <r>
    <x v="32"/>
    <d v="2011-03-06T00:00:00"/>
    <x v="8"/>
    <x v="1"/>
    <x v="1852"/>
    <x v="0"/>
    <n v="82.93"/>
    <n v="3.8929999999999998"/>
    <n v="129.04903229999999"/>
    <n v="8.6869999999999994"/>
  </r>
  <r>
    <x v="32"/>
    <d v="2011-10-06T00:00:00"/>
    <x v="9"/>
    <x v="1"/>
    <x v="1853"/>
    <x v="0"/>
    <n v="87.02"/>
    <n v="3.9809999999999999"/>
    <n v="129.03570970000001"/>
    <n v="8.6869999999999994"/>
  </r>
  <r>
    <x v="32"/>
    <d v="2011-01-07T00:00:00"/>
    <x v="10"/>
    <x v="1"/>
    <x v="1854"/>
    <x v="0"/>
    <n v="98.43"/>
    <n v="3.8420000000000001"/>
    <n v="129.08940000000001"/>
    <n v="8.4420000000000002"/>
  </r>
  <r>
    <x v="32"/>
    <d v="2011-08-07T00:00:00"/>
    <x v="11"/>
    <x v="1"/>
    <x v="1855"/>
    <x v="0"/>
    <n v="96.44"/>
    <n v="3.7930000000000001"/>
    <n v="129.11250000000001"/>
    <n v="8.4420000000000002"/>
  </r>
  <r>
    <x v="32"/>
    <d v="2011-05-08T00:00:00"/>
    <x v="0"/>
    <x v="1"/>
    <x v="1856"/>
    <x v="0"/>
    <n v="96.93"/>
    <n v="3.8029999999999999"/>
    <n v="129.18464520000001"/>
    <n v="8.4420000000000002"/>
  </r>
  <r>
    <x v="32"/>
    <d v="2011-12-08T00:00:00"/>
    <x v="1"/>
    <x v="1"/>
    <x v="1857"/>
    <x v="0"/>
    <n v="96"/>
    <n v="3.794"/>
    <n v="129.2015806"/>
    <n v="8.4420000000000002"/>
  </r>
  <r>
    <x v="32"/>
    <d v="2011-02-09T00:00:00"/>
    <x v="2"/>
    <x v="1"/>
    <x v="1858"/>
    <x v="0"/>
    <n v="99.2"/>
    <n v="3.798"/>
    <n v="129.32593550000001"/>
    <n v="8.4420000000000002"/>
  </r>
  <r>
    <x v="32"/>
    <d v="2011-09-09T00:00:00"/>
    <x v="3"/>
    <x v="1"/>
    <x v="1859"/>
    <x v="1"/>
    <n v="96.22"/>
    <n v="3.7709999999999999"/>
    <n v="129.36861289999999"/>
    <n v="8.4420000000000002"/>
  </r>
  <r>
    <x v="32"/>
    <d v="2011-07-10T00:00:00"/>
    <x v="4"/>
    <x v="1"/>
    <x v="1860"/>
    <x v="0"/>
    <n v="81.16"/>
    <n v="3.827"/>
    <n v="129.69380000000001"/>
    <n v="8.01"/>
  </r>
  <r>
    <x v="32"/>
    <d v="2011-04-11T00:00:00"/>
    <x v="5"/>
    <x v="1"/>
    <x v="1861"/>
    <x v="0"/>
    <n v="71.91"/>
    <n v="3.8279999999999998"/>
    <n v="129.8051935"/>
    <n v="8.01"/>
  </r>
  <r>
    <x v="32"/>
    <d v="2011-11-11T00:00:00"/>
    <x v="6"/>
    <x v="1"/>
    <x v="1862"/>
    <x v="0"/>
    <n v="58.75"/>
    <n v="3.677"/>
    <n v="129.81670969999999"/>
    <n v="8.01"/>
  </r>
  <r>
    <x v="32"/>
    <d v="2011-02-12T00:00:00"/>
    <x v="2"/>
    <x v="1"/>
    <x v="1863"/>
    <x v="0"/>
    <n v="59.12"/>
    <n v="3.7010000000000001"/>
    <n v="129.84596669999999"/>
    <n v="8.01"/>
  </r>
  <r>
    <x v="32"/>
    <d v="2011-09-12T00:00:00"/>
    <x v="3"/>
    <x v="1"/>
    <x v="1864"/>
    <x v="0"/>
    <n v="47.7"/>
    <n v="3.6440000000000001"/>
    <n v="129.85553329999999"/>
    <n v="8.01"/>
  </r>
  <r>
    <x v="32"/>
    <d v="2012-06-01T00:00:00"/>
    <x v="7"/>
    <x v="2"/>
    <x v="1865"/>
    <x v="0"/>
    <n v="60.92"/>
    <n v="3.4430000000000001"/>
    <n v="130.15751610000001"/>
    <n v="7.6029999999999998"/>
  </r>
  <r>
    <x v="32"/>
    <d v="2012-03-02T00:00:00"/>
    <x v="8"/>
    <x v="2"/>
    <x v="1866"/>
    <x v="0"/>
    <n v="59.53"/>
    <n v="3.5430000000000001"/>
    <n v="130.34967739999999"/>
    <n v="7.6029999999999998"/>
  </r>
  <r>
    <x v="32"/>
    <d v="2012-10-02T00:00:00"/>
    <x v="9"/>
    <x v="2"/>
    <x v="1867"/>
    <x v="1"/>
    <n v="59.94"/>
    <n v="3.722"/>
    <n v="130.3849032"/>
    <n v="7.6029999999999998"/>
  </r>
  <r>
    <x v="32"/>
    <d v="2012-02-03T00:00:00"/>
    <x v="2"/>
    <x v="2"/>
    <x v="1868"/>
    <x v="0"/>
    <n v="60.91"/>
    <n v="3.8820000000000001"/>
    <n v="130.64579309999999"/>
    <n v="7.6029999999999998"/>
  </r>
  <r>
    <x v="32"/>
    <d v="2012-09-03T00:00:00"/>
    <x v="3"/>
    <x v="2"/>
    <x v="1869"/>
    <x v="0"/>
    <n v="62.2"/>
    <n v="3.9630000000000001"/>
    <n v="130.74137930000001"/>
    <n v="7.6029999999999998"/>
  </r>
  <r>
    <x v="32"/>
    <d v="2012-06-04T00:00:00"/>
    <x v="7"/>
    <x v="2"/>
    <x v="1870"/>
    <x v="0"/>
    <n v="70.75"/>
    <n v="4.282"/>
    <n v="131.03754839999999"/>
    <n v="7.3959999999999999"/>
  </r>
  <r>
    <x v="32"/>
    <d v="2012-04-05T00:00:00"/>
    <x v="5"/>
    <x v="2"/>
    <x v="1871"/>
    <x v="0"/>
    <n v="82.43"/>
    <n v="4.0579999999999998"/>
    <n v="131.136"/>
    <n v="7.3959999999999999"/>
  </r>
  <r>
    <x v="32"/>
    <d v="2012-11-05T00:00:00"/>
    <x v="6"/>
    <x v="2"/>
    <x v="1872"/>
    <x v="0"/>
    <n v="81.02"/>
    <n v="4.1859999999999999"/>
    <n v="131.1453333"/>
    <n v="7.3959999999999999"/>
  </r>
  <r>
    <x v="32"/>
    <d v="2012-01-06T00:00:00"/>
    <x v="10"/>
    <x v="2"/>
    <x v="1873"/>
    <x v="0"/>
    <n v="83.57"/>
    <n v="4.2770000000000001"/>
    <n v="130.95922580000001"/>
    <n v="7.3959999999999999"/>
  </r>
  <r>
    <x v="32"/>
    <d v="2012-08-06T00:00:00"/>
    <x v="11"/>
    <x v="2"/>
    <x v="1874"/>
    <x v="0"/>
    <n v="90.94"/>
    <n v="4.1029999999999998"/>
    <n v="130.88967740000001"/>
    <n v="7.3959999999999999"/>
  </r>
  <r>
    <x v="32"/>
    <d v="2012-06-07T00:00:00"/>
    <x v="7"/>
    <x v="2"/>
    <x v="1875"/>
    <x v="0"/>
    <n v="93.21"/>
    <n v="3.6659999999999999"/>
    <n v="130.7196333"/>
    <n v="7.1470000000000002"/>
  </r>
  <r>
    <x v="32"/>
    <d v="2012-03-08T00:00:00"/>
    <x v="8"/>
    <x v="2"/>
    <x v="1876"/>
    <x v="0"/>
    <n v="92.13"/>
    <n v="3.5950000000000002"/>
    <n v="130.73787100000001"/>
    <n v="7.1470000000000002"/>
  </r>
  <r>
    <x v="32"/>
    <d v="2012-10-08T00:00:00"/>
    <x v="9"/>
    <x v="2"/>
    <x v="1877"/>
    <x v="0"/>
    <n v="100.07"/>
    <n v="3.8109999999999999"/>
    <n v="130.7561613"/>
    <n v="7.1470000000000002"/>
  </r>
  <r>
    <x v="32"/>
    <d v="2012-07-09T00:00:00"/>
    <x v="4"/>
    <x v="2"/>
    <x v="1878"/>
    <x v="1"/>
    <n v="92.02"/>
    <n v="4.1239999999999997"/>
    <n v="130.9325484"/>
    <n v="7.1470000000000002"/>
  </r>
  <r>
    <x v="32"/>
    <d v="2012-05-10T00:00:00"/>
    <x v="0"/>
    <x v="2"/>
    <x v="1879"/>
    <x v="0"/>
    <n v="85.18"/>
    <n v="4.1319999999999997"/>
    <n v="131.0756667"/>
    <n v="6.8949999999999996"/>
  </r>
  <r>
    <x v="32"/>
    <d v="2012-12-10T00:00:00"/>
    <x v="1"/>
    <x v="2"/>
    <x v="1880"/>
    <x v="0"/>
    <n v="79.64"/>
    <n v="4.468"/>
    <n v="131.1083333"/>
    <n v="6.8949999999999996"/>
  </r>
  <r>
    <x v="33"/>
    <d v="2010-05-02T00:00:00"/>
    <x v="0"/>
    <x v="0"/>
    <x v="1881"/>
    <x v="0"/>
    <n v="35.44"/>
    <n v="2.5979999999999999"/>
    <n v="126.4420645"/>
    <n v="9.5210000000000008"/>
  </r>
  <r>
    <x v="33"/>
    <d v="2010-12-02T00:00:00"/>
    <x v="1"/>
    <x v="0"/>
    <x v="1882"/>
    <x v="1"/>
    <n v="36.130000000000003"/>
    <n v="2.573"/>
    <n v="126.49625810000001"/>
    <n v="9.5210000000000008"/>
  </r>
  <r>
    <x v="33"/>
    <d v="2010-05-03T00:00:00"/>
    <x v="0"/>
    <x v="0"/>
    <x v="1883"/>
    <x v="0"/>
    <n v="42.65"/>
    <n v="2.6539999999999999"/>
    <n v="126.5782857"/>
    <n v="9.5210000000000008"/>
  </r>
  <r>
    <x v="33"/>
    <d v="2010-12-03T00:00:00"/>
    <x v="1"/>
    <x v="0"/>
    <x v="1884"/>
    <x v="0"/>
    <n v="42.26"/>
    <n v="2.7040000000000002"/>
    <n v="126.60428570000001"/>
    <n v="9.5210000000000008"/>
  </r>
  <r>
    <x v="33"/>
    <d v="2010-02-04T00:00:00"/>
    <x v="2"/>
    <x v="0"/>
    <x v="1885"/>
    <x v="0"/>
    <n v="50.07"/>
    <n v="2.74"/>
    <n v="126.6034839"/>
    <n v="9.593"/>
  </r>
  <r>
    <x v="33"/>
    <d v="2010-09-04T00:00:00"/>
    <x v="3"/>
    <x v="0"/>
    <x v="1886"/>
    <x v="0"/>
    <n v="51.26"/>
    <n v="2.7730000000000001"/>
    <n v="126.6019032"/>
    <n v="9.593"/>
  </r>
  <r>
    <x v="33"/>
    <d v="2010-07-05T00:00:00"/>
    <x v="4"/>
    <x v="0"/>
    <x v="1887"/>
    <x v="0"/>
    <n v="57.39"/>
    <n v="2.8359999999999999"/>
    <n v="126.2898"/>
    <n v="9.593"/>
  </r>
  <r>
    <x v="33"/>
    <d v="2010-04-06T00:00:00"/>
    <x v="5"/>
    <x v="0"/>
    <x v="1888"/>
    <x v="0"/>
    <n v="72.17"/>
    <n v="2.7010000000000001"/>
    <n v="126.1360645"/>
    <n v="9.593"/>
  </r>
  <r>
    <x v="33"/>
    <d v="2010-11-06T00:00:00"/>
    <x v="6"/>
    <x v="0"/>
    <x v="1889"/>
    <x v="0"/>
    <n v="80.84"/>
    <n v="2.6680000000000001"/>
    <n v="126.1119032"/>
    <n v="9.593"/>
  </r>
  <r>
    <x v="33"/>
    <d v="2010-02-07T00:00:00"/>
    <x v="2"/>
    <x v="0"/>
    <x v="1890"/>
    <x v="0"/>
    <n v="73.66"/>
    <n v="2.6680000000000001"/>
    <n v="126.1392"/>
    <n v="9.8160000000000007"/>
  </r>
  <r>
    <x v="33"/>
    <d v="2010-09-07T00:00:00"/>
    <x v="3"/>
    <x v="0"/>
    <x v="1891"/>
    <x v="0"/>
    <n v="75"/>
    <n v="2.637"/>
    <n v="126.15179999999999"/>
    <n v="9.8160000000000007"/>
  </r>
  <r>
    <x v="33"/>
    <d v="2010-06-08T00:00:00"/>
    <x v="7"/>
    <x v="0"/>
    <x v="1892"/>
    <x v="0"/>
    <n v="73.8"/>
    <n v="2.64"/>
    <n v="126.0854516"/>
    <n v="9.8160000000000007"/>
  </r>
  <r>
    <x v="33"/>
    <d v="2010-03-09T00:00:00"/>
    <x v="8"/>
    <x v="0"/>
    <x v="1893"/>
    <x v="0"/>
    <n v="72.59"/>
    <n v="2.5840000000000001"/>
    <n v="126.1019355"/>
    <n v="9.8160000000000007"/>
  </r>
  <r>
    <x v="33"/>
    <d v="2010-10-09T00:00:00"/>
    <x v="9"/>
    <x v="0"/>
    <x v="1894"/>
    <x v="1"/>
    <n v="72.61"/>
    <n v="2.5739999999999998"/>
    <n v="126.1145806"/>
    <n v="9.8160000000000007"/>
  </r>
  <r>
    <x v="33"/>
    <d v="2010-01-10T00:00:00"/>
    <x v="10"/>
    <x v="0"/>
    <x v="1895"/>
    <x v="0"/>
    <n v="70.13"/>
    <n v="2.6190000000000002"/>
    <n v="126.2346"/>
    <n v="10.210000000000001"/>
  </r>
  <r>
    <x v="33"/>
    <d v="2010-08-10T00:00:00"/>
    <x v="11"/>
    <x v="0"/>
    <x v="1896"/>
    <x v="0"/>
    <n v="65.209999999999994"/>
    <n v="2.645"/>
    <n v="126.2791667"/>
    <n v="10.210000000000001"/>
  </r>
  <r>
    <x v="33"/>
    <d v="2010-05-11T00:00:00"/>
    <x v="0"/>
    <x v="0"/>
    <x v="1897"/>
    <x v="0"/>
    <n v="52.43"/>
    <n v="2.6989999999999998"/>
    <n v="126.4912903"/>
    <n v="10.210000000000001"/>
  </r>
  <r>
    <x v="33"/>
    <d v="2010-12-11T00:00:00"/>
    <x v="1"/>
    <x v="0"/>
    <x v="1898"/>
    <x v="0"/>
    <n v="47.2"/>
    <n v="2.7410000000000001"/>
    <n v="126.54616129999999"/>
    <n v="10.210000000000001"/>
  </r>
  <r>
    <x v="33"/>
    <d v="2010-03-12T00:00:00"/>
    <x v="8"/>
    <x v="0"/>
    <x v="1899"/>
    <x v="0"/>
    <n v="34.700000000000003"/>
    <n v="2.7269999999999999"/>
    <n v="126.7313333"/>
    <n v="10.210000000000001"/>
  </r>
  <r>
    <x v="33"/>
    <d v="2010-10-12T00:00:00"/>
    <x v="9"/>
    <x v="0"/>
    <x v="1900"/>
    <x v="0"/>
    <n v="41.93"/>
    <n v="2.86"/>
    <n v="126.79340000000001"/>
    <n v="10.210000000000001"/>
  </r>
  <r>
    <x v="33"/>
    <d v="2011-07-01T00:00:00"/>
    <x v="4"/>
    <x v="1"/>
    <x v="1901"/>
    <x v="0"/>
    <n v="24.5"/>
    <n v="2.98"/>
    <n v="127.1917742"/>
    <n v="10.398"/>
  </r>
  <r>
    <x v="33"/>
    <d v="2011-04-02T00:00:00"/>
    <x v="5"/>
    <x v="1"/>
    <x v="1902"/>
    <x v="0"/>
    <n v="23.82"/>
    <n v="2.996"/>
    <n v="127.7195806"/>
    <n v="10.398"/>
  </r>
  <r>
    <x v="33"/>
    <d v="2011-11-02T00:00:00"/>
    <x v="6"/>
    <x v="1"/>
    <x v="1903"/>
    <x v="1"/>
    <n v="28.66"/>
    <n v="3.0329999999999999"/>
    <n v="127.859129"/>
    <n v="10.398"/>
  </r>
  <r>
    <x v="33"/>
    <d v="2011-04-03T00:00:00"/>
    <x v="5"/>
    <x v="1"/>
    <x v="1904"/>
    <x v="0"/>
    <n v="46.21"/>
    <n v="3.3050000000000002"/>
    <n v="128.26474999999999"/>
    <n v="10.398"/>
  </r>
  <r>
    <x v="33"/>
    <d v="2011-11-03T00:00:00"/>
    <x v="6"/>
    <x v="1"/>
    <x v="1905"/>
    <x v="0"/>
    <n v="45.87"/>
    <n v="3.4609999999999999"/>
    <n v="128.39949999999999"/>
    <n v="10.398"/>
  </r>
  <r>
    <x v="33"/>
    <d v="2011-01-04T00:00:00"/>
    <x v="10"/>
    <x v="1"/>
    <x v="1906"/>
    <x v="0"/>
    <n v="55.46"/>
    <n v="3.5209999999999999"/>
    <n v="128.71993549999999"/>
    <n v="10.581"/>
  </r>
  <r>
    <x v="33"/>
    <d v="2011-08-04T00:00:00"/>
    <x v="11"/>
    <x v="1"/>
    <x v="1907"/>
    <x v="0"/>
    <n v="58.59"/>
    <n v="3.605"/>
    <n v="128.82380649999999"/>
    <n v="10.581"/>
  </r>
  <r>
    <x v="33"/>
    <d v="2011-06-05T00:00:00"/>
    <x v="7"/>
    <x v="1"/>
    <x v="1908"/>
    <x v="0"/>
    <n v="54.4"/>
    <n v="3.8660000000000001"/>
    <n v="129.04443330000001"/>
    <n v="10.581"/>
  </r>
  <r>
    <x v="33"/>
    <d v="2011-03-06T00:00:00"/>
    <x v="8"/>
    <x v="1"/>
    <x v="1909"/>
    <x v="0"/>
    <n v="74.64"/>
    <n v="3.6829999999999998"/>
    <n v="129.04903229999999"/>
    <n v="10.581"/>
  </r>
  <r>
    <x v="33"/>
    <d v="2011-10-06T00:00:00"/>
    <x v="9"/>
    <x v="1"/>
    <x v="1910"/>
    <x v="0"/>
    <n v="74.569999999999993"/>
    <n v="3.64"/>
    <n v="129.03570970000001"/>
    <n v="10.581"/>
  </r>
  <r>
    <x v="33"/>
    <d v="2011-01-07T00:00:00"/>
    <x v="10"/>
    <x v="1"/>
    <x v="1911"/>
    <x v="0"/>
    <n v="81.96"/>
    <n v="3.504"/>
    <n v="129.08940000000001"/>
    <n v="10.641"/>
  </r>
  <r>
    <x v="33"/>
    <d v="2011-08-07T00:00:00"/>
    <x v="11"/>
    <x v="1"/>
    <x v="1912"/>
    <x v="0"/>
    <n v="80.84"/>
    <n v="3.4689999999999999"/>
    <n v="129.11250000000001"/>
    <n v="10.641"/>
  </r>
  <r>
    <x v="33"/>
    <d v="2011-05-08T00:00:00"/>
    <x v="0"/>
    <x v="1"/>
    <x v="1913"/>
    <x v="0"/>
    <n v="76.709999999999994"/>
    <n v="3.6619999999999999"/>
    <n v="129.18464520000001"/>
    <n v="10.641"/>
  </r>
  <r>
    <x v="33"/>
    <d v="2011-12-08T00:00:00"/>
    <x v="1"/>
    <x v="1"/>
    <x v="1914"/>
    <x v="0"/>
    <n v="80.23"/>
    <n v="3.617"/>
    <n v="129.2015806"/>
    <n v="10.641"/>
  </r>
  <r>
    <x v="33"/>
    <d v="2011-02-09T00:00:00"/>
    <x v="2"/>
    <x v="1"/>
    <x v="1915"/>
    <x v="0"/>
    <n v="78.239999999999995"/>
    <n v="3.5329999999999999"/>
    <n v="129.32593550000001"/>
    <n v="10.641"/>
  </r>
  <r>
    <x v="33"/>
    <d v="2011-09-09T00:00:00"/>
    <x v="3"/>
    <x v="1"/>
    <x v="1916"/>
    <x v="1"/>
    <n v="70.05"/>
    <n v="3.5539999999999998"/>
    <n v="129.36861289999999"/>
    <n v="10.641"/>
  </r>
  <r>
    <x v="33"/>
    <d v="2011-07-10T00:00:00"/>
    <x v="4"/>
    <x v="1"/>
    <x v="1917"/>
    <x v="0"/>
    <n v="60.42"/>
    <n v="3.2989999999999999"/>
    <n v="129.69380000000001"/>
    <n v="10.148"/>
  </r>
  <r>
    <x v="33"/>
    <d v="2011-04-11T00:00:00"/>
    <x v="5"/>
    <x v="1"/>
    <x v="1918"/>
    <x v="0"/>
    <n v="48.04"/>
    <n v="3.3220000000000001"/>
    <n v="129.8051935"/>
    <n v="10.148"/>
  </r>
  <r>
    <x v="33"/>
    <d v="2011-11-11T00:00:00"/>
    <x v="6"/>
    <x v="1"/>
    <x v="1919"/>
    <x v="0"/>
    <n v="41.04"/>
    <n v="3.286"/>
    <n v="129.81670969999999"/>
    <n v="10.148"/>
  </r>
  <r>
    <x v="33"/>
    <d v="2011-02-12T00:00:00"/>
    <x v="2"/>
    <x v="1"/>
    <x v="1920"/>
    <x v="0"/>
    <n v="39.75"/>
    <n v="3.1760000000000002"/>
    <n v="129.84596669999999"/>
    <n v="10.148"/>
  </r>
  <r>
    <x v="33"/>
    <d v="2011-09-12T00:00:00"/>
    <x v="3"/>
    <x v="1"/>
    <x v="1921"/>
    <x v="0"/>
    <n v="24.69"/>
    <n v="3.153"/>
    <n v="129.85553329999999"/>
    <n v="10.148"/>
  </r>
  <r>
    <x v="33"/>
    <d v="2012-06-01T00:00:00"/>
    <x v="7"/>
    <x v="2"/>
    <x v="1922"/>
    <x v="0"/>
    <n v="36.39"/>
    <n v="3.1579999999999999"/>
    <n v="130.15751610000001"/>
    <n v="9.6530000000000005"/>
  </r>
  <r>
    <x v="33"/>
    <d v="2012-03-02T00:00:00"/>
    <x v="8"/>
    <x v="2"/>
    <x v="1923"/>
    <x v="0"/>
    <n v="38.64"/>
    <n v="3.3540000000000001"/>
    <n v="130.34967739999999"/>
    <n v="9.6530000000000005"/>
  </r>
  <r>
    <x v="33"/>
    <d v="2012-10-02T00:00:00"/>
    <x v="9"/>
    <x v="2"/>
    <x v="1924"/>
    <x v="1"/>
    <n v="36.700000000000003"/>
    <n v="3.411"/>
    <n v="130.3849032"/>
    <n v="9.6530000000000005"/>
  </r>
  <r>
    <x v="33"/>
    <d v="2012-02-03T00:00:00"/>
    <x v="2"/>
    <x v="2"/>
    <x v="1925"/>
    <x v="0"/>
    <n v="42.74"/>
    <n v="3.6190000000000002"/>
    <n v="130.64579309999999"/>
    <n v="9.6530000000000005"/>
  </r>
  <r>
    <x v="33"/>
    <d v="2012-09-03T00:00:00"/>
    <x v="3"/>
    <x v="2"/>
    <x v="1926"/>
    <x v="0"/>
    <n v="42.7"/>
    <n v="3.6669999999999998"/>
    <n v="130.74137930000001"/>
    <n v="9.6530000000000005"/>
  </r>
  <r>
    <x v="33"/>
    <d v="2012-06-04T00:00:00"/>
    <x v="7"/>
    <x v="2"/>
    <x v="1927"/>
    <x v="0"/>
    <n v="54.42"/>
    <n v="3.8639999999999999"/>
    <n v="131.03754839999999"/>
    <n v="9.5749999999999993"/>
  </r>
  <r>
    <x v="33"/>
    <d v="2012-04-05T00:00:00"/>
    <x v="5"/>
    <x v="2"/>
    <x v="1928"/>
    <x v="0"/>
    <n v="65.040000000000006"/>
    <n v="3.7469999999999999"/>
    <n v="131.136"/>
    <n v="9.5749999999999993"/>
  </r>
  <r>
    <x v="33"/>
    <d v="2012-11-05T00:00:00"/>
    <x v="6"/>
    <x v="2"/>
    <x v="1929"/>
    <x v="0"/>
    <n v="61.92"/>
    <n v="3.6850000000000001"/>
    <n v="131.1453333"/>
    <n v="9.5749999999999993"/>
  </r>
  <r>
    <x v="33"/>
    <d v="2012-01-06T00:00:00"/>
    <x v="10"/>
    <x v="2"/>
    <x v="1930"/>
    <x v="0"/>
    <n v="70.41"/>
    <n v="3.4830000000000001"/>
    <n v="130.95922580000001"/>
    <n v="9.5749999999999993"/>
  </r>
  <r>
    <x v="33"/>
    <d v="2012-08-06T00:00:00"/>
    <x v="11"/>
    <x v="2"/>
    <x v="1931"/>
    <x v="0"/>
    <n v="75.349999999999994"/>
    <n v="3.4329999999999998"/>
    <n v="130.88967740000001"/>
    <n v="9.5749999999999993"/>
  </r>
  <r>
    <x v="33"/>
    <d v="2012-06-07T00:00:00"/>
    <x v="7"/>
    <x v="2"/>
    <x v="1932"/>
    <x v="0"/>
    <n v="77.95"/>
    <n v="3.1869999999999998"/>
    <n v="130.7196333"/>
    <n v="9.2850000000000001"/>
  </r>
  <r>
    <x v="33"/>
    <d v="2012-03-08T00:00:00"/>
    <x v="8"/>
    <x v="2"/>
    <x v="1933"/>
    <x v="0"/>
    <n v="78.930000000000007"/>
    <n v="3.3740000000000001"/>
    <n v="130.73787100000001"/>
    <n v="9.2850000000000001"/>
  </r>
  <r>
    <x v="33"/>
    <d v="2012-10-08T00:00:00"/>
    <x v="9"/>
    <x v="2"/>
    <x v="1934"/>
    <x v="0"/>
    <n v="78.260000000000005"/>
    <n v="3.476"/>
    <n v="130.7561613"/>
    <n v="9.2850000000000001"/>
  </r>
  <r>
    <x v="33"/>
    <d v="2012-07-09T00:00:00"/>
    <x v="4"/>
    <x v="2"/>
    <x v="1935"/>
    <x v="1"/>
    <n v="78.260000000000005"/>
    <n v="3.7090000000000001"/>
    <n v="130.9325484"/>
    <n v="9.2850000000000001"/>
  </r>
  <r>
    <x v="33"/>
    <d v="2012-05-10T00:00:00"/>
    <x v="0"/>
    <x v="2"/>
    <x v="1936"/>
    <x v="0"/>
    <n v="65.41"/>
    <n v="3.62"/>
    <n v="131.0756667"/>
    <n v="8.8390000000000004"/>
  </r>
  <r>
    <x v="33"/>
    <d v="2012-12-10T00:00:00"/>
    <x v="1"/>
    <x v="2"/>
    <x v="1937"/>
    <x v="0"/>
    <n v="59.94"/>
    <n v="3.6030000000000002"/>
    <n v="131.1083333"/>
    <n v="8.8390000000000004"/>
  </r>
  <r>
    <x v="34"/>
    <d v="2010-05-02T00:00:00"/>
    <x v="0"/>
    <x v="0"/>
    <x v="1938"/>
    <x v="0"/>
    <n v="27.19"/>
    <n v="2.7839999999999998"/>
    <n v="135.35246079999999"/>
    <n v="9.2620000000000005"/>
  </r>
  <r>
    <x v="34"/>
    <d v="2010-12-02T00:00:00"/>
    <x v="1"/>
    <x v="0"/>
    <x v="1939"/>
    <x v="1"/>
    <n v="29.81"/>
    <n v="2.7730000000000001"/>
    <n v="135.41130759999999"/>
    <n v="9.2620000000000005"/>
  </r>
  <r>
    <x v="34"/>
    <d v="2010-05-03T00:00:00"/>
    <x v="0"/>
    <x v="0"/>
    <x v="1940"/>
    <x v="0"/>
    <n v="38.07"/>
    <n v="2.7770000000000001"/>
    <n v="135.57326019999999"/>
    <n v="9.2620000000000005"/>
  </r>
  <r>
    <x v="34"/>
    <d v="2010-12-03T00:00:00"/>
    <x v="1"/>
    <x v="0"/>
    <x v="1941"/>
    <x v="0"/>
    <n v="45.98"/>
    <n v="2.8180000000000001"/>
    <n v="135.62700129999999"/>
    <n v="9.2620000000000005"/>
  </r>
  <r>
    <x v="34"/>
    <d v="2010-02-04T00:00:00"/>
    <x v="2"/>
    <x v="0"/>
    <x v="1942"/>
    <x v="0"/>
    <n v="46.9"/>
    <n v="2.85"/>
    <n v="135.74649880000001"/>
    <n v="9.0510000000000002"/>
  </r>
  <r>
    <x v="34"/>
    <d v="2010-09-04T00:00:00"/>
    <x v="3"/>
    <x v="0"/>
    <x v="1943"/>
    <x v="0"/>
    <n v="62.62"/>
    <n v="2.8690000000000002"/>
    <n v="135.78563589999999"/>
    <n v="9.0510000000000002"/>
  </r>
  <r>
    <x v="34"/>
    <d v="2010-07-05T00:00:00"/>
    <x v="4"/>
    <x v="0"/>
    <x v="1944"/>
    <x v="0"/>
    <n v="69.02"/>
    <n v="2.9660000000000002"/>
    <n v="135.96199999999999"/>
    <n v="9.0510000000000002"/>
  </r>
  <r>
    <x v="34"/>
    <d v="2010-04-06T00:00:00"/>
    <x v="5"/>
    <x v="0"/>
    <x v="1945"/>
    <x v="0"/>
    <n v="74.290000000000006"/>
    <n v="2.847"/>
    <n v="136.21816820000001"/>
    <n v="9.0510000000000002"/>
  </r>
  <r>
    <x v="34"/>
    <d v="2010-11-06T00:00:00"/>
    <x v="6"/>
    <x v="0"/>
    <x v="1946"/>
    <x v="0"/>
    <n v="68.900000000000006"/>
    <n v="2.8090000000000002"/>
    <n v="136.28742629999999"/>
    <n v="9.0510000000000002"/>
  </r>
  <r>
    <x v="34"/>
    <d v="2010-02-07T00:00:00"/>
    <x v="2"/>
    <x v="0"/>
    <x v="1947"/>
    <x v="0"/>
    <n v="76.25"/>
    <n v="2.8149999999999999"/>
    <n v="136.37228930000001"/>
    <n v="8.8610000000000007"/>
  </r>
  <r>
    <x v="34"/>
    <d v="2010-09-07T00:00:00"/>
    <x v="3"/>
    <x v="0"/>
    <x v="1948"/>
    <x v="0"/>
    <n v="82.69"/>
    <n v="2.7930000000000001"/>
    <n v="136.39626430000001"/>
    <n v="8.8610000000000007"/>
  </r>
  <r>
    <x v="34"/>
    <d v="2010-06-08T00:00:00"/>
    <x v="7"/>
    <x v="0"/>
    <x v="1949"/>
    <x v="0"/>
    <n v="77.45"/>
    <n v="2.7839999999999998"/>
    <n v="136.4741118"/>
    <n v="8.8610000000000007"/>
  </r>
  <r>
    <x v="34"/>
    <d v="2010-03-09T00:00:00"/>
    <x v="8"/>
    <x v="0"/>
    <x v="1950"/>
    <x v="0"/>
    <n v="78.52"/>
    <n v="2.7149999999999999"/>
    <n v="136.58911180000001"/>
    <n v="8.8610000000000007"/>
  </r>
  <r>
    <x v="34"/>
    <d v="2010-10-09T00:00:00"/>
    <x v="9"/>
    <x v="0"/>
    <x v="1951"/>
    <x v="1"/>
    <n v="70.38"/>
    <n v="2.6989999999999998"/>
    <n v="136.62120849999999"/>
    <n v="8.8610000000000007"/>
  </r>
  <r>
    <x v="34"/>
    <d v="2010-01-10T00:00:00"/>
    <x v="10"/>
    <x v="0"/>
    <x v="1952"/>
    <x v="0"/>
    <n v="70.19"/>
    <n v="2.7069999999999999"/>
    <n v="136.62975710000001"/>
    <n v="8.7629999999999999"/>
  </r>
  <r>
    <x v="34"/>
    <d v="2010-08-10T00:00:00"/>
    <x v="11"/>
    <x v="0"/>
    <x v="1953"/>
    <x v="0"/>
    <n v="57.78"/>
    <n v="2.7639999999999998"/>
    <n v="136.6277321"/>
    <n v="8.7629999999999999"/>
  </r>
  <r>
    <x v="34"/>
    <d v="2010-05-11T00:00:00"/>
    <x v="0"/>
    <x v="0"/>
    <x v="1954"/>
    <x v="0"/>
    <n v="45.91"/>
    <n v="2.9169999999999998"/>
    <n v="136.78622580000001"/>
    <n v="8.7629999999999999"/>
  </r>
  <r>
    <x v="34"/>
    <d v="2010-12-11T00:00:00"/>
    <x v="1"/>
    <x v="0"/>
    <x v="1955"/>
    <x v="0"/>
    <n v="45.9"/>
    <n v="2.931"/>
    <n v="136.83490320000001"/>
    <n v="8.7629999999999999"/>
  </r>
  <r>
    <x v="34"/>
    <d v="2010-03-12T00:00:00"/>
    <x v="8"/>
    <x v="0"/>
    <x v="1956"/>
    <x v="0"/>
    <n v="41.81"/>
    <n v="3.0459999999999998"/>
    <n v="136.60757140000001"/>
    <n v="8.7629999999999999"/>
  </r>
  <r>
    <x v="34"/>
    <d v="2010-10-12T00:00:00"/>
    <x v="9"/>
    <x v="0"/>
    <x v="1957"/>
    <x v="0"/>
    <n v="30.83"/>
    <n v="3.109"/>
    <n v="136.52557139999999"/>
    <n v="8.7629999999999999"/>
  </r>
  <r>
    <x v="34"/>
    <d v="2011-07-01T00:00:00"/>
    <x v="4"/>
    <x v="1"/>
    <x v="1958"/>
    <x v="0"/>
    <n v="34.42"/>
    <n v="3.1930000000000001"/>
    <n v="136.73325689999999"/>
    <n v="8.5489999999999995"/>
  </r>
  <r>
    <x v="34"/>
    <d v="2011-04-02T00:00:00"/>
    <x v="5"/>
    <x v="1"/>
    <x v="1959"/>
    <x v="0"/>
    <n v="28.7"/>
    <n v="3.2309999999999999"/>
    <n v="137.05424310000001"/>
    <n v="8.5489999999999995"/>
  </r>
  <r>
    <x v="34"/>
    <d v="2011-11-02T00:00:00"/>
    <x v="6"/>
    <x v="1"/>
    <x v="1960"/>
    <x v="1"/>
    <n v="30.45"/>
    <n v="3.2389999999999999"/>
    <n v="137.13783179999999"/>
    <n v="8.5489999999999995"/>
  </r>
  <r>
    <x v="34"/>
    <d v="2011-04-03T00:00:00"/>
    <x v="5"/>
    <x v="1"/>
    <x v="1961"/>
    <x v="0"/>
    <n v="36.99"/>
    <n v="3.4329999999999998"/>
    <n v="137.5017028"/>
    <n v="8.5489999999999995"/>
  </r>
  <r>
    <x v="34"/>
    <d v="2011-11-03T00:00:00"/>
    <x v="6"/>
    <x v="1"/>
    <x v="1962"/>
    <x v="0"/>
    <n v="43.64"/>
    <n v="3.5819999999999999"/>
    <n v="137.62696170000001"/>
    <n v="8.5489999999999995"/>
  </r>
  <r>
    <x v="34"/>
    <d v="2011-01-04T00:00:00"/>
    <x v="10"/>
    <x v="1"/>
    <x v="1963"/>
    <x v="0"/>
    <n v="37.270000000000003"/>
    <n v="3.6379999999999999"/>
    <n v="137.95589290000001"/>
    <n v="8.5120000000000005"/>
  </r>
  <r>
    <x v="34"/>
    <d v="2011-08-04T00:00:00"/>
    <x v="11"/>
    <x v="1"/>
    <x v="1964"/>
    <x v="0"/>
    <n v="46.87"/>
    <n v="3.72"/>
    <n v="138.06389290000001"/>
    <n v="8.5120000000000005"/>
  </r>
  <r>
    <x v="34"/>
    <d v="2011-06-05T00:00:00"/>
    <x v="7"/>
    <x v="1"/>
    <x v="1965"/>
    <x v="0"/>
    <n v="56.48"/>
    <n v="4.0460000000000003"/>
    <n v="138.41312020000001"/>
    <n v="8.5120000000000005"/>
  </r>
  <r>
    <x v="34"/>
    <d v="2011-03-06T00:00:00"/>
    <x v="8"/>
    <x v="1"/>
    <x v="1966"/>
    <x v="0"/>
    <n v="74.17"/>
    <n v="3.9220000000000002"/>
    <n v="138.76946079999999"/>
    <n v="8.5120000000000005"/>
  </r>
  <r>
    <x v="34"/>
    <d v="2011-10-06T00:00:00"/>
    <x v="9"/>
    <x v="1"/>
    <x v="1967"/>
    <x v="0"/>
    <n v="73.260000000000005"/>
    <n v="3.8809999999999998"/>
    <n v="138.86063820000001"/>
    <n v="8.5120000000000005"/>
  </r>
  <r>
    <x v="34"/>
    <d v="2011-01-07T00:00:00"/>
    <x v="10"/>
    <x v="1"/>
    <x v="1968"/>
    <x v="0"/>
    <n v="73.760000000000005"/>
    <n v="3.7480000000000002"/>
    <n v="139.36375000000001"/>
    <n v="8.6839999999999993"/>
  </r>
  <r>
    <x v="34"/>
    <d v="2011-08-07T00:00:00"/>
    <x v="11"/>
    <x v="1"/>
    <x v="1969"/>
    <x v="0"/>
    <n v="76.87"/>
    <n v="3.7109999999999999"/>
    <n v="139.54420830000001"/>
    <n v="8.6839999999999993"/>
  </r>
  <r>
    <x v="34"/>
    <d v="2011-05-08T00:00:00"/>
    <x v="0"/>
    <x v="1"/>
    <x v="1970"/>
    <x v="0"/>
    <n v="78.14"/>
    <n v="3.8420000000000001"/>
    <n v="139.98964860000001"/>
    <n v="8.6839999999999993"/>
  </r>
  <r>
    <x v="34"/>
    <d v="2011-12-08T00:00:00"/>
    <x v="1"/>
    <x v="1"/>
    <x v="1971"/>
    <x v="0"/>
    <n v="76.67"/>
    <n v="3.8119999999999998"/>
    <n v="140.0859873"/>
    <n v="8.6839999999999993"/>
  </r>
  <r>
    <x v="34"/>
    <d v="2011-02-09T00:00:00"/>
    <x v="2"/>
    <x v="1"/>
    <x v="1972"/>
    <x v="0"/>
    <n v="71.44"/>
    <n v="3.7029999999999998"/>
    <n v="140.19698500000001"/>
    <n v="8.6839999999999993"/>
  </r>
  <r>
    <x v="34"/>
    <d v="2011-09-09T00:00:00"/>
    <x v="3"/>
    <x v="1"/>
    <x v="1973"/>
    <x v="1"/>
    <n v="70.930000000000007"/>
    <n v="3.738"/>
    <n v="140.23101729999999"/>
    <n v="8.6839999999999993"/>
  </r>
  <r>
    <x v="34"/>
    <d v="2011-07-10T00:00:00"/>
    <x v="4"/>
    <x v="1"/>
    <x v="1974"/>
    <x v="0"/>
    <n v="56.91"/>
    <n v="3.5830000000000002"/>
    <n v="140.43475000000001"/>
    <n v="8.7449999999999992"/>
  </r>
  <r>
    <x v="34"/>
    <d v="2011-04-11T00:00:00"/>
    <x v="5"/>
    <x v="1"/>
    <x v="1975"/>
    <x v="0"/>
    <n v="44.46"/>
    <n v="3.5510000000000002"/>
    <n v="140.42797580000001"/>
    <n v="8.7449999999999992"/>
  </r>
  <r>
    <x v="34"/>
    <d v="2011-11-11T00:00:00"/>
    <x v="6"/>
    <x v="1"/>
    <x v="1976"/>
    <x v="0"/>
    <n v="49.69"/>
    <n v="3.53"/>
    <n v="140.4111613"/>
    <n v="8.7449999999999992"/>
  </r>
  <r>
    <x v="34"/>
    <d v="2011-02-12T00:00:00"/>
    <x v="2"/>
    <x v="1"/>
    <x v="1977"/>
    <x v="0"/>
    <n v="50.55"/>
    <n v="3.452"/>
    <n v="140.4307857"/>
    <n v="8.7449999999999992"/>
  </r>
  <r>
    <x v="34"/>
    <d v="2011-09-12T00:00:00"/>
    <x v="3"/>
    <x v="1"/>
    <x v="1978"/>
    <x v="0"/>
    <n v="46.28"/>
    <n v="3.415"/>
    <n v="140.43978569999999"/>
    <n v="8.7449999999999992"/>
  </r>
  <r>
    <x v="34"/>
    <d v="2012-06-01T00:00:00"/>
    <x v="7"/>
    <x v="2"/>
    <x v="1979"/>
    <x v="0"/>
    <n v="35.799999999999997"/>
    <n v="3.4220000000000002"/>
    <n v="140.64613589999999"/>
    <n v="8.7439999999999998"/>
  </r>
  <r>
    <x v="34"/>
    <d v="2012-03-02T00:00:00"/>
    <x v="8"/>
    <x v="2"/>
    <x v="1980"/>
    <x v="0"/>
    <n v="42.52"/>
    <n v="3.617"/>
    <n v="141.01619239999999"/>
    <n v="8.7439999999999998"/>
  </r>
  <r>
    <x v="34"/>
    <d v="2012-10-02T00:00:00"/>
    <x v="9"/>
    <x v="2"/>
    <x v="1981"/>
    <x v="1"/>
    <n v="37.86"/>
    <n v="3.64"/>
    <n v="141.11998270000001"/>
    <n v="8.7439999999999998"/>
  </r>
  <r>
    <x v="34"/>
    <d v="2012-02-03T00:00:00"/>
    <x v="2"/>
    <x v="2"/>
    <x v="1982"/>
    <x v="0"/>
    <n v="40.07"/>
    <n v="3.8159999999999998"/>
    <n v="141.3875357"/>
    <n v="8.7439999999999998"/>
  </r>
  <r>
    <x v="34"/>
    <d v="2012-09-03T00:00:00"/>
    <x v="3"/>
    <x v="2"/>
    <x v="1983"/>
    <x v="0"/>
    <n v="44.32"/>
    <n v="3.8479999999999999"/>
    <n v="141.4742857"/>
    <n v="8.7439999999999998"/>
  </r>
  <r>
    <x v="34"/>
    <d v="2012-06-04T00:00:00"/>
    <x v="7"/>
    <x v="2"/>
    <x v="1984"/>
    <x v="0"/>
    <n v="48.73"/>
    <n v="3.996"/>
    <n v="141.7712396"/>
    <n v="8.8759999999999994"/>
  </r>
  <r>
    <x v="34"/>
    <d v="2012-04-05T00:00:00"/>
    <x v="5"/>
    <x v="2"/>
    <x v="1985"/>
    <x v="0"/>
    <n v="53.68"/>
    <n v="3.9510000000000001"/>
    <n v="142.01779289999999"/>
    <n v="8.8759999999999994"/>
  </r>
  <r>
    <x v="34"/>
    <d v="2012-11-05T00:00:00"/>
    <x v="6"/>
    <x v="2"/>
    <x v="1986"/>
    <x v="0"/>
    <n v="58.97"/>
    <n v="3.8889999999999998"/>
    <n v="142.0759262"/>
    <n v="8.8759999999999994"/>
  </r>
  <r>
    <x v="34"/>
    <d v="2012-01-06T00:00:00"/>
    <x v="10"/>
    <x v="2"/>
    <x v="1987"/>
    <x v="0"/>
    <n v="73.400000000000006"/>
    <n v="3.742"/>
    <n v="142.10954380000001"/>
    <n v="8.8759999999999994"/>
  </r>
  <r>
    <x v="34"/>
    <d v="2012-08-06T00:00:00"/>
    <x v="11"/>
    <x v="2"/>
    <x v="1988"/>
    <x v="0"/>
    <n v="64.05"/>
    <n v="3.6890000000000001"/>
    <n v="142.11580989999999"/>
    <n v="8.8759999999999994"/>
  </r>
  <r>
    <x v="34"/>
    <d v="2012-06-07T00:00:00"/>
    <x v="7"/>
    <x v="2"/>
    <x v="1989"/>
    <x v="0"/>
    <n v="82.08"/>
    <n v="3.4750000000000001"/>
    <n v="142.22342979999999"/>
    <n v="8.8390000000000004"/>
  </r>
  <r>
    <x v="34"/>
    <d v="2012-03-08T00:00:00"/>
    <x v="8"/>
    <x v="2"/>
    <x v="1990"/>
    <x v="0"/>
    <n v="75.22"/>
    <n v="3.6539999999999999"/>
    <n v="142.19162789999999"/>
    <n v="8.8390000000000004"/>
  </r>
  <r>
    <x v="34"/>
    <d v="2012-10-08T00:00:00"/>
    <x v="9"/>
    <x v="2"/>
    <x v="1991"/>
    <x v="0"/>
    <n v="78.44"/>
    <n v="3.722"/>
    <n v="142.17056339999999"/>
    <n v="8.8390000000000004"/>
  </r>
  <r>
    <x v="34"/>
    <d v="2012-07-09T00:00:00"/>
    <x v="4"/>
    <x v="2"/>
    <x v="1992"/>
    <x v="1"/>
    <n v="76"/>
    <n v="3.911"/>
    <n v="142.500303"/>
    <n v="8.8390000000000004"/>
  </r>
  <r>
    <x v="34"/>
    <d v="2012-05-10T00:00:00"/>
    <x v="0"/>
    <x v="2"/>
    <x v="1993"/>
    <x v="0"/>
    <n v="64.5"/>
    <n v="3.9849999999999999"/>
    <n v="142.85168329999999"/>
    <n v="8.6649999999999991"/>
  </r>
  <r>
    <x v="34"/>
    <d v="2012-12-10T00:00:00"/>
    <x v="1"/>
    <x v="2"/>
    <x v="1994"/>
    <x v="0"/>
    <n v="55.4"/>
    <n v="4"/>
    <n v="142.93761670000001"/>
    <n v="8.6649999999999991"/>
  </r>
  <r>
    <x v="35"/>
    <d v="2010-05-02T00:00:00"/>
    <x v="0"/>
    <x v="0"/>
    <x v="1995"/>
    <x v="0"/>
    <n v="45.97"/>
    <n v="2.5449999999999999"/>
    <n v="209.85296629999999"/>
    <n v="8.5540000000000003"/>
  </r>
  <r>
    <x v="35"/>
    <d v="2010-12-02T00:00:00"/>
    <x v="1"/>
    <x v="0"/>
    <x v="1996"/>
    <x v="1"/>
    <n v="46.11"/>
    <n v="2.5390000000000001"/>
    <n v="209.9970208"/>
    <n v="8.5540000000000003"/>
  </r>
  <r>
    <x v="35"/>
    <d v="2010-05-03T00:00:00"/>
    <x v="0"/>
    <x v="0"/>
    <x v="1997"/>
    <x v="0"/>
    <n v="51.33"/>
    <n v="2.5739999999999998"/>
    <n v="210.10927459999999"/>
    <n v="8.5540000000000003"/>
  </r>
  <r>
    <x v="35"/>
    <d v="2010-12-03T00:00:00"/>
    <x v="1"/>
    <x v="0"/>
    <x v="1998"/>
    <x v="0"/>
    <n v="61.96"/>
    <n v="2.6190000000000002"/>
    <n v="210.14136070000001"/>
    <n v="8.5540000000000003"/>
  </r>
  <r>
    <x v="35"/>
    <d v="2010-02-04T00:00:00"/>
    <x v="2"/>
    <x v="0"/>
    <x v="1999"/>
    <x v="0"/>
    <n v="63.43"/>
    <n v="2.7080000000000002"/>
    <n v="209.59386559999999"/>
    <n v="8.4640000000000004"/>
  </r>
  <r>
    <x v="35"/>
    <d v="2010-09-04T00:00:00"/>
    <x v="3"/>
    <x v="0"/>
    <x v="2000"/>
    <x v="0"/>
    <n v="68.540000000000006"/>
    <n v="2.7429999999999999"/>
    <n v="209.40063799999999"/>
    <n v="8.4640000000000004"/>
  </r>
  <r>
    <x v="35"/>
    <d v="2010-07-05T00:00:00"/>
    <x v="4"/>
    <x v="0"/>
    <x v="2001"/>
    <x v="0"/>
    <n v="75.56"/>
    <n v="2.786"/>
    <n v="209.12158669999999"/>
    <n v="8.4640000000000004"/>
  </r>
  <r>
    <x v="35"/>
    <d v="2010-04-06T00:00:00"/>
    <x v="5"/>
    <x v="0"/>
    <x v="2002"/>
    <x v="0"/>
    <n v="79.930000000000007"/>
    <n v="2.6640000000000001"/>
    <n v="209.93980909999999"/>
    <n v="8.4640000000000004"/>
  </r>
  <r>
    <x v="35"/>
    <d v="2010-11-06T00:00:00"/>
    <x v="6"/>
    <x v="0"/>
    <x v="2003"/>
    <x v="0"/>
    <n v="82.3"/>
    <n v="2.6150000000000002"/>
    <n v="210.2135668"/>
    <n v="8.4640000000000004"/>
  </r>
  <r>
    <x v="35"/>
    <d v="2010-02-07T00:00:00"/>
    <x v="2"/>
    <x v="0"/>
    <x v="2004"/>
    <x v="0"/>
    <n v="81.849999999999994"/>
    <n v="2.6059999999999999"/>
    <n v="209.984205"/>
    <n v="8.36"/>
  </r>
  <r>
    <x v="35"/>
    <d v="2010-09-07T00:00:00"/>
    <x v="3"/>
    <x v="0"/>
    <x v="2005"/>
    <x v="0"/>
    <n v="81.739999999999995"/>
    <n v="2.5960000000000001"/>
    <n v="209.8708867"/>
    <n v="8.36"/>
  </r>
  <r>
    <x v="35"/>
    <d v="2010-06-08T00:00:00"/>
    <x v="7"/>
    <x v="0"/>
    <x v="2006"/>
    <x v="0"/>
    <n v="85.49"/>
    <n v="2.573"/>
    <n v="210.2614925"/>
    <n v="8.36"/>
  </r>
  <r>
    <x v="35"/>
    <d v="2010-03-09T00:00:00"/>
    <x v="8"/>
    <x v="0"/>
    <x v="2007"/>
    <x v="0"/>
    <n v="82.29"/>
    <n v="2.5329999999999999"/>
    <n v="210.29666309999999"/>
    <n v="8.36"/>
  </r>
  <r>
    <x v="35"/>
    <d v="2010-10-09T00:00:00"/>
    <x v="9"/>
    <x v="0"/>
    <x v="2008"/>
    <x v="1"/>
    <n v="80.58"/>
    <n v="2.5129999999999999"/>
    <n v="210.2641156"/>
    <n v="8.36"/>
  </r>
  <r>
    <x v="35"/>
    <d v="2010-01-10T00:00:00"/>
    <x v="10"/>
    <x v="0"/>
    <x v="2009"/>
    <x v="0"/>
    <n v="74.66"/>
    <n v="2.5670000000000002"/>
    <n v="210.4404433"/>
    <n v="8.4760000000000009"/>
  </r>
  <r>
    <x v="35"/>
    <d v="2010-08-10T00:00:00"/>
    <x v="11"/>
    <x v="0"/>
    <x v="2010"/>
    <x v="0"/>
    <n v="66.34"/>
    <n v="2.5950000000000002"/>
    <n v="210.51443979999999"/>
    <n v="8.4760000000000009"/>
  </r>
  <r>
    <x v="35"/>
    <d v="2010-05-11T00:00:00"/>
    <x v="0"/>
    <x v="0"/>
    <x v="2011"/>
    <x v="0"/>
    <n v="62.72"/>
    <n v="2.6549999999999998"/>
    <n v="210.72024440000001"/>
    <n v="8.4760000000000009"/>
  </r>
  <r>
    <x v="35"/>
    <d v="2010-12-11T00:00:00"/>
    <x v="1"/>
    <x v="0"/>
    <x v="2012"/>
    <x v="0"/>
    <n v="61.97"/>
    <n v="2.7050000000000001"/>
    <n v="210.76679440000001"/>
    <n v="8.4760000000000009"/>
  </r>
  <r>
    <x v="35"/>
    <d v="2010-03-12T00:00:00"/>
    <x v="8"/>
    <x v="0"/>
    <x v="2013"/>
    <x v="0"/>
    <n v="54.44"/>
    <n v="2.694"/>
    <n v="210.37626299999999"/>
    <n v="8.4760000000000009"/>
  </r>
  <r>
    <x v="35"/>
    <d v="2010-10-12T00:00:00"/>
    <x v="9"/>
    <x v="0"/>
    <x v="2014"/>
    <x v="0"/>
    <n v="51.83"/>
    <n v="2.8130000000000002"/>
    <n v="210.2372494"/>
    <n v="8.4760000000000009"/>
  </r>
  <r>
    <x v="35"/>
    <d v="2011-07-01T00:00:00"/>
    <x v="4"/>
    <x v="1"/>
    <x v="2015"/>
    <x v="0"/>
    <n v="54.11"/>
    <n v="2.9420000000000002"/>
    <n v="210.18423580000001"/>
    <n v="8.3949999999999996"/>
  </r>
  <r>
    <x v="35"/>
    <d v="2011-04-02T00:00:00"/>
    <x v="5"/>
    <x v="1"/>
    <x v="2016"/>
    <x v="0"/>
    <n v="46.68"/>
    <n v="2.98"/>
    <n v="211.3333753"/>
    <n v="8.3949999999999996"/>
  </r>
  <r>
    <x v="35"/>
    <d v="2011-11-02T00:00:00"/>
    <x v="6"/>
    <x v="1"/>
    <x v="2017"/>
    <x v="1"/>
    <n v="41.16"/>
    <n v="3.0089999999999999"/>
    <n v="211.69850930000001"/>
    <n v="8.3949999999999996"/>
  </r>
  <r>
    <x v="35"/>
    <d v="2011-04-03T00:00:00"/>
    <x v="5"/>
    <x v="1"/>
    <x v="2018"/>
    <x v="0"/>
    <n v="64.55"/>
    <n v="3.282"/>
    <n v="212.57620499999999"/>
    <n v="8.3949999999999996"/>
  </r>
  <r>
    <x v="35"/>
    <d v="2011-11-03T00:00:00"/>
    <x v="6"/>
    <x v="1"/>
    <x v="2019"/>
    <x v="0"/>
    <n v="59.15"/>
    <n v="3.448"/>
    <n v="212.86113130000001"/>
    <n v="8.3949999999999996"/>
  </r>
  <r>
    <x v="35"/>
    <d v="2011-01-04T00:00:00"/>
    <x v="10"/>
    <x v="1"/>
    <x v="2020"/>
    <x v="0"/>
    <n v="67.31"/>
    <n v="3.5289999999999999"/>
    <n v="213.57767010000001"/>
    <n v="8.3000000000000007"/>
  </r>
  <r>
    <x v="35"/>
    <d v="2011-08-04T00:00:00"/>
    <x v="11"/>
    <x v="1"/>
    <x v="2021"/>
    <x v="0"/>
    <n v="69.39"/>
    <n v="3.645"/>
    <n v="213.81166579999999"/>
    <n v="8.3000000000000007"/>
  </r>
  <r>
    <x v="35"/>
    <d v="2011-06-05T00:00:00"/>
    <x v="7"/>
    <x v="1"/>
    <x v="2022"/>
    <x v="0"/>
    <n v="69.56"/>
    <n v="3.9169999999999998"/>
    <n v="214.52403760000001"/>
    <n v="8.3000000000000007"/>
  </r>
  <r>
    <x v="35"/>
    <d v="2011-03-06T00:00:00"/>
    <x v="8"/>
    <x v="1"/>
    <x v="2023"/>
    <x v="0"/>
    <n v="82.96"/>
    <n v="3.69"/>
    <n v="214.01628049999999"/>
    <n v="8.3000000000000007"/>
  </r>
  <r>
    <x v="35"/>
    <d v="2011-10-06T00:00:00"/>
    <x v="9"/>
    <x v="1"/>
    <x v="2024"/>
    <x v="0"/>
    <n v="82.41"/>
    <n v="3.633"/>
    <n v="213.7917147"/>
    <n v="8.3000000000000007"/>
  </r>
  <r>
    <x v="35"/>
    <d v="2011-01-07T00:00:00"/>
    <x v="10"/>
    <x v="1"/>
    <x v="2025"/>
    <x v="0"/>
    <n v="85.33"/>
    <n v="3.5019999999999998"/>
    <n v="213.93241219999999"/>
    <n v="8.1769999999999996"/>
  </r>
  <r>
    <x v="35"/>
    <d v="2011-08-07T00:00:00"/>
    <x v="11"/>
    <x v="1"/>
    <x v="2026"/>
    <x v="0"/>
    <n v="84.71"/>
    <n v="3.44"/>
    <n v="214.02455560000001"/>
    <n v="8.1769999999999996"/>
  </r>
  <r>
    <x v="35"/>
    <d v="2011-05-08T00:00:00"/>
    <x v="0"/>
    <x v="1"/>
    <x v="2027"/>
    <x v="0"/>
    <n v="86.71"/>
    <n v="3.6520000000000001"/>
    <n v="214.2972939"/>
    <n v="8.1769999999999996"/>
  </r>
  <r>
    <x v="35"/>
    <d v="2011-12-08T00:00:00"/>
    <x v="1"/>
    <x v="1"/>
    <x v="2028"/>
    <x v="0"/>
    <n v="87.64"/>
    <n v="3.6080000000000001"/>
    <n v="214.36027010000001"/>
    <n v="8.1769999999999996"/>
  </r>
  <r>
    <x v="35"/>
    <d v="2011-02-09T00:00:00"/>
    <x v="2"/>
    <x v="1"/>
    <x v="2029"/>
    <x v="0"/>
    <n v="87.5"/>
    <n v="3.4809999999999999"/>
    <n v="214.5516896"/>
    <n v="8.1769999999999996"/>
  </r>
  <r>
    <x v="35"/>
    <d v="2011-09-09T00:00:00"/>
    <x v="3"/>
    <x v="1"/>
    <x v="2030"/>
    <x v="1"/>
    <n v="77.94"/>
    <n v="3.4990000000000001"/>
    <n v="214.61553760000001"/>
    <n v="8.1769999999999996"/>
  </r>
  <r>
    <x v="35"/>
    <d v="2011-07-10T00:00:00"/>
    <x v="4"/>
    <x v="1"/>
    <x v="2031"/>
    <x v="0"/>
    <n v="71.2"/>
    <n v="3.262"/>
    <n v="215.7831333"/>
    <n v="7.7160000000000002"/>
  </r>
  <r>
    <x v="35"/>
    <d v="2011-04-11T00:00:00"/>
    <x v="5"/>
    <x v="1"/>
    <x v="2032"/>
    <x v="0"/>
    <n v="58.97"/>
    <n v="3.2869999999999999"/>
    <n v="216.56343440000001"/>
    <n v="7.7160000000000002"/>
  </r>
  <r>
    <x v="35"/>
    <d v="2011-11-11T00:00:00"/>
    <x v="6"/>
    <x v="1"/>
    <x v="2033"/>
    <x v="0"/>
    <n v="63.5"/>
    <n v="3.254"/>
    <n v="216.7217373"/>
    <n v="7.7160000000000002"/>
  </r>
  <r>
    <x v="35"/>
    <d v="2011-02-12T00:00:00"/>
    <x v="2"/>
    <x v="1"/>
    <x v="2034"/>
    <x v="0"/>
    <n v="53.57"/>
    <n v="3.1640000000000001"/>
    <n v="217.4229206"/>
    <n v="7.7160000000000002"/>
  </r>
  <r>
    <x v="35"/>
    <d v="2011-09-12T00:00:00"/>
    <x v="3"/>
    <x v="1"/>
    <x v="2035"/>
    <x v="0"/>
    <n v="50.64"/>
    <n v="3.1469999999999998"/>
    <n v="217.66458779999999"/>
    <n v="7.7160000000000002"/>
  </r>
  <r>
    <x v="35"/>
    <d v="2012-06-01T00:00:00"/>
    <x v="7"/>
    <x v="2"/>
    <x v="2036"/>
    <x v="0"/>
    <n v="57.18"/>
    <n v="3.129"/>
    <n v="218.40628760000001"/>
    <n v="7.2439999999999998"/>
  </r>
  <r>
    <x v="35"/>
    <d v="2012-03-02T00:00:00"/>
    <x v="8"/>
    <x v="2"/>
    <x v="2037"/>
    <x v="0"/>
    <n v="61.33"/>
    <n v="3.4209999999999998"/>
    <n v="218.8619099"/>
    <n v="7.2439999999999998"/>
  </r>
  <r>
    <x v="35"/>
    <d v="2012-10-02T00:00:00"/>
    <x v="9"/>
    <x v="2"/>
    <x v="2038"/>
    <x v="1"/>
    <n v="54.49"/>
    <n v="3.4620000000000002"/>
    <n v="218.9551002"/>
    <n v="7.2439999999999998"/>
  </r>
  <r>
    <x v="35"/>
    <d v="2012-02-03T00:00:00"/>
    <x v="2"/>
    <x v="2"/>
    <x v="2039"/>
    <x v="0"/>
    <n v="64.540000000000006"/>
    <n v="3.6190000000000002"/>
    <n v="219.5340975"/>
    <n v="7.2439999999999998"/>
  </r>
  <r>
    <x v="35"/>
    <d v="2012-09-03T00:00:00"/>
    <x v="3"/>
    <x v="2"/>
    <x v="2040"/>
    <x v="0"/>
    <n v="63.19"/>
    <n v="3.6469999999999998"/>
    <n v="219.7437314"/>
    <n v="7.2439999999999998"/>
  </r>
  <r>
    <x v="35"/>
    <d v="2012-06-04T00:00:00"/>
    <x v="7"/>
    <x v="2"/>
    <x v="2041"/>
    <x v="0"/>
    <n v="73.95"/>
    <n v="3.9340000000000002"/>
    <n v="220.12041249999999"/>
    <n v="6.9889999999999999"/>
  </r>
  <r>
    <x v="35"/>
    <d v="2012-04-05T00:00:00"/>
    <x v="5"/>
    <x v="2"/>
    <x v="2042"/>
    <x v="0"/>
    <n v="77.17"/>
    <n v="3.835"/>
    <n v="220.3545033"/>
    <n v="6.9889999999999999"/>
  </r>
  <r>
    <x v="35"/>
    <d v="2012-11-05T00:00:00"/>
    <x v="6"/>
    <x v="2"/>
    <x v="2043"/>
    <x v="0"/>
    <n v="76.55"/>
    <n v="3.7639999999999998"/>
    <n v="220.40755809999999"/>
    <n v="6.9889999999999999"/>
  </r>
  <r>
    <x v="35"/>
    <d v="2012-01-06T00:00:00"/>
    <x v="10"/>
    <x v="2"/>
    <x v="2044"/>
    <x v="0"/>
    <n v="80.739999999999995"/>
    <n v="3.5670000000000002"/>
    <n v="220.4322099"/>
    <n v="6.9889999999999999"/>
  </r>
  <r>
    <x v="35"/>
    <d v="2012-08-06T00:00:00"/>
    <x v="11"/>
    <x v="2"/>
    <x v="2045"/>
    <x v="0"/>
    <n v="81.5"/>
    <n v="3.5129999999999999"/>
    <n v="220.43570729999999"/>
    <n v="6.9889999999999999"/>
  </r>
  <r>
    <x v="35"/>
    <d v="2012-06-07T00:00:00"/>
    <x v="7"/>
    <x v="2"/>
    <x v="2046"/>
    <x v="0"/>
    <n v="81.52"/>
    <n v="3.2320000000000002"/>
    <n v="220.56711200000001"/>
    <n v="6.6230000000000002"/>
  </r>
  <r>
    <x v="35"/>
    <d v="2012-03-08T00:00:00"/>
    <x v="8"/>
    <x v="2"/>
    <x v="2047"/>
    <x v="0"/>
    <n v="85.56"/>
    <n v="3.4039999999999999"/>
    <n v="220.63193580000001"/>
    <n v="6.6230000000000002"/>
  </r>
  <r>
    <x v="35"/>
    <d v="2012-10-08T00:00:00"/>
    <x v="9"/>
    <x v="2"/>
    <x v="2048"/>
    <x v="0"/>
    <n v="84.41"/>
    <n v="3.49"/>
    <n v="220.64046630000001"/>
    <n v="6.6230000000000002"/>
  </r>
  <r>
    <x v="35"/>
    <d v="2012-07-09T00:00:00"/>
    <x v="4"/>
    <x v="2"/>
    <x v="2049"/>
    <x v="1"/>
    <n v="84.19"/>
    <n v="3.6970000000000001"/>
    <n v="221.11811420000001"/>
    <n v="6.6230000000000002"/>
  </r>
  <r>
    <x v="35"/>
    <d v="2012-05-10T00:00:00"/>
    <x v="0"/>
    <x v="2"/>
    <x v="2050"/>
    <x v="0"/>
    <n v="73.569999999999993"/>
    <n v="3.6110000000000002"/>
    <n v="221.8533396"/>
    <n v="6.2279999999999998"/>
  </r>
  <r>
    <x v="35"/>
    <d v="2012-12-10T00:00:00"/>
    <x v="1"/>
    <x v="2"/>
    <x v="2051"/>
    <x v="0"/>
    <n v="71.28"/>
    <n v="3.5760000000000001"/>
    <n v="222.0510793"/>
    <n v="6.2279999999999998"/>
  </r>
  <r>
    <x v="36"/>
    <d v="2010-05-02T00:00:00"/>
    <x v="0"/>
    <x v="0"/>
    <x v="2052"/>
    <x v="0"/>
    <n v="45.97"/>
    <n v="2.5720000000000001"/>
    <n v="209.85296629999999"/>
    <n v="8.5540000000000003"/>
  </r>
  <r>
    <x v="36"/>
    <d v="2010-12-02T00:00:00"/>
    <x v="1"/>
    <x v="0"/>
    <x v="2053"/>
    <x v="1"/>
    <n v="46.11"/>
    <n v="2.548"/>
    <n v="209.9970208"/>
    <n v="8.5540000000000003"/>
  </r>
  <r>
    <x v="36"/>
    <d v="2010-05-03T00:00:00"/>
    <x v="0"/>
    <x v="0"/>
    <x v="2054"/>
    <x v="0"/>
    <n v="51.33"/>
    <n v="2.625"/>
    <n v="210.10927459999999"/>
    <n v="8.5540000000000003"/>
  </r>
  <r>
    <x v="36"/>
    <d v="2010-12-03T00:00:00"/>
    <x v="1"/>
    <x v="0"/>
    <x v="2055"/>
    <x v="0"/>
    <n v="61.96"/>
    <n v="2.6669999999999998"/>
    <n v="210.14136070000001"/>
    <n v="8.5540000000000003"/>
  </r>
  <r>
    <x v="36"/>
    <d v="2010-02-04T00:00:00"/>
    <x v="2"/>
    <x v="0"/>
    <x v="2056"/>
    <x v="0"/>
    <n v="63.43"/>
    <n v="2.7189999999999999"/>
    <n v="209.59386559999999"/>
    <n v="8.4640000000000004"/>
  </r>
  <r>
    <x v="36"/>
    <d v="2010-09-04T00:00:00"/>
    <x v="3"/>
    <x v="0"/>
    <x v="2057"/>
    <x v="0"/>
    <n v="68.540000000000006"/>
    <n v="2.77"/>
    <n v="209.40063799999999"/>
    <n v="8.4640000000000004"/>
  </r>
  <r>
    <x v="36"/>
    <d v="2010-07-05T00:00:00"/>
    <x v="4"/>
    <x v="0"/>
    <x v="2058"/>
    <x v="0"/>
    <n v="75.56"/>
    <n v="2.835"/>
    <n v="209.12158669999999"/>
    <n v="8.4640000000000004"/>
  </r>
  <r>
    <x v="36"/>
    <d v="2010-04-06T00:00:00"/>
    <x v="5"/>
    <x v="0"/>
    <x v="2059"/>
    <x v="0"/>
    <n v="79.930000000000007"/>
    <n v="2.7050000000000001"/>
    <n v="209.93980909999999"/>
    <n v="8.4640000000000004"/>
  </r>
  <r>
    <x v="36"/>
    <d v="2010-11-06T00:00:00"/>
    <x v="6"/>
    <x v="0"/>
    <x v="2060"/>
    <x v="0"/>
    <n v="82.3"/>
    <n v="2.6680000000000001"/>
    <n v="210.2135668"/>
    <n v="8.4640000000000004"/>
  </r>
  <r>
    <x v="36"/>
    <d v="2010-02-07T00:00:00"/>
    <x v="2"/>
    <x v="0"/>
    <x v="2061"/>
    <x v="0"/>
    <n v="81.849999999999994"/>
    <n v="2.669"/>
    <n v="209.984205"/>
    <n v="8.36"/>
  </r>
  <r>
    <x v="36"/>
    <d v="2010-09-07T00:00:00"/>
    <x v="3"/>
    <x v="0"/>
    <x v="2062"/>
    <x v="0"/>
    <n v="81.739999999999995"/>
    <n v="2.6419999999999999"/>
    <n v="209.8708867"/>
    <n v="8.36"/>
  </r>
  <r>
    <x v="36"/>
    <d v="2010-06-08T00:00:00"/>
    <x v="7"/>
    <x v="0"/>
    <x v="2063"/>
    <x v="0"/>
    <n v="85.49"/>
    <n v="2.6269999999999998"/>
    <n v="210.2614925"/>
    <n v="8.36"/>
  </r>
  <r>
    <x v="36"/>
    <d v="2010-03-09T00:00:00"/>
    <x v="8"/>
    <x v="0"/>
    <x v="2064"/>
    <x v="0"/>
    <n v="82.29"/>
    <n v="2.577"/>
    <n v="210.29666309999999"/>
    <n v="8.36"/>
  </r>
  <r>
    <x v="36"/>
    <d v="2010-10-09T00:00:00"/>
    <x v="9"/>
    <x v="0"/>
    <x v="2065"/>
    <x v="1"/>
    <n v="80.58"/>
    <n v="2.5649999999999999"/>
    <n v="210.2641156"/>
    <n v="8.36"/>
  </r>
  <r>
    <x v="36"/>
    <d v="2010-01-10T00:00:00"/>
    <x v="10"/>
    <x v="0"/>
    <x v="2066"/>
    <x v="0"/>
    <n v="74.66"/>
    <n v="2.6030000000000002"/>
    <n v="210.4404433"/>
    <n v="8.4760000000000009"/>
  </r>
  <r>
    <x v="36"/>
    <d v="2010-08-10T00:00:00"/>
    <x v="11"/>
    <x v="0"/>
    <x v="2067"/>
    <x v="0"/>
    <n v="66.34"/>
    <n v="2.633"/>
    <n v="210.51443979999999"/>
    <n v="8.4760000000000009"/>
  </r>
  <r>
    <x v="36"/>
    <d v="2010-05-11T00:00:00"/>
    <x v="0"/>
    <x v="0"/>
    <x v="2068"/>
    <x v="0"/>
    <n v="62.72"/>
    <n v="2.6890000000000001"/>
    <n v="210.72024440000001"/>
    <n v="8.4760000000000009"/>
  </r>
  <r>
    <x v="36"/>
    <d v="2010-12-11T00:00:00"/>
    <x v="1"/>
    <x v="0"/>
    <x v="2069"/>
    <x v="0"/>
    <n v="61.97"/>
    <n v="2.7280000000000002"/>
    <n v="210.76679440000001"/>
    <n v="8.4760000000000009"/>
  </r>
  <r>
    <x v="36"/>
    <d v="2010-03-12T00:00:00"/>
    <x v="8"/>
    <x v="0"/>
    <x v="2070"/>
    <x v="0"/>
    <n v="54.44"/>
    <n v="2.7080000000000002"/>
    <n v="210.37626299999999"/>
    <n v="8.4760000000000009"/>
  </r>
  <r>
    <x v="36"/>
    <d v="2010-10-12T00:00:00"/>
    <x v="9"/>
    <x v="0"/>
    <x v="2071"/>
    <x v="0"/>
    <n v="51.83"/>
    <n v="2.843"/>
    <n v="210.2372494"/>
    <n v="8.4760000000000009"/>
  </r>
  <r>
    <x v="36"/>
    <d v="2011-07-01T00:00:00"/>
    <x v="4"/>
    <x v="1"/>
    <x v="2072"/>
    <x v="0"/>
    <n v="54.11"/>
    <n v="2.976"/>
    <n v="210.18423580000001"/>
    <n v="8.3949999999999996"/>
  </r>
  <r>
    <x v="36"/>
    <d v="2011-04-02T00:00:00"/>
    <x v="5"/>
    <x v="1"/>
    <x v="2073"/>
    <x v="0"/>
    <n v="46.68"/>
    <n v="2.9889999999999999"/>
    <n v="211.3333753"/>
    <n v="8.3949999999999996"/>
  </r>
  <r>
    <x v="36"/>
    <d v="2011-11-02T00:00:00"/>
    <x v="6"/>
    <x v="1"/>
    <x v="2074"/>
    <x v="1"/>
    <n v="41.16"/>
    <n v="3.0219999999999998"/>
    <n v="211.69850930000001"/>
    <n v="8.3949999999999996"/>
  </r>
  <r>
    <x v="36"/>
    <d v="2011-04-03T00:00:00"/>
    <x v="5"/>
    <x v="1"/>
    <x v="2075"/>
    <x v="0"/>
    <n v="64.55"/>
    <n v="3.2879999999999998"/>
    <n v="212.57620499999999"/>
    <n v="8.3949999999999996"/>
  </r>
  <r>
    <x v="36"/>
    <d v="2011-11-03T00:00:00"/>
    <x v="6"/>
    <x v="1"/>
    <x v="2076"/>
    <x v="0"/>
    <n v="59.15"/>
    <n v="3.4590000000000001"/>
    <n v="212.86113130000001"/>
    <n v="8.3949999999999996"/>
  </r>
  <r>
    <x v="36"/>
    <d v="2011-01-04T00:00:00"/>
    <x v="10"/>
    <x v="1"/>
    <x v="2077"/>
    <x v="0"/>
    <n v="67.31"/>
    <n v="3.524"/>
    <n v="213.57767010000001"/>
    <n v="8.3000000000000007"/>
  </r>
  <r>
    <x v="36"/>
    <d v="2011-08-04T00:00:00"/>
    <x v="11"/>
    <x v="1"/>
    <x v="2078"/>
    <x v="0"/>
    <n v="69.39"/>
    <n v="3.6219999999999999"/>
    <n v="213.81166579999999"/>
    <n v="8.3000000000000007"/>
  </r>
  <r>
    <x v="36"/>
    <d v="2011-06-05T00:00:00"/>
    <x v="7"/>
    <x v="1"/>
    <x v="2079"/>
    <x v="0"/>
    <n v="69.56"/>
    <n v="3.9060000000000001"/>
    <n v="214.52403760000001"/>
    <n v="8.3000000000000007"/>
  </r>
  <r>
    <x v="36"/>
    <d v="2011-03-06T00:00:00"/>
    <x v="8"/>
    <x v="1"/>
    <x v="2080"/>
    <x v="0"/>
    <n v="82.96"/>
    <n v="3.6989999999999998"/>
    <n v="214.01628049999999"/>
    <n v="8.3000000000000007"/>
  </r>
  <r>
    <x v="36"/>
    <d v="2011-10-06T00:00:00"/>
    <x v="9"/>
    <x v="1"/>
    <x v="2081"/>
    <x v="0"/>
    <n v="82.41"/>
    <n v="3.6480000000000001"/>
    <n v="213.7917147"/>
    <n v="8.3000000000000007"/>
  </r>
  <r>
    <x v="36"/>
    <d v="2011-01-07T00:00:00"/>
    <x v="10"/>
    <x v="1"/>
    <x v="2082"/>
    <x v="0"/>
    <n v="85.33"/>
    <n v="3.524"/>
    <n v="213.93241219999999"/>
    <n v="8.1769999999999996"/>
  </r>
  <r>
    <x v="36"/>
    <d v="2011-08-07T00:00:00"/>
    <x v="11"/>
    <x v="1"/>
    <x v="2083"/>
    <x v="0"/>
    <n v="84.71"/>
    <n v="3.48"/>
    <n v="214.02455560000001"/>
    <n v="8.1769999999999996"/>
  </r>
  <r>
    <x v="36"/>
    <d v="2011-05-08T00:00:00"/>
    <x v="0"/>
    <x v="1"/>
    <x v="2084"/>
    <x v="0"/>
    <n v="86.71"/>
    <n v="3.6840000000000002"/>
    <n v="214.2972939"/>
    <n v="8.1769999999999996"/>
  </r>
  <r>
    <x v="36"/>
    <d v="2011-12-08T00:00:00"/>
    <x v="1"/>
    <x v="1"/>
    <x v="2085"/>
    <x v="0"/>
    <n v="87.64"/>
    <n v="3.6379999999999999"/>
    <n v="214.36027010000001"/>
    <n v="8.1769999999999996"/>
  </r>
  <r>
    <x v="36"/>
    <d v="2011-02-09T00:00:00"/>
    <x v="2"/>
    <x v="1"/>
    <x v="2086"/>
    <x v="0"/>
    <n v="87.5"/>
    <n v="3.5329999999999999"/>
    <n v="214.5516896"/>
    <n v="8.1769999999999996"/>
  </r>
  <r>
    <x v="36"/>
    <d v="2011-09-09T00:00:00"/>
    <x v="3"/>
    <x v="1"/>
    <x v="2087"/>
    <x v="1"/>
    <n v="77.94"/>
    <n v="3.5459999999999998"/>
    <n v="214.61553760000001"/>
    <n v="8.1769999999999996"/>
  </r>
  <r>
    <x v="36"/>
    <d v="2011-07-10T00:00:00"/>
    <x v="4"/>
    <x v="1"/>
    <x v="2088"/>
    <x v="0"/>
    <n v="71.2"/>
    <n v="3.2850000000000001"/>
    <n v="215.7831333"/>
    <n v="7.7160000000000002"/>
  </r>
  <r>
    <x v="36"/>
    <d v="2011-04-11T00:00:00"/>
    <x v="5"/>
    <x v="1"/>
    <x v="2089"/>
    <x v="0"/>
    <n v="58.97"/>
    <n v="3.3319999999999999"/>
    <n v="216.56343440000001"/>
    <n v="7.7160000000000002"/>
  </r>
  <r>
    <x v="36"/>
    <d v="2011-11-11T00:00:00"/>
    <x v="6"/>
    <x v="1"/>
    <x v="2090"/>
    <x v="0"/>
    <n v="63.5"/>
    <n v="3.2970000000000002"/>
    <n v="216.7217373"/>
    <n v="7.7160000000000002"/>
  </r>
  <r>
    <x v="36"/>
    <d v="2011-02-12T00:00:00"/>
    <x v="2"/>
    <x v="1"/>
    <x v="2091"/>
    <x v="0"/>
    <n v="53.57"/>
    <n v="3.1720000000000002"/>
    <n v="217.4229206"/>
    <n v="7.7160000000000002"/>
  </r>
  <r>
    <x v="36"/>
    <d v="2011-09-12T00:00:00"/>
    <x v="3"/>
    <x v="1"/>
    <x v="2092"/>
    <x v="0"/>
    <n v="50.64"/>
    <n v="3.1579999999999999"/>
    <n v="217.66458779999999"/>
    <n v="7.7160000000000002"/>
  </r>
  <r>
    <x v="36"/>
    <d v="2012-06-01T00:00:00"/>
    <x v="7"/>
    <x v="2"/>
    <x v="2093"/>
    <x v="0"/>
    <n v="57.18"/>
    <n v="3.157"/>
    <n v="218.40628760000001"/>
    <n v="7.2439999999999998"/>
  </r>
  <r>
    <x v="36"/>
    <d v="2012-03-02T00:00:00"/>
    <x v="8"/>
    <x v="2"/>
    <x v="2094"/>
    <x v="0"/>
    <n v="61.33"/>
    <n v="3.36"/>
    <n v="218.8619099"/>
    <n v="7.2439999999999998"/>
  </r>
  <r>
    <x v="36"/>
    <d v="2012-10-02T00:00:00"/>
    <x v="9"/>
    <x v="2"/>
    <x v="2095"/>
    <x v="1"/>
    <n v="54.49"/>
    <n v="3.4089999999999998"/>
    <n v="218.9551002"/>
    <n v="7.2439999999999998"/>
  </r>
  <r>
    <x v="36"/>
    <d v="2012-02-03T00:00:00"/>
    <x v="2"/>
    <x v="2"/>
    <x v="2096"/>
    <x v="0"/>
    <n v="64.540000000000006"/>
    <n v="3.63"/>
    <n v="219.5340975"/>
    <n v="7.2439999999999998"/>
  </r>
  <r>
    <x v="36"/>
    <d v="2012-09-03T00:00:00"/>
    <x v="3"/>
    <x v="2"/>
    <x v="2097"/>
    <x v="0"/>
    <n v="63.19"/>
    <n v="3.669"/>
    <n v="219.7437314"/>
    <n v="7.2439999999999998"/>
  </r>
  <r>
    <x v="36"/>
    <d v="2012-06-04T00:00:00"/>
    <x v="7"/>
    <x v="2"/>
    <x v="2098"/>
    <x v="0"/>
    <n v="73.95"/>
    <n v="3.891"/>
    <n v="220.12041249999999"/>
    <n v="6.9889999999999999"/>
  </r>
  <r>
    <x v="36"/>
    <d v="2012-04-05T00:00:00"/>
    <x v="5"/>
    <x v="2"/>
    <x v="2099"/>
    <x v="0"/>
    <n v="77.17"/>
    <n v="3.7490000000000001"/>
    <n v="220.3545033"/>
    <n v="6.9889999999999999"/>
  </r>
  <r>
    <x v="36"/>
    <d v="2012-11-05T00:00:00"/>
    <x v="6"/>
    <x v="2"/>
    <x v="2100"/>
    <x v="0"/>
    <n v="76.55"/>
    <n v="3.6880000000000002"/>
    <n v="220.40755809999999"/>
    <n v="6.9889999999999999"/>
  </r>
  <r>
    <x v="36"/>
    <d v="2012-01-06T00:00:00"/>
    <x v="10"/>
    <x v="2"/>
    <x v="2101"/>
    <x v="0"/>
    <n v="80.739999999999995"/>
    <n v="3.5009999999999999"/>
    <n v="220.4322099"/>
    <n v="6.9889999999999999"/>
  </r>
  <r>
    <x v="36"/>
    <d v="2012-08-06T00:00:00"/>
    <x v="11"/>
    <x v="2"/>
    <x v="2102"/>
    <x v="0"/>
    <n v="81.5"/>
    <n v="3.452"/>
    <n v="220.43570729999999"/>
    <n v="6.9889999999999999"/>
  </r>
  <r>
    <x v="36"/>
    <d v="2012-06-07T00:00:00"/>
    <x v="7"/>
    <x v="2"/>
    <x v="2103"/>
    <x v="0"/>
    <n v="81.52"/>
    <n v="3.2269999999999999"/>
    <n v="220.56711200000001"/>
    <n v="6.6230000000000002"/>
  </r>
  <r>
    <x v="36"/>
    <d v="2012-03-08T00:00:00"/>
    <x v="8"/>
    <x v="2"/>
    <x v="2104"/>
    <x v="0"/>
    <n v="85.56"/>
    <n v="3.4169999999999998"/>
    <n v="220.63193580000001"/>
    <n v="6.6230000000000002"/>
  </r>
  <r>
    <x v="36"/>
    <d v="2012-10-08T00:00:00"/>
    <x v="9"/>
    <x v="2"/>
    <x v="2105"/>
    <x v="0"/>
    <n v="84.41"/>
    <n v="3.4940000000000002"/>
    <n v="220.64046630000001"/>
    <n v="6.6230000000000002"/>
  </r>
  <r>
    <x v="36"/>
    <d v="2012-07-09T00:00:00"/>
    <x v="4"/>
    <x v="2"/>
    <x v="2106"/>
    <x v="1"/>
    <n v="84.19"/>
    <n v="3.73"/>
    <n v="221.11811420000001"/>
    <n v="6.6230000000000002"/>
  </r>
  <r>
    <x v="36"/>
    <d v="2012-05-10T00:00:00"/>
    <x v="0"/>
    <x v="2"/>
    <x v="2107"/>
    <x v="0"/>
    <n v="73.569999999999993"/>
    <n v="3.617"/>
    <n v="221.8533396"/>
    <n v="6.2279999999999998"/>
  </r>
  <r>
    <x v="36"/>
    <d v="2012-12-10T00:00:00"/>
    <x v="1"/>
    <x v="2"/>
    <x v="2108"/>
    <x v="0"/>
    <n v="71.28"/>
    <n v="3.601"/>
    <n v="222.0510793"/>
    <n v="6.2279999999999998"/>
  </r>
  <r>
    <x v="37"/>
    <d v="2010-05-02T00:00:00"/>
    <x v="0"/>
    <x v="0"/>
    <x v="2109"/>
    <x v="0"/>
    <n v="49.47"/>
    <n v="2.9620000000000002"/>
    <n v="126.4420645"/>
    <n v="13.975"/>
  </r>
  <r>
    <x v="37"/>
    <d v="2010-12-02T00:00:00"/>
    <x v="1"/>
    <x v="0"/>
    <x v="2110"/>
    <x v="1"/>
    <n v="47.87"/>
    <n v="2.9460000000000002"/>
    <n v="126.49625810000001"/>
    <n v="13.975"/>
  </r>
  <r>
    <x v="37"/>
    <d v="2010-05-03T00:00:00"/>
    <x v="0"/>
    <x v="0"/>
    <x v="2111"/>
    <x v="0"/>
    <n v="53.77"/>
    <n v="2.9870000000000001"/>
    <n v="126.5782857"/>
    <n v="13.975"/>
  </r>
  <r>
    <x v="37"/>
    <d v="2010-12-03T00:00:00"/>
    <x v="1"/>
    <x v="0"/>
    <x v="2112"/>
    <x v="0"/>
    <n v="50.11"/>
    <n v="2.9249999999999998"/>
    <n v="126.60428570000001"/>
    <n v="13.975"/>
  </r>
  <r>
    <x v="37"/>
    <d v="2010-02-04T00:00:00"/>
    <x v="2"/>
    <x v="0"/>
    <x v="2113"/>
    <x v="0"/>
    <n v="59.84"/>
    <n v="3.0859999999999999"/>
    <n v="126.6034839"/>
    <n v="14.099"/>
  </r>
  <r>
    <x v="37"/>
    <d v="2010-09-04T00:00:00"/>
    <x v="3"/>
    <x v="0"/>
    <x v="2114"/>
    <x v="0"/>
    <n v="59.25"/>
    <n v="3.09"/>
    <n v="126.6019032"/>
    <n v="14.099"/>
  </r>
  <r>
    <x v="37"/>
    <d v="2010-07-05T00:00:00"/>
    <x v="4"/>
    <x v="0"/>
    <x v="2115"/>
    <x v="0"/>
    <n v="70.150000000000006"/>
    <n v="3.1269999999999998"/>
    <n v="126.2898"/>
    <n v="14.099"/>
  </r>
  <r>
    <x v="37"/>
    <d v="2010-04-06T00:00:00"/>
    <x v="5"/>
    <x v="0"/>
    <x v="2116"/>
    <x v="0"/>
    <n v="81.39"/>
    <n v="2.9409999999999998"/>
    <n v="126.1360645"/>
    <n v="14.099"/>
  </r>
  <r>
    <x v="37"/>
    <d v="2010-11-06T00:00:00"/>
    <x v="6"/>
    <x v="0"/>
    <x v="2117"/>
    <x v="0"/>
    <n v="90.84"/>
    <n v="2.9489999999999998"/>
    <n v="126.1119032"/>
    <n v="14.099"/>
  </r>
  <r>
    <x v="37"/>
    <d v="2010-02-07T00:00:00"/>
    <x v="2"/>
    <x v="0"/>
    <x v="2118"/>
    <x v="0"/>
    <n v="91.98"/>
    <n v="3.105"/>
    <n v="126.1392"/>
    <n v="14.18"/>
  </r>
  <r>
    <x v="37"/>
    <d v="2010-09-07T00:00:00"/>
    <x v="3"/>
    <x v="0"/>
    <x v="2119"/>
    <x v="0"/>
    <n v="90.37"/>
    <n v="3.1"/>
    <n v="126.15179999999999"/>
    <n v="14.18"/>
  </r>
  <r>
    <x v="37"/>
    <d v="2010-06-08T00:00:00"/>
    <x v="7"/>
    <x v="0"/>
    <x v="2120"/>
    <x v="0"/>
    <n v="92.95"/>
    <n v="3.1230000000000002"/>
    <n v="126.0854516"/>
    <n v="14.18"/>
  </r>
  <r>
    <x v="37"/>
    <d v="2010-03-09T00:00:00"/>
    <x v="8"/>
    <x v="0"/>
    <x v="2121"/>
    <x v="0"/>
    <n v="83.12"/>
    <n v="3.0870000000000002"/>
    <n v="126.1019355"/>
    <n v="14.18"/>
  </r>
  <r>
    <x v="37"/>
    <d v="2010-10-09T00:00:00"/>
    <x v="9"/>
    <x v="0"/>
    <x v="2122"/>
    <x v="1"/>
    <n v="83.63"/>
    <n v="3.044"/>
    <n v="126.1145806"/>
    <n v="14.18"/>
  </r>
  <r>
    <x v="37"/>
    <d v="2010-01-10T00:00:00"/>
    <x v="10"/>
    <x v="0"/>
    <x v="2123"/>
    <x v="0"/>
    <n v="85.2"/>
    <n v="3.0009999999999999"/>
    <n v="126.2346"/>
    <n v="14.313000000000001"/>
  </r>
  <r>
    <x v="37"/>
    <d v="2010-08-10T00:00:00"/>
    <x v="11"/>
    <x v="0"/>
    <x v="2124"/>
    <x v="0"/>
    <n v="71.819999999999993"/>
    <n v="3.0129999999999999"/>
    <n v="126.2791667"/>
    <n v="14.313000000000001"/>
  </r>
  <r>
    <x v="37"/>
    <d v="2010-05-11T00:00:00"/>
    <x v="0"/>
    <x v="0"/>
    <x v="2125"/>
    <x v="0"/>
    <n v="65.489999999999995"/>
    <n v="3.129"/>
    <n v="126.4912903"/>
    <n v="14.313000000000001"/>
  </r>
  <r>
    <x v="37"/>
    <d v="2010-12-11T00:00:00"/>
    <x v="1"/>
    <x v="0"/>
    <x v="2126"/>
    <x v="0"/>
    <n v="57.79"/>
    <n v="3.13"/>
    <n v="126.54616129999999"/>
    <n v="14.313000000000001"/>
  </r>
  <r>
    <x v="37"/>
    <d v="2010-03-12T00:00:00"/>
    <x v="8"/>
    <x v="0"/>
    <x v="2127"/>
    <x v="0"/>
    <n v="43.33"/>
    <n v="3.0409999999999999"/>
    <n v="126.7313333"/>
    <n v="14.313000000000001"/>
  </r>
  <r>
    <x v="37"/>
    <d v="2010-10-12T00:00:00"/>
    <x v="9"/>
    <x v="0"/>
    <x v="2128"/>
    <x v="0"/>
    <n v="50.01"/>
    <n v="3.2029999999999998"/>
    <n v="126.79340000000001"/>
    <n v="14.313000000000001"/>
  </r>
  <r>
    <x v="37"/>
    <d v="2011-07-01T00:00:00"/>
    <x v="4"/>
    <x v="1"/>
    <x v="2129"/>
    <x v="0"/>
    <n v="37.64"/>
    <n v="3.2869999999999999"/>
    <n v="127.1917742"/>
    <n v="14.021000000000001"/>
  </r>
  <r>
    <x v="37"/>
    <d v="2011-04-02T00:00:00"/>
    <x v="5"/>
    <x v="1"/>
    <x v="2130"/>
    <x v="0"/>
    <n v="45.14"/>
    <n v="3.3479999999999999"/>
    <n v="127.7195806"/>
    <n v="14.021000000000001"/>
  </r>
  <r>
    <x v="37"/>
    <d v="2011-11-02T00:00:00"/>
    <x v="6"/>
    <x v="1"/>
    <x v="2131"/>
    <x v="1"/>
    <n v="51.3"/>
    <n v="3.3809999999999998"/>
    <n v="127.859129"/>
    <n v="14.021000000000001"/>
  </r>
  <r>
    <x v="37"/>
    <d v="2011-04-03T00:00:00"/>
    <x v="5"/>
    <x v="1"/>
    <x v="2132"/>
    <x v="0"/>
    <n v="51.72"/>
    <n v="3.6739999999999999"/>
    <n v="128.26474999999999"/>
    <n v="14.021000000000001"/>
  </r>
  <r>
    <x v="37"/>
    <d v="2011-11-03T00:00:00"/>
    <x v="6"/>
    <x v="1"/>
    <x v="2133"/>
    <x v="0"/>
    <n v="57.75"/>
    <n v="3.8180000000000001"/>
    <n v="128.39949999999999"/>
    <n v="14.021000000000001"/>
  </r>
  <r>
    <x v="37"/>
    <d v="2011-01-04T00:00:00"/>
    <x v="10"/>
    <x v="1"/>
    <x v="2134"/>
    <x v="0"/>
    <n v="63.63"/>
    <n v="3.7719999999999998"/>
    <n v="128.71993549999999"/>
    <n v="13.736000000000001"/>
  </r>
  <r>
    <x v="37"/>
    <d v="2011-08-04T00:00:00"/>
    <x v="11"/>
    <x v="1"/>
    <x v="2135"/>
    <x v="0"/>
    <n v="64.47"/>
    <n v="4.0030000000000001"/>
    <n v="128.82380649999999"/>
    <n v="13.736000000000001"/>
  </r>
  <r>
    <x v="37"/>
    <d v="2011-06-05T00:00:00"/>
    <x v="7"/>
    <x v="1"/>
    <x v="2136"/>
    <x v="0"/>
    <n v="68.400000000000006"/>
    <n v="4.1929999999999996"/>
    <n v="129.04443330000001"/>
    <n v="13.736000000000001"/>
  </r>
  <r>
    <x v="37"/>
    <d v="2011-03-06T00:00:00"/>
    <x v="8"/>
    <x v="1"/>
    <x v="2137"/>
    <x v="0"/>
    <n v="71.81"/>
    <n v="4.0309999999999997"/>
    <n v="129.04903229999999"/>
    <n v="13.736000000000001"/>
  </r>
  <r>
    <x v="37"/>
    <d v="2011-10-06T00:00:00"/>
    <x v="9"/>
    <x v="1"/>
    <x v="2138"/>
    <x v="0"/>
    <n v="78.72"/>
    <n v="3.9809999999999999"/>
    <n v="129.03570970000001"/>
    <n v="13.736000000000001"/>
  </r>
  <r>
    <x v="37"/>
    <d v="2011-01-07T00:00:00"/>
    <x v="10"/>
    <x v="1"/>
    <x v="2139"/>
    <x v="0"/>
    <n v="89.85"/>
    <n v="3.8420000000000001"/>
    <n v="129.08940000000001"/>
    <n v="13.503"/>
  </r>
  <r>
    <x v="37"/>
    <d v="2011-08-07T00:00:00"/>
    <x v="11"/>
    <x v="1"/>
    <x v="2140"/>
    <x v="0"/>
    <n v="89.9"/>
    <n v="3.7050000000000001"/>
    <n v="129.11250000000001"/>
    <n v="13.503"/>
  </r>
  <r>
    <x v="37"/>
    <d v="2011-05-08T00:00:00"/>
    <x v="0"/>
    <x v="1"/>
    <x v="2141"/>
    <x v="0"/>
    <n v="90.61"/>
    <n v="3.8029999999999999"/>
    <n v="129.18464520000001"/>
    <n v="13.503"/>
  </r>
  <r>
    <x v="37"/>
    <d v="2011-12-08T00:00:00"/>
    <x v="1"/>
    <x v="1"/>
    <x v="2142"/>
    <x v="0"/>
    <n v="91.04"/>
    <n v="3.7010000000000001"/>
    <n v="129.2015806"/>
    <n v="13.503"/>
  </r>
  <r>
    <x v="37"/>
    <d v="2011-02-09T00:00:00"/>
    <x v="2"/>
    <x v="1"/>
    <x v="2143"/>
    <x v="0"/>
    <n v="93.66"/>
    <n v="3.798"/>
    <n v="129.32593550000001"/>
    <n v="13.503"/>
  </r>
  <r>
    <x v="37"/>
    <d v="2011-09-09T00:00:00"/>
    <x v="3"/>
    <x v="1"/>
    <x v="2144"/>
    <x v="1"/>
    <n v="88"/>
    <n v="3.9129999999999998"/>
    <n v="129.36861289999999"/>
    <n v="13.503"/>
  </r>
  <r>
    <x v="37"/>
    <d v="2011-07-10T00:00:00"/>
    <x v="4"/>
    <x v="1"/>
    <x v="2145"/>
    <x v="0"/>
    <n v="70.44"/>
    <n v="3.827"/>
    <n v="129.69380000000001"/>
    <n v="12.89"/>
  </r>
  <r>
    <x v="37"/>
    <d v="2011-04-11T00:00:00"/>
    <x v="5"/>
    <x v="1"/>
    <x v="2146"/>
    <x v="0"/>
    <n v="59.77"/>
    <n v="3.8279999999999998"/>
    <n v="129.8051935"/>
    <n v="12.89"/>
  </r>
  <r>
    <x v="37"/>
    <d v="2011-11-11T00:00:00"/>
    <x v="6"/>
    <x v="1"/>
    <x v="2147"/>
    <x v="0"/>
    <n v="48.76"/>
    <n v="3.8239999999999998"/>
    <n v="129.81670969999999"/>
    <n v="12.89"/>
  </r>
  <r>
    <x v="37"/>
    <d v="2011-02-12T00:00:00"/>
    <x v="2"/>
    <x v="1"/>
    <x v="2148"/>
    <x v="0"/>
    <n v="52.5"/>
    <n v="3.7010000000000001"/>
    <n v="129.84596669999999"/>
    <n v="12.89"/>
  </r>
  <r>
    <x v="37"/>
    <d v="2011-09-12T00:00:00"/>
    <x v="3"/>
    <x v="1"/>
    <x v="2149"/>
    <x v="0"/>
    <n v="42.17"/>
    <n v="3.6440000000000001"/>
    <n v="129.85553329999999"/>
    <n v="12.89"/>
  </r>
  <r>
    <x v="37"/>
    <d v="2012-06-01T00:00:00"/>
    <x v="7"/>
    <x v="2"/>
    <x v="2150"/>
    <x v="0"/>
    <n v="50.43"/>
    <n v="3.5990000000000002"/>
    <n v="130.15751610000001"/>
    <n v="12.186999999999999"/>
  </r>
  <r>
    <x v="37"/>
    <d v="2012-03-02T00:00:00"/>
    <x v="8"/>
    <x v="2"/>
    <x v="2151"/>
    <x v="0"/>
    <n v="50.58"/>
    <n v="3.702"/>
    <n v="130.34967739999999"/>
    <n v="12.186999999999999"/>
  </r>
  <r>
    <x v="37"/>
    <d v="2012-10-02T00:00:00"/>
    <x v="9"/>
    <x v="2"/>
    <x v="2152"/>
    <x v="1"/>
    <n v="52.27"/>
    <n v="3.722"/>
    <n v="130.3849032"/>
    <n v="12.186999999999999"/>
  </r>
  <r>
    <x v="37"/>
    <d v="2012-02-03T00:00:00"/>
    <x v="2"/>
    <x v="2"/>
    <x v="2153"/>
    <x v="0"/>
    <n v="52.27"/>
    <n v="4.1779999999999999"/>
    <n v="130.64579309999999"/>
    <n v="12.186999999999999"/>
  </r>
  <r>
    <x v="37"/>
    <d v="2012-09-03T00:00:00"/>
    <x v="3"/>
    <x v="2"/>
    <x v="2154"/>
    <x v="0"/>
    <n v="54.54"/>
    <n v="4.25"/>
    <n v="130.74137930000001"/>
    <n v="12.186999999999999"/>
  </r>
  <r>
    <x v="37"/>
    <d v="2012-06-04T00:00:00"/>
    <x v="7"/>
    <x v="2"/>
    <x v="2155"/>
    <x v="0"/>
    <n v="64.05"/>
    <n v="4.1210000000000004"/>
    <n v="131.03754839999999"/>
    <n v="11.627000000000001"/>
  </r>
  <r>
    <x v="37"/>
    <d v="2012-04-05T00:00:00"/>
    <x v="5"/>
    <x v="2"/>
    <x v="2156"/>
    <x v="0"/>
    <n v="76.03"/>
    <n v="4.1710000000000003"/>
    <n v="131.136"/>
    <n v="11.627000000000001"/>
  </r>
  <r>
    <x v="37"/>
    <d v="2012-11-05T00:00:00"/>
    <x v="6"/>
    <x v="2"/>
    <x v="2157"/>
    <x v="0"/>
    <n v="77.27"/>
    <n v="4.1859999999999999"/>
    <n v="131.1453333"/>
    <n v="11.627000000000001"/>
  </r>
  <r>
    <x v="37"/>
    <d v="2012-01-06T00:00:00"/>
    <x v="10"/>
    <x v="2"/>
    <x v="2158"/>
    <x v="0"/>
    <n v="78.11"/>
    <n v="4.2770000000000001"/>
    <n v="130.95922580000001"/>
    <n v="11.627000000000001"/>
  </r>
  <r>
    <x v="37"/>
    <d v="2012-08-06T00:00:00"/>
    <x v="11"/>
    <x v="2"/>
    <x v="2159"/>
    <x v="0"/>
    <n v="84.83"/>
    <n v="4.1029999999999998"/>
    <n v="130.88967740000001"/>
    <n v="11.627000000000001"/>
  </r>
  <r>
    <x v="37"/>
    <d v="2012-06-07T00:00:00"/>
    <x v="7"/>
    <x v="2"/>
    <x v="2160"/>
    <x v="0"/>
    <n v="89.13"/>
    <n v="3.7650000000000001"/>
    <n v="130.7196333"/>
    <n v="10.926"/>
  </r>
  <r>
    <x v="37"/>
    <d v="2012-03-08T00:00:00"/>
    <x v="8"/>
    <x v="2"/>
    <x v="2161"/>
    <x v="0"/>
    <n v="88.16"/>
    <n v="3.76"/>
    <n v="130.73787100000001"/>
    <n v="10.926"/>
  </r>
  <r>
    <x v="37"/>
    <d v="2012-10-08T00:00:00"/>
    <x v="9"/>
    <x v="2"/>
    <x v="2162"/>
    <x v="0"/>
    <n v="95.91"/>
    <n v="3.8109999999999999"/>
    <n v="130.7561613"/>
    <n v="10.926"/>
  </r>
  <r>
    <x v="37"/>
    <d v="2012-07-09T00:00:00"/>
    <x v="4"/>
    <x v="2"/>
    <x v="2163"/>
    <x v="1"/>
    <n v="88.52"/>
    <n v="4.1239999999999997"/>
    <n v="130.9325484"/>
    <n v="10.926"/>
  </r>
  <r>
    <x v="37"/>
    <d v="2012-05-10T00:00:00"/>
    <x v="0"/>
    <x v="2"/>
    <x v="2164"/>
    <x v="0"/>
    <n v="81.61"/>
    <n v="3.9660000000000002"/>
    <n v="131.0756667"/>
    <n v="10.199"/>
  </r>
  <r>
    <x v="37"/>
    <d v="2012-12-10T00:00:00"/>
    <x v="1"/>
    <x v="2"/>
    <x v="2165"/>
    <x v="0"/>
    <n v="71.739999999999995"/>
    <n v="4.468"/>
    <n v="131.1083333"/>
    <n v="10.199"/>
  </r>
  <r>
    <x v="38"/>
    <d v="2010-05-02T00:00:00"/>
    <x v="0"/>
    <x v="0"/>
    <x v="2166"/>
    <x v="0"/>
    <n v="44.3"/>
    <n v="2.5720000000000001"/>
    <n v="209.85296629999999"/>
    <n v="8.5540000000000003"/>
  </r>
  <r>
    <x v="38"/>
    <d v="2010-12-02T00:00:00"/>
    <x v="1"/>
    <x v="0"/>
    <x v="2167"/>
    <x v="1"/>
    <n v="44.58"/>
    <n v="2.548"/>
    <n v="209.9970208"/>
    <n v="8.5540000000000003"/>
  </r>
  <r>
    <x v="38"/>
    <d v="2010-05-03T00:00:00"/>
    <x v="0"/>
    <x v="0"/>
    <x v="2168"/>
    <x v="0"/>
    <n v="50.93"/>
    <n v="2.625"/>
    <n v="210.10927459999999"/>
    <n v="8.5540000000000003"/>
  </r>
  <r>
    <x v="38"/>
    <d v="2010-12-03T00:00:00"/>
    <x v="1"/>
    <x v="0"/>
    <x v="2169"/>
    <x v="0"/>
    <n v="61.88"/>
    <n v="2.6669999999999998"/>
    <n v="210.14136070000001"/>
    <n v="8.5540000000000003"/>
  </r>
  <r>
    <x v="38"/>
    <d v="2010-02-04T00:00:00"/>
    <x v="2"/>
    <x v="0"/>
    <x v="2170"/>
    <x v="0"/>
    <n v="63.31"/>
    <n v="2.7189999999999999"/>
    <n v="209.59386559999999"/>
    <n v="8.4640000000000004"/>
  </r>
  <r>
    <x v="38"/>
    <d v="2010-09-04T00:00:00"/>
    <x v="3"/>
    <x v="0"/>
    <x v="2171"/>
    <x v="0"/>
    <n v="68.150000000000006"/>
    <n v="2.77"/>
    <n v="209.40063799999999"/>
    <n v="8.4640000000000004"/>
  </r>
  <r>
    <x v="38"/>
    <d v="2010-07-05T00:00:00"/>
    <x v="4"/>
    <x v="0"/>
    <x v="2172"/>
    <x v="0"/>
    <n v="74.86"/>
    <n v="2.835"/>
    <n v="209.12158669999999"/>
    <n v="8.4640000000000004"/>
  </r>
  <r>
    <x v="38"/>
    <d v="2010-04-06T00:00:00"/>
    <x v="5"/>
    <x v="0"/>
    <x v="2173"/>
    <x v="0"/>
    <n v="79.83"/>
    <n v="2.7050000000000001"/>
    <n v="209.93980909999999"/>
    <n v="8.4640000000000004"/>
  </r>
  <r>
    <x v="38"/>
    <d v="2010-11-06T00:00:00"/>
    <x v="6"/>
    <x v="0"/>
    <x v="2174"/>
    <x v="0"/>
    <n v="81.78"/>
    <n v="2.6680000000000001"/>
    <n v="210.2135668"/>
    <n v="8.4640000000000004"/>
  </r>
  <r>
    <x v="38"/>
    <d v="2010-02-07T00:00:00"/>
    <x v="2"/>
    <x v="0"/>
    <x v="2175"/>
    <x v="0"/>
    <n v="81.349999999999994"/>
    <n v="2.669"/>
    <n v="209.984205"/>
    <n v="8.36"/>
  </r>
  <r>
    <x v="38"/>
    <d v="2010-09-07T00:00:00"/>
    <x v="3"/>
    <x v="0"/>
    <x v="2176"/>
    <x v="0"/>
    <n v="81.099999999999994"/>
    <n v="2.6419999999999999"/>
    <n v="209.8708867"/>
    <n v="8.36"/>
  </r>
  <r>
    <x v="38"/>
    <d v="2010-06-08T00:00:00"/>
    <x v="7"/>
    <x v="0"/>
    <x v="2177"/>
    <x v="0"/>
    <n v="84.92"/>
    <n v="2.6269999999999998"/>
    <n v="210.2614925"/>
    <n v="8.36"/>
  </r>
  <r>
    <x v="38"/>
    <d v="2010-03-09T00:00:00"/>
    <x v="8"/>
    <x v="0"/>
    <x v="2178"/>
    <x v="0"/>
    <n v="82.13"/>
    <n v="2.577"/>
    <n v="210.29666309999999"/>
    <n v="8.36"/>
  </r>
  <r>
    <x v="38"/>
    <d v="2010-10-09T00:00:00"/>
    <x v="9"/>
    <x v="0"/>
    <x v="2179"/>
    <x v="1"/>
    <n v="79.94"/>
    <n v="2.5649999999999999"/>
    <n v="210.2641156"/>
    <n v="8.36"/>
  </r>
  <r>
    <x v="38"/>
    <d v="2010-01-10T00:00:00"/>
    <x v="10"/>
    <x v="0"/>
    <x v="2180"/>
    <x v="0"/>
    <n v="72.739999999999995"/>
    <n v="2.6030000000000002"/>
    <n v="210.4404433"/>
    <n v="8.4760000000000009"/>
  </r>
  <r>
    <x v="38"/>
    <d v="2010-08-10T00:00:00"/>
    <x v="11"/>
    <x v="0"/>
    <x v="2181"/>
    <x v="0"/>
    <n v="64.8"/>
    <n v="2.633"/>
    <n v="210.51443979999999"/>
    <n v="8.4760000000000009"/>
  </r>
  <r>
    <x v="38"/>
    <d v="2010-05-11T00:00:00"/>
    <x v="0"/>
    <x v="0"/>
    <x v="2182"/>
    <x v="0"/>
    <n v="61.62"/>
    <n v="2.6890000000000001"/>
    <n v="210.72024440000001"/>
    <n v="8.4760000000000009"/>
  </r>
  <r>
    <x v="38"/>
    <d v="2010-12-11T00:00:00"/>
    <x v="1"/>
    <x v="0"/>
    <x v="2183"/>
    <x v="0"/>
    <n v="62.21"/>
    <n v="2.7280000000000002"/>
    <n v="210.76679440000001"/>
    <n v="8.4760000000000009"/>
  </r>
  <r>
    <x v="38"/>
    <d v="2010-03-12T00:00:00"/>
    <x v="8"/>
    <x v="0"/>
    <x v="2184"/>
    <x v="0"/>
    <n v="53.55"/>
    <n v="2.7080000000000002"/>
    <n v="210.37626299999999"/>
    <n v="8.4760000000000009"/>
  </r>
  <r>
    <x v="38"/>
    <d v="2010-10-12T00:00:00"/>
    <x v="9"/>
    <x v="0"/>
    <x v="2185"/>
    <x v="0"/>
    <n v="50.81"/>
    <n v="2.843"/>
    <n v="210.2372494"/>
    <n v="8.4760000000000009"/>
  </r>
  <r>
    <x v="38"/>
    <d v="2011-07-01T00:00:00"/>
    <x v="4"/>
    <x v="1"/>
    <x v="2186"/>
    <x v="0"/>
    <n v="52.74"/>
    <n v="2.976"/>
    <n v="210.18423580000001"/>
    <n v="8.3949999999999996"/>
  </r>
  <r>
    <x v="38"/>
    <d v="2011-04-02T00:00:00"/>
    <x v="5"/>
    <x v="1"/>
    <x v="2187"/>
    <x v="0"/>
    <n v="45.96"/>
    <n v="2.9889999999999999"/>
    <n v="211.3333753"/>
    <n v="8.3949999999999996"/>
  </r>
  <r>
    <x v="38"/>
    <d v="2011-11-02T00:00:00"/>
    <x v="6"/>
    <x v="1"/>
    <x v="2188"/>
    <x v="1"/>
    <n v="40.340000000000003"/>
    <n v="3.0219999999999998"/>
    <n v="211.69850930000001"/>
    <n v="8.3949999999999996"/>
  </r>
  <r>
    <x v="38"/>
    <d v="2011-04-03T00:00:00"/>
    <x v="5"/>
    <x v="1"/>
    <x v="2189"/>
    <x v="0"/>
    <n v="63.56"/>
    <n v="3.2879999999999998"/>
    <n v="212.57620499999999"/>
    <n v="8.3949999999999996"/>
  </r>
  <r>
    <x v="38"/>
    <d v="2011-11-03T00:00:00"/>
    <x v="6"/>
    <x v="1"/>
    <x v="2190"/>
    <x v="0"/>
    <n v="58.35"/>
    <n v="3.4590000000000001"/>
    <n v="212.86113130000001"/>
    <n v="8.3949999999999996"/>
  </r>
  <r>
    <x v="38"/>
    <d v="2011-01-04T00:00:00"/>
    <x v="10"/>
    <x v="1"/>
    <x v="2191"/>
    <x v="0"/>
    <n v="66.569999999999993"/>
    <n v="3.524"/>
    <n v="213.57767010000001"/>
    <n v="8.3000000000000007"/>
  </r>
  <r>
    <x v="38"/>
    <d v="2011-08-04T00:00:00"/>
    <x v="11"/>
    <x v="1"/>
    <x v="2192"/>
    <x v="0"/>
    <n v="69.45"/>
    <n v="3.6219999999999999"/>
    <n v="213.81166579999999"/>
    <n v="8.3000000000000007"/>
  </r>
  <r>
    <x v="38"/>
    <d v="2011-06-05T00:00:00"/>
    <x v="7"/>
    <x v="1"/>
    <x v="2193"/>
    <x v="0"/>
    <n v="68.75"/>
    <n v="3.9060000000000001"/>
    <n v="214.52403760000001"/>
    <n v="8.3000000000000007"/>
  </r>
  <r>
    <x v="38"/>
    <d v="2011-03-06T00:00:00"/>
    <x v="8"/>
    <x v="1"/>
    <x v="2194"/>
    <x v="0"/>
    <n v="83.59"/>
    <n v="3.6989999999999998"/>
    <n v="214.01628049999999"/>
    <n v="8.3000000000000007"/>
  </r>
  <r>
    <x v="38"/>
    <d v="2011-10-06T00:00:00"/>
    <x v="9"/>
    <x v="1"/>
    <x v="2195"/>
    <x v="0"/>
    <n v="82.75"/>
    <n v="3.6480000000000001"/>
    <n v="213.7917147"/>
    <n v="8.3000000000000007"/>
  </r>
  <r>
    <x v="38"/>
    <d v="2011-01-07T00:00:00"/>
    <x v="10"/>
    <x v="1"/>
    <x v="2196"/>
    <x v="0"/>
    <n v="84.93"/>
    <n v="3.524"/>
    <n v="213.93241219999999"/>
    <n v="8.1769999999999996"/>
  </r>
  <r>
    <x v="38"/>
    <d v="2011-08-07T00:00:00"/>
    <x v="11"/>
    <x v="1"/>
    <x v="2197"/>
    <x v="0"/>
    <n v="84.33"/>
    <n v="3.48"/>
    <n v="214.02455560000001"/>
    <n v="8.1769999999999996"/>
  </r>
  <r>
    <x v="38"/>
    <d v="2011-05-08T00:00:00"/>
    <x v="0"/>
    <x v="1"/>
    <x v="2198"/>
    <x v="0"/>
    <n v="87.73"/>
    <n v="3.6840000000000002"/>
    <n v="214.2972939"/>
    <n v="8.1769999999999996"/>
  </r>
  <r>
    <x v="38"/>
    <d v="2011-12-08T00:00:00"/>
    <x v="1"/>
    <x v="1"/>
    <x v="2199"/>
    <x v="0"/>
    <n v="88.27"/>
    <n v="3.6379999999999999"/>
    <n v="214.36027010000001"/>
    <n v="8.1769999999999996"/>
  </r>
  <r>
    <x v="38"/>
    <d v="2011-02-09T00:00:00"/>
    <x v="2"/>
    <x v="1"/>
    <x v="2200"/>
    <x v="0"/>
    <n v="88.65"/>
    <n v="3.5329999999999999"/>
    <n v="214.5516896"/>
    <n v="8.1769999999999996"/>
  </r>
  <r>
    <x v="38"/>
    <d v="2011-09-09T00:00:00"/>
    <x v="3"/>
    <x v="1"/>
    <x v="2201"/>
    <x v="1"/>
    <n v="79.150000000000006"/>
    <n v="3.5459999999999998"/>
    <n v="214.61553760000001"/>
    <n v="8.1769999999999996"/>
  </r>
  <r>
    <x v="38"/>
    <d v="2011-07-10T00:00:00"/>
    <x v="4"/>
    <x v="1"/>
    <x v="2202"/>
    <x v="0"/>
    <n v="71.680000000000007"/>
    <n v="3.2850000000000001"/>
    <n v="215.7831333"/>
    <n v="7.7160000000000002"/>
  </r>
  <r>
    <x v="38"/>
    <d v="2011-04-11T00:00:00"/>
    <x v="5"/>
    <x v="1"/>
    <x v="2203"/>
    <x v="0"/>
    <n v="58.04"/>
    <n v="3.3319999999999999"/>
    <n v="216.56343440000001"/>
    <n v="7.7160000000000002"/>
  </r>
  <r>
    <x v="38"/>
    <d v="2011-11-11T00:00:00"/>
    <x v="6"/>
    <x v="1"/>
    <x v="2204"/>
    <x v="0"/>
    <n v="63.11"/>
    <n v="3.2970000000000002"/>
    <n v="216.7217373"/>
    <n v="7.7160000000000002"/>
  </r>
  <r>
    <x v="38"/>
    <d v="2011-02-12T00:00:00"/>
    <x v="2"/>
    <x v="1"/>
    <x v="2205"/>
    <x v="0"/>
    <n v="53.14"/>
    <n v="3.1720000000000002"/>
    <n v="217.4229206"/>
    <n v="7.7160000000000002"/>
  </r>
  <r>
    <x v="38"/>
    <d v="2011-09-12T00:00:00"/>
    <x v="3"/>
    <x v="1"/>
    <x v="2206"/>
    <x v="0"/>
    <n v="49.36"/>
    <n v="3.1579999999999999"/>
    <n v="217.66458779999999"/>
    <n v="7.7160000000000002"/>
  </r>
  <r>
    <x v="38"/>
    <d v="2012-06-01T00:00:00"/>
    <x v="7"/>
    <x v="2"/>
    <x v="2207"/>
    <x v="0"/>
    <n v="55.83"/>
    <n v="3.157"/>
    <n v="218.40628760000001"/>
    <n v="7.2439999999999998"/>
  </r>
  <r>
    <x v="38"/>
    <d v="2012-03-02T00:00:00"/>
    <x v="8"/>
    <x v="2"/>
    <x v="2208"/>
    <x v="0"/>
    <n v="60.69"/>
    <n v="3.36"/>
    <n v="218.8619099"/>
    <n v="7.2439999999999998"/>
  </r>
  <r>
    <x v="38"/>
    <d v="2012-10-02T00:00:00"/>
    <x v="9"/>
    <x v="2"/>
    <x v="2209"/>
    <x v="1"/>
    <n v="52.89"/>
    <n v="3.4089999999999998"/>
    <n v="218.9551002"/>
    <n v="7.2439999999999998"/>
  </r>
  <r>
    <x v="38"/>
    <d v="2012-02-03T00:00:00"/>
    <x v="2"/>
    <x v="2"/>
    <x v="2210"/>
    <x v="0"/>
    <n v="64.05"/>
    <n v="3.63"/>
    <n v="219.5340975"/>
    <n v="7.2439999999999998"/>
  </r>
  <r>
    <x v="38"/>
    <d v="2012-09-03T00:00:00"/>
    <x v="3"/>
    <x v="2"/>
    <x v="2211"/>
    <x v="0"/>
    <n v="61.64"/>
    <n v="3.669"/>
    <n v="219.7437314"/>
    <n v="7.2439999999999998"/>
  </r>
  <r>
    <x v="38"/>
    <d v="2012-06-04T00:00:00"/>
    <x v="7"/>
    <x v="2"/>
    <x v="2212"/>
    <x v="0"/>
    <n v="73.489999999999995"/>
    <n v="3.891"/>
    <n v="220.12041249999999"/>
    <n v="6.9889999999999999"/>
  </r>
  <r>
    <x v="38"/>
    <d v="2012-04-05T00:00:00"/>
    <x v="5"/>
    <x v="2"/>
    <x v="2213"/>
    <x v="0"/>
    <n v="77.150000000000006"/>
    <n v="3.7490000000000001"/>
    <n v="220.3545033"/>
    <n v="6.9889999999999999"/>
  </r>
  <r>
    <x v="38"/>
    <d v="2012-11-05T00:00:00"/>
    <x v="6"/>
    <x v="2"/>
    <x v="2214"/>
    <x v="0"/>
    <n v="75.52"/>
    <n v="3.6880000000000002"/>
    <n v="220.40755809999999"/>
    <n v="6.9889999999999999"/>
  </r>
  <r>
    <x v="38"/>
    <d v="2012-01-06T00:00:00"/>
    <x v="10"/>
    <x v="2"/>
    <x v="2215"/>
    <x v="0"/>
    <n v="80.33"/>
    <n v="3.5009999999999999"/>
    <n v="220.4322099"/>
    <n v="6.9889999999999999"/>
  </r>
  <r>
    <x v="38"/>
    <d v="2012-08-06T00:00:00"/>
    <x v="11"/>
    <x v="2"/>
    <x v="2216"/>
    <x v="0"/>
    <n v="81.12"/>
    <n v="3.452"/>
    <n v="220.43570729999999"/>
    <n v="6.9889999999999999"/>
  </r>
  <r>
    <x v="38"/>
    <d v="2012-06-07T00:00:00"/>
    <x v="7"/>
    <x v="2"/>
    <x v="2217"/>
    <x v="0"/>
    <n v="81.05"/>
    <n v="3.2269999999999999"/>
    <n v="220.56711200000001"/>
    <n v="6.6230000000000002"/>
  </r>
  <r>
    <x v="38"/>
    <d v="2012-03-08T00:00:00"/>
    <x v="8"/>
    <x v="2"/>
    <x v="2218"/>
    <x v="0"/>
    <n v="84.05"/>
    <n v="3.4169999999999998"/>
    <n v="220.63193580000001"/>
    <n v="6.6230000000000002"/>
  </r>
  <r>
    <x v="38"/>
    <d v="2012-10-08T00:00:00"/>
    <x v="9"/>
    <x v="2"/>
    <x v="2219"/>
    <x v="0"/>
    <n v="83.47"/>
    <n v="3.4940000000000002"/>
    <n v="220.64046630000001"/>
    <n v="6.6230000000000002"/>
  </r>
  <r>
    <x v="38"/>
    <d v="2012-07-09T00:00:00"/>
    <x v="4"/>
    <x v="2"/>
    <x v="2220"/>
    <x v="1"/>
    <n v="83.71"/>
    <n v="3.73"/>
    <n v="221.11811420000001"/>
    <n v="6.6230000000000002"/>
  </r>
  <r>
    <x v="38"/>
    <d v="2012-05-10T00:00:00"/>
    <x v="0"/>
    <x v="2"/>
    <x v="2221"/>
    <x v="0"/>
    <n v="72.05"/>
    <n v="3.617"/>
    <n v="221.8533396"/>
    <n v="6.2279999999999998"/>
  </r>
  <r>
    <x v="38"/>
    <d v="2012-12-10T00:00:00"/>
    <x v="1"/>
    <x v="2"/>
    <x v="2222"/>
    <x v="0"/>
    <n v="69.88"/>
    <n v="3.601"/>
    <n v="222.0510793"/>
    <n v="6.2279999999999998"/>
  </r>
  <r>
    <x v="39"/>
    <d v="2010-05-02T00:00:00"/>
    <x v="0"/>
    <x v="0"/>
    <x v="2223"/>
    <x v="0"/>
    <n v="14.48"/>
    <n v="2.7879999999999998"/>
    <n v="131.5279032"/>
    <n v="5.8920000000000003"/>
  </r>
  <r>
    <x v="39"/>
    <d v="2010-12-02T00:00:00"/>
    <x v="1"/>
    <x v="0"/>
    <x v="2224"/>
    <x v="1"/>
    <n v="20.84"/>
    <n v="2.7709999999999999"/>
    <n v="131.58661290000001"/>
    <n v="5.8920000000000003"/>
  </r>
  <r>
    <x v="39"/>
    <d v="2010-05-03T00:00:00"/>
    <x v="0"/>
    <x v="0"/>
    <x v="2225"/>
    <x v="0"/>
    <n v="34.78"/>
    <n v="2.766"/>
    <n v="131.73500000000001"/>
    <n v="5.8920000000000003"/>
  </r>
  <r>
    <x v="39"/>
    <d v="2010-12-03T00:00:00"/>
    <x v="1"/>
    <x v="0"/>
    <x v="2226"/>
    <x v="0"/>
    <n v="35.1"/>
    <n v="2.8050000000000002"/>
    <n v="131.78399999999999"/>
    <n v="5.8920000000000003"/>
  </r>
  <r>
    <x v="39"/>
    <d v="2010-02-04T00:00:00"/>
    <x v="2"/>
    <x v="0"/>
    <x v="2227"/>
    <x v="0"/>
    <n v="41.39"/>
    <n v="2.8260000000000001"/>
    <n v="131.9019677"/>
    <n v="5.4349999999999996"/>
  </r>
  <r>
    <x v="39"/>
    <d v="2010-09-04T00:00:00"/>
    <x v="3"/>
    <x v="0"/>
    <x v="2228"/>
    <x v="0"/>
    <n v="54.31"/>
    <n v="2.8490000000000002"/>
    <n v="131.94080650000001"/>
    <n v="5.4349999999999996"/>
  </r>
  <r>
    <x v="39"/>
    <d v="2010-07-05T00:00:00"/>
    <x v="4"/>
    <x v="0"/>
    <x v="2229"/>
    <x v="0"/>
    <n v="60.05"/>
    <n v="2.9809999999999999"/>
    <n v="132.1062"/>
    <n v="5.4349999999999996"/>
  </r>
  <r>
    <x v="39"/>
    <d v="2010-04-06T00:00:00"/>
    <x v="5"/>
    <x v="0"/>
    <x v="2230"/>
    <x v="0"/>
    <n v="65.7"/>
    <n v="2.8570000000000002"/>
    <n v="132.36483870000001"/>
    <n v="5.4349999999999996"/>
  </r>
  <r>
    <x v="39"/>
    <d v="2010-11-06T00:00:00"/>
    <x v="6"/>
    <x v="0"/>
    <x v="2231"/>
    <x v="0"/>
    <n v="59.42"/>
    <n v="2.83"/>
    <n v="132.43574190000001"/>
    <n v="5.4349999999999996"/>
  </r>
  <r>
    <x v="39"/>
    <d v="2010-02-07T00:00:00"/>
    <x v="2"/>
    <x v="0"/>
    <x v="2232"/>
    <x v="0"/>
    <n v="65.47"/>
    <n v="2.8149999999999999"/>
    <n v="132.5218667"/>
    <n v="5.3259999999999996"/>
  </r>
  <r>
    <x v="39"/>
    <d v="2010-09-07T00:00:00"/>
    <x v="3"/>
    <x v="0"/>
    <x v="2233"/>
    <x v="0"/>
    <n v="76.67"/>
    <n v="2.806"/>
    <n v="132.54613330000001"/>
    <n v="5.3259999999999996"/>
  </r>
  <r>
    <x v="39"/>
    <d v="2010-06-08T00:00:00"/>
    <x v="7"/>
    <x v="0"/>
    <x v="2234"/>
    <x v="0"/>
    <n v="69.16"/>
    <n v="2.7919999999999998"/>
    <n v="132.6141935"/>
    <n v="5.3259999999999996"/>
  </r>
  <r>
    <x v="39"/>
    <d v="2010-03-09T00:00:00"/>
    <x v="8"/>
    <x v="0"/>
    <x v="2235"/>
    <x v="0"/>
    <n v="70.66"/>
    <n v="2.7349999999999999"/>
    <n v="132.72483869999999"/>
    <n v="5.3259999999999996"/>
  </r>
  <r>
    <x v="39"/>
    <d v="2010-10-09T00:00:00"/>
    <x v="9"/>
    <x v="0"/>
    <x v="2236"/>
    <x v="1"/>
    <n v="62.75"/>
    <n v="2.7170000000000001"/>
    <n v="132.75645159999999"/>
    <n v="5.3259999999999996"/>
  </r>
  <r>
    <x v="39"/>
    <d v="2010-01-10T00:00:00"/>
    <x v="10"/>
    <x v="0"/>
    <x v="2237"/>
    <x v="0"/>
    <n v="62.01"/>
    <n v="2.7170000000000001"/>
    <n v="132.7568"/>
    <n v="5.2869999999999999"/>
  </r>
  <r>
    <x v="39"/>
    <d v="2010-08-10T00:00:00"/>
    <x v="11"/>
    <x v="0"/>
    <x v="2238"/>
    <x v="0"/>
    <n v="52.02"/>
    <n v="2.7759999999999998"/>
    <n v="132.75166669999999"/>
    <n v="5.2869999999999999"/>
  </r>
  <r>
    <x v="39"/>
    <d v="2010-05-11T00:00:00"/>
    <x v="0"/>
    <x v="0"/>
    <x v="2239"/>
    <x v="0"/>
    <n v="36.450000000000003"/>
    <n v="2.9380000000000002"/>
    <n v="132.92458060000001"/>
    <n v="5.2869999999999999"/>
  </r>
  <r>
    <x v="39"/>
    <d v="2010-12-11T00:00:00"/>
    <x v="1"/>
    <x v="0"/>
    <x v="2240"/>
    <x v="0"/>
    <n v="38.5"/>
    <n v="2.9609999999999999"/>
    <n v="132.97832260000001"/>
    <n v="5.2869999999999999"/>
  </r>
  <r>
    <x v="39"/>
    <d v="2010-03-12T00:00:00"/>
    <x v="8"/>
    <x v="0"/>
    <x v="2241"/>
    <x v="0"/>
    <n v="33.6"/>
    <n v="3.0649999999999999"/>
    <n v="132.75666670000001"/>
    <n v="5.2869999999999999"/>
  </r>
  <r>
    <x v="39"/>
    <d v="2010-10-12T00:00:00"/>
    <x v="9"/>
    <x v="0"/>
    <x v="2242"/>
    <x v="0"/>
    <n v="21.64"/>
    <n v="3.1320000000000001"/>
    <n v="132.6764"/>
    <n v="5.2869999999999999"/>
  </r>
  <r>
    <x v="39"/>
    <d v="2011-07-01T00:00:00"/>
    <x v="4"/>
    <x v="1"/>
    <x v="2243"/>
    <x v="0"/>
    <n v="24.05"/>
    <n v="3.1930000000000001"/>
    <n v="132.88232260000001"/>
    <n v="5.1139999999999999"/>
  </r>
  <r>
    <x v="39"/>
    <d v="2011-04-02T00:00:00"/>
    <x v="5"/>
    <x v="1"/>
    <x v="2244"/>
    <x v="0"/>
    <n v="13.29"/>
    <n v="3.24"/>
    <n v="133.18341939999999"/>
    <n v="5.1139999999999999"/>
  </r>
  <r>
    <x v="39"/>
    <d v="2011-11-02T00:00:00"/>
    <x v="6"/>
    <x v="1"/>
    <x v="2245"/>
    <x v="1"/>
    <n v="16.87"/>
    <n v="3.2549999999999999"/>
    <n v="133.26087100000001"/>
    <n v="5.1139999999999999"/>
  </r>
  <r>
    <x v="39"/>
    <d v="2011-04-03T00:00:00"/>
    <x v="5"/>
    <x v="1"/>
    <x v="2246"/>
    <x v="0"/>
    <n v="18.489999999999998"/>
    <n v="3.4369999999999998"/>
    <n v="133.61414289999999"/>
    <n v="5.1139999999999999"/>
  </r>
  <r>
    <x v="39"/>
    <d v="2011-11-03T00:00:00"/>
    <x v="6"/>
    <x v="1"/>
    <x v="2247"/>
    <x v="0"/>
    <n v="30.53"/>
    <n v="3.6"/>
    <n v="133.7361429"/>
    <n v="5.1139999999999999"/>
  </r>
  <r>
    <x v="39"/>
    <d v="2011-01-04T00:00:00"/>
    <x v="10"/>
    <x v="1"/>
    <x v="2248"/>
    <x v="0"/>
    <n v="28.6"/>
    <n v="3.6379999999999999"/>
    <n v="134.06825810000001"/>
    <n v="4.7809999999999997"/>
  </r>
  <r>
    <x v="39"/>
    <d v="2011-08-04T00:00:00"/>
    <x v="11"/>
    <x v="1"/>
    <x v="2249"/>
    <x v="0"/>
    <n v="34.770000000000003"/>
    <n v="3.72"/>
    <n v="134.17777419999999"/>
    <n v="4.7809999999999997"/>
  </r>
  <r>
    <x v="39"/>
    <d v="2011-06-05T00:00:00"/>
    <x v="7"/>
    <x v="1"/>
    <x v="2250"/>
    <x v="0"/>
    <n v="50.81"/>
    <n v="4.0780000000000003"/>
    <n v="134.51436670000001"/>
    <n v="4.7809999999999997"/>
  </r>
  <r>
    <x v="39"/>
    <d v="2011-03-06T00:00:00"/>
    <x v="8"/>
    <x v="1"/>
    <x v="2251"/>
    <x v="0"/>
    <n v="66.16"/>
    <n v="3.9729999999999999"/>
    <n v="134.85516129999999"/>
    <n v="4.7809999999999997"/>
  </r>
  <r>
    <x v="39"/>
    <d v="2011-10-06T00:00:00"/>
    <x v="9"/>
    <x v="1"/>
    <x v="2252"/>
    <x v="0"/>
    <n v="64.19"/>
    <n v="3.9239999999999999"/>
    <n v="134.94254839999999"/>
    <n v="4.7809999999999997"/>
  </r>
  <r>
    <x v="39"/>
    <d v="2011-01-07T00:00:00"/>
    <x v="10"/>
    <x v="1"/>
    <x v="2253"/>
    <x v="0"/>
    <n v="65.25"/>
    <n v="3.8149999999999999"/>
    <n v="135.4468"/>
    <n v="4.5839999999999996"/>
  </r>
  <r>
    <x v="39"/>
    <d v="2011-08-07T00:00:00"/>
    <x v="11"/>
    <x v="1"/>
    <x v="2254"/>
    <x v="0"/>
    <n v="67.86"/>
    <n v="3.7839999999999998"/>
    <n v="135.62833330000001"/>
    <n v="4.5839999999999996"/>
  </r>
  <r>
    <x v="39"/>
    <d v="2011-05-08T00:00:00"/>
    <x v="0"/>
    <x v="1"/>
    <x v="2255"/>
    <x v="0"/>
    <n v="68.099999999999994"/>
    <n v="3.903"/>
    <n v="136.05403229999999"/>
    <n v="4.5839999999999996"/>
  </r>
  <r>
    <x v="39"/>
    <d v="2011-12-08T00:00:00"/>
    <x v="1"/>
    <x v="1"/>
    <x v="2256"/>
    <x v="0"/>
    <n v="68.3"/>
    <n v="3.88"/>
    <n v="136.14412899999999"/>
    <n v="4.5839999999999996"/>
  </r>
  <r>
    <x v="39"/>
    <d v="2011-02-09T00:00:00"/>
    <x v="2"/>
    <x v="1"/>
    <x v="2257"/>
    <x v="0"/>
    <n v="63.79"/>
    <n v="3.7839999999999998"/>
    <n v="136.24409679999999"/>
    <n v="4.5839999999999996"/>
  </r>
  <r>
    <x v="39"/>
    <d v="2011-09-09T00:00:00"/>
    <x v="3"/>
    <x v="1"/>
    <x v="2258"/>
    <x v="1"/>
    <n v="64.83"/>
    <n v="3.8090000000000002"/>
    <n v="136.27458060000001"/>
    <n v="4.5839999999999996"/>
  </r>
  <r>
    <x v="39"/>
    <d v="2011-07-10T00:00:00"/>
    <x v="4"/>
    <x v="1"/>
    <x v="2259"/>
    <x v="0"/>
    <n v="50.21"/>
    <n v="3.633"/>
    <n v="136.47200000000001"/>
    <n v="4.42"/>
  </r>
  <r>
    <x v="39"/>
    <d v="2011-04-11T00:00:00"/>
    <x v="5"/>
    <x v="1"/>
    <x v="2260"/>
    <x v="0"/>
    <n v="35.4"/>
    <n v="3.5859999999999999"/>
    <n v="136.47512900000001"/>
    <n v="4.42"/>
  </r>
  <r>
    <x v="39"/>
    <d v="2011-11-11T00:00:00"/>
    <x v="6"/>
    <x v="1"/>
    <x v="2261"/>
    <x v="0"/>
    <n v="40.75"/>
    <n v="3.57"/>
    <n v="136.46180649999999"/>
    <n v="4.42"/>
  </r>
  <r>
    <x v="39"/>
    <d v="2011-02-12T00:00:00"/>
    <x v="2"/>
    <x v="1"/>
    <x v="2262"/>
    <x v="0"/>
    <n v="38.51"/>
    <n v="3.5009999999999999"/>
    <n v="136.49093329999999"/>
    <n v="4.42"/>
  </r>
  <r>
    <x v="39"/>
    <d v="2011-09-12T00:00:00"/>
    <x v="3"/>
    <x v="1"/>
    <x v="2263"/>
    <x v="0"/>
    <n v="34.479999999999997"/>
    <n v="3.47"/>
    <n v="136.50306670000001"/>
    <n v="4.42"/>
  </r>
  <r>
    <x v="39"/>
    <d v="2012-06-01T00:00:00"/>
    <x v="7"/>
    <x v="2"/>
    <x v="2264"/>
    <x v="0"/>
    <n v="23.29"/>
    <n v="3.4390000000000001"/>
    <n v="136.69812899999999"/>
    <n v="4.2610000000000001"/>
  </r>
  <r>
    <x v="39"/>
    <d v="2012-03-02T00:00:00"/>
    <x v="8"/>
    <x v="2"/>
    <x v="2265"/>
    <x v="0"/>
    <n v="27.86"/>
    <n v="3.633"/>
    <n v="137.06325810000001"/>
    <n v="4.2610000000000001"/>
  </r>
  <r>
    <x v="39"/>
    <d v="2012-10-02T00:00:00"/>
    <x v="9"/>
    <x v="2"/>
    <x v="2266"/>
    <x v="1"/>
    <n v="23.92"/>
    <n v="3.6549999999999998"/>
    <n v="137.1666774"/>
    <n v="4.2610000000000001"/>
  </r>
  <r>
    <x v="39"/>
    <d v="2012-02-03T00:00:00"/>
    <x v="2"/>
    <x v="2"/>
    <x v="2267"/>
    <x v="0"/>
    <n v="23.79"/>
    <n v="3.827"/>
    <n v="137.42389660000001"/>
    <n v="4.2610000000000001"/>
  </r>
  <r>
    <x v="39"/>
    <d v="2012-09-03T00:00:00"/>
    <x v="3"/>
    <x v="2"/>
    <x v="2268"/>
    <x v="0"/>
    <n v="30.58"/>
    <n v="3.8759999999999999"/>
    <n v="137.50668970000001"/>
    <n v="4.2610000000000001"/>
  </r>
  <r>
    <x v="39"/>
    <d v="2012-06-04T00:00:00"/>
    <x v="7"/>
    <x v="2"/>
    <x v="2269"/>
    <x v="0"/>
    <n v="36.54"/>
    <n v="3.9569999999999999"/>
    <n v="137.79709679999999"/>
    <n v="4.125"/>
  </r>
  <r>
    <x v="39"/>
    <d v="2012-04-05T00:00:00"/>
    <x v="5"/>
    <x v="2"/>
    <x v="2270"/>
    <x v="0"/>
    <n v="44.47"/>
    <n v="3.9910000000000001"/>
    <n v="138.03319999999999"/>
    <n v="4.125"/>
  </r>
  <r>
    <x v="39"/>
    <d v="2012-11-05T00:00:00"/>
    <x v="6"/>
    <x v="2"/>
    <x v="2271"/>
    <x v="0"/>
    <n v="52.06"/>
    <n v="3.9470000000000001"/>
    <n v="138.08826669999999"/>
    <n v="4.125"/>
  </r>
  <r>
    <x v="39"/>
    <d v="2012-01-06T00:00:00"/>
    <x v="10"/>
    <x v="2"/>
    <x v="2272"/>
    <x v="0"/>
    <n v="64.75"/>
    <n v="3.798"/>
    <n v="138.11380650000001"/>
    <n v="4.125"/>
  </r>
  <r>
    <x v="39"/>
    <d v="2012-08-06T00:00:00"/>
    <x v="11"/>
    <x v="2"/>
    <x v="2273"/>
    <x v="0"/>
    <n v="55.78"/>
    <n v="3.746"/>
    <n v="138.11741939999999"/>
    <n v="4.125"/>
  </r>
  <r>
    <x v="39"/>
    <d v="2012-06-07T00:00:00"/>
    <x v="7"/>
    <x v="2"/>
    <x v="2274"/>
    <x v="0"/>
    <n v="69.08"/>
    <n v="3.5379999999999998"/>
    <n v="138.22963329999999"/>
    <n v="4.1559999999999997"/>
  </r>
  <r>
    <x v="39"/>
    <d v="2012-03-08T00:00:00"/>
    <x v="8"/>
    <x v="2"/>
    <x v="2275"/>
    <x v="0"/>
    <n v="70.150000000000006"/>
    <n v="3.698"/>
    <n v="138.17358060000001"/>
    <n v="4.1559999999999997"/>
  </r>
  <r>
    <x v="39"/>
    <d v="2012-10-08T00:00:00"/>
    <x v="9"/>
    <x v="2"/>
    <x v="2276"/>
    <x v="0"/>
    <n v="70.09"/>
    <n v="3.7719999999999998"/>
    <n v="138.1437742"/>
    <n v="4.1559999999999997"/>
  </r>
  <r>
    <x v="39"/>
    <d v="2012-07-09T00:00:00"/>
    <x v="4"/>
    <x v="2"/>
    <x v="2277"/>
    <x v="1"/>
    <n v="65.06"/>
    <n v="3.9209999999999998"/>
    <n v="138.47293550000001"/>
    <n v="4.1559999999999997"/>
  </r>
  <r>
    <x v="39"/>
    <d v="2012-05-10T00:00:00"/>
    <x v="0"/>
    <x v="2"/>
    <x v="2278"/>
    <x v="0"/>
    <n v="57.21"/>
    <n v="4.0270000000000001"/>
    <n v="138.82560000000001"/>
    <n v="4.1449999999999996"/>
  </r>
  <r>
    <x v="39"/>
    <d v="2012-12-10T00:00:00"/>
    <x v="1"/>
    <x v="2"/>
    <x v="2279"/>
    <x v="0"/>
    <n v="47.35"/>
    <n v="4.0289999999999999"/>
    <n v="138.9117"/>
    <n v="4.1449999999999996"/>
  </r>
  <r>
    <x v="40"/>
    <d v="2010-05-02T00:00:00"/>
    <x v="0"/>
    <x v="0"/>
    <x v="2280"/>
    <x v="0"/>
    <n v="30.27"/>
    <n v="2.58"/>
    <n v="189.38169740000001"/>
    <n v="7.5410000000000004"/>
  </r>
  <r>
    <x v="40"/>
    <d v="2010-12-02T00:00:00"/>
    <x v="1"/>
    <x v="0"/>
    <x v="2281"/>
    <x v="1"/>
    <n v="23.04"/>
    <n v="2.5720000000000001"/>
    <n v="189.46427249999999"/>
    <n v="7.5410000000000004"/>
  </r>
  <r>
    <x v="40"/>
    <d v="2010-05-03T00:00:00"/>
    <x v="0"/>
    <x v="0"/>
    <x v="2282"/>
    <x v="0"/>
    <n v="32.49"/>
    <n v="2.62"/>
    <n v="189.66950489999999"/>
    <n v="7.5410000000000004"/>
  </r>
  <r>
    <x v="40"/>
    <d v="2010-12-03T00:00:00"/>
    <x v="1"/>
    <x v="0"/>
    <x v="2283"/>
    <x v="0"/>
    <n v="33.4"/>
    <n v="2.6840000000000002"/>
    <n v="189.73720750000001"/>
    <n v="7.5410000000000004"/>
  </r>
  <r>
    <x v="40"/>
    <d v="2010-02-04T00:00:00"/>
    <x v="2"/>
    <x v="0"/>
    <x v="2284"/>
    <x v="0"/>
    <n v="41.31"/>
    <n v="2.7250000000000001"/>
    <n v="189.70482150000001"/>
    <n v="7.3630000000000004"/>
  </r>
  <r>
    <x v="40"/>
    <d v="2010-09-04T00:00:00"/>
    <x v="3"/>
    <x v="0"/>
    <x v="2285"/>
    <x v="0"/>
    <n v="37.299999999999997"/>
    <n v="2.75"/>
    <n v="189.69010119999999"/>
    <n v="7.3630000000000004"/>
  </r>
  <r>
    <x v="40"/>
    <d v="2010-07-05T00:00:00"/>
    <x v="4"/>
    <x v="0"/>
    <x v="2286"/>
    <x v="0"/>
    <n v="41.5"/>
    <n v="2.7709999999999999"/>
    <n v="189.53124829999999"/>
    <n v="7.3630000000000004"/>
  </r>
  <r>
    <x v="40"/>
    <d v="2010-04-06T00:00:00"/>
    <x v="5"/>
    <x v="0"/>
    <x v="2287"/>
    <x v="0"/>
    <n v="60.13"/>
    <n v="2.7"/>
    <n v="189.42265800000001"/>
    <n v="7.3630000000000004"/>
  </r>
  <r>
    <x v="40"/>
    <d v="2010-11-06T00:00:00"/>
    <x v="6"/>
    <x v="0"/>
    <x v="2288"/>
    <x v="0"/>
    <n v="63.36"/>
    <n v="2.6840000000000002"/>
    <n v="189.4000734"/>
    <n v="7.3630000000000004"/>
  </r>
  <r>
    <x v="40"/>
    <d v="2010-02-07T00:00:00"/>
    <x v="2"/>
    <x v="0"/>
    <x v="2289"/>
    <x v="0"/>
    <n v="69.39"/>
    <n v="2.7280000000000002"/>
    <n v="189.48826030000001"/>
    <n v="7.335"/>
  </r>
  <r>
    <x v="40"/>
    <d v="2010-09-07T00:00:00"/>
    <x v="3"/>
    <x v="0"/>
    <x v="2290"/>
    <x v="0"/>
    <n v="60.93"/>
    <n v="2.7109999999999999"/>
    <n v="189.52312760000001"/>
    <n v="7.335"/>
  </r>
  <r>
    <x v="40"/>
    <d v="2010-06-08T00:00:00"/>
    <x v="7"/>
    <x v="0"/>
    <x v="2291"/>
    <x v="0"/>
    <n v="69.209999999999994"/>
    <n v="2.69"/>
    <n v="190.09900279999999"/>
    <n v="7.335"/>
  </r>
  <r>
    <x v="40"/>
    <d v="2010-03-09T00:00:00"/>
    <x v="8"/>
    <x v="0"/>
    <x v="2292"/>
    <x v="0"/>
    <n v="64.13"/>
    <n v="2.7730000000000001"/>
    <n v="190.3621607"/>
    <n v="7.335"/>
  </r>
  <r>
    <x v="40"/>
    <d v="2010-10-09T00:00:00"/>
    <x v="9"/>
    <x v="0"/>
    <x v="2293"/>
    <x v="1"/>
    <n v="63.3"/>
    <n v="2.78"/>
    <n v="190.3958293"/>
    <n v="7.335"/>
  </r>
  <r>
    <x v="40"/>
    <d v="2010-01-10T00:00:00"/>
    <x v="10"/>
    <x v="0"/>
    <x v="2294"/>
    <x v="0"/>
    <n v="62.67"/>
    <n v="2.7589999999999999"/>
    <n v="190.67382409999999"/>
    <n v="7.508"/>
  </r>
  <r>
    <x v="40"/>
    <d v="2010-08-10T00:00:00"/>
    <x v="11"/>
    <x v="0"/>
    <x v="2295"/>
    <x v="0"/>
    <n v="57.1"/>
    <n v="2.7450000000000001"/>
    <n v="190.77632180000001"/>
    <n v="7.508"/>
  </r>
  <r>
    <x v="40"/>
    <d v="2010-05-11T00:00:00"/>
    <x v="0"/>
    <x v="0"/>
    <x v="2296"/>
    <x v="0"/>
    <n v="46.74"/>
    <n v="2.7290000000000001"/>
    <n v="190.9964377"/>
    <n v="7.508"/>
  </r>
  <r>
    <x v="40"/>
    <d v="2010-12-11T00:00:00"/>
    <x v="1"/>
    <x v="0"/>
    <x v="2297"/>
    <x v="0"/>
    <n v="38.99"/>
    <n v="2.7370000000000001"/>
    <n v="191.0411474"/>
    <n v="7.508"/>
  </r>
  <r>
    <x v="40"/>
    <d v="2010-03-12T00:00:00"/>
    <x v="8"/>
    <x v="0"/>
    <x v="2298"/>
    <x v="0"/>
    <n v="33"/>
    <n v="2.7120000000000002"/>
    <n v="190.99314369999999"/>
    <n v="7.508"/>
  </r>
  <r>
    <x v="40"/>
    <d v="2010-10-12T00:00:00"/>
    <x v="9"/>
    <x v="0"/>
    <x v="2299"/>
    <x v="0"/>
    <n v="33.9"/>
    <n v="2.7280000000000002"/>
    <n v="190.97410690000001"/>
    <n v="7.508"/>
  </r>
  <r>
    <x v="40"/>
    <d v="2011-07-01T00:00:00"/>
    <x v="4"/>
    <x v="1"/>
    <x v="2300"/>
    <x v="0"/>
    <n v="23.76"/>
    <n v="2.8820000000000001"/>
    <n v="191.3683815"/>
    <n v="7.2409999999999997"/>
  </r>
  <r>
    <x v="40"/>
    <d v="2011-04-02T00:00:00"/>
    <x v="5"/>
    <x v="1"/>
    <x v="2301"/>
    <x v="0"/>
    <n v="14.56"/>
    <n v="3.0110000000000001"/>
    <n v="191.76258949999999"/>
    <n v="7.2409999999999997"/>
  </r>
  <r>
    <x v="40"/>
    <d v="2011-11-02T00:00:00"/>
    <x v="6"/>
    <x v="1"/>
    <x v="2302"/>
    <x v="1"/>
    <n v="16.809999999999999"/>
    <n v="3.0369999999999999"/>
    <n v="191.85728810000001"/>
    <n v="7.2409999999999997"/>
  </r>
  <r>
    <x v="40"/>
    <d v="2011-04-03T00:00:00"/>
    <x v="5"/>
    <x v="1"/>
    <x v="2303"/>
    <x v="0"/>
    <n v="34.99"/>
    <n v="3.2320000000000002"/>
    <n v="192.01160039999999"/>
    <n v="7.2409999999999997"/>
  </r>
  <r>
    <x v="40"/>
    <d v="2011-11-03T00:00:00"/>
    <x v="6"/>
    <x v="1"/>
    <x v="2304"/>
    <x v="0"/>
    <n v="31.6"/>
    <n v="3.3719999999999999"/>
    <n v="192.05848399999999"/>
    <n v="7.2409999999999997"/>
  </r>
  <r>
    <x v="40"/>
    <d v="2011-01-04T00:00:00"/>
    <x v="10"/>
    <x v="1"/>
    <x v="2305"/>
    <x v="0"/>
    <n v="38.159999999999997"/>
    <n v="3.4609999999999999"/>
    <n v="192.26917069999999"/>
    <n v="6.9340000000000002"/>
  </r>
  <r>
    <x v="40"/>
    <d v="2011-08-04T00:00:00"/>
    <x v="11"/>
    <x v="1"/>
    <x v="2306"/>
    <x v="0"/>
    <n v="42.87"/>
    <n v="3.532"/>
    <n v="192.3418571"/>
    <n v="6.9340000000000002"/>
  </r>
  <r>
    <x v="40"/>
    <d v="2011-06-05T00:00:00"/>
    <x v="7"/>
    <x v="1"/>
    <x v="2307"/>
    <x v="0"/>
    <n v="41.2"/>
    <n v="3.7349999999999999"/>
    <n v="192.72520059999999"/>
    <n v="6.9340000000000002"/>
  </r>
  <r>
    <x v="40"/>
    <d v="2011-03-06T00:00:00"/>
    <x v="8"/>
    <x v="1"/>
    <x v="2308"/>
    <x v="0"/>
    <n v="54.81"/>
    <n v="3.7629999999999999"/>
    <n v="192.8418131"/>
    <n v="6.9340000000000002"/>
  </r>
  <r>
    <x v="40"/>
    <d v="2011-10-06T00:00:00"/>
    <x v="9"/>
    <x v="1"/>
    <x v="2309"/>
    <x v="0"/>
    <n v="61.1"/>
    <n v="3.7349999999999999"/>
    <n v="192.84706120000001"/>
    <n v="6.9340000000000002"/>
  </r>
  <r>
    <x v="40"/>
    <d v="2011-01-07T00:00:00"/>
    <x v="10"/>
    <x v="1"/>
    <x v="2310"/>
    <x v="0"/>
    <n v="67.010000000000005"/>
    <n v="3.597"/>
    <n v="193.09305520000001"/>
    <n v="6.9009999999999998"/>
  </r>
  <r>
    <x v="40"/>
    <d v="2011-08-07T00:00:00"/>
    <x v="11"/>
    <x v="1"/>
    <x v="2311"/>
    <x v="0"/>
    <n v="68.489999999999995"/>
    <n v="3.54"/>
    <n v="193.18784479999999"/>
    <n v="6.9009999999999998"/>
  </r>
  <r>
    <x v="40"/>
    <d v="2011-05-08T00:00:00"/>
    <x v="0"/>
    <x v="1"/>
    <x v="2312"/>
    <x v="0"/>
    <n v="72.19"/>
    <n v="3.5539999999999998"/>
    <n v="193.91101330000001"/>
    <n v="6.9009999999999998"/>
  </r>
  <r>
    <x v="40"/>
    <d v="2011-12-08T00:00:00"/>
    <x v="1"/>
    <x v="1"/>
    <x v="2313"/>
    <x v="0"/>
    <n v="67.650000000000006"/>
    <n v="3.5419999999999998"/>
    <n v="194.11050169999999"/>
    <n v="6.9009999999999998"/>
  </r>
  <r>
    <x v="40"/>
    <d v="2011-02-09T00:00:00"/>
    <x v="2"/>
    <x v="1"/>
    <x v="2314"/>
    <x v="0"/>
    <n v="70.37"/>
    <n v="3.5110000000000001"/>
    <n v="194.5092113"/>
    <n v="6.9009999999999998"/>
  </r>
  <r>
    <x v="40"/>
    <d v="2011-09-09T00:00:00"/>
    <x v="3"/>
    <x v="1"/>
    <x v="2315"/>
    <x v="1"/>
    <n v="58.31"/>
    <n v="3.5659999999999998"/>
    <n v="194.6387853"/>
    <n v="6.9009999999999998"/>
  </r>
  <r>
    <x v="40"/>
    <d v="2011-07-10T00:00:00"/>
    <x v="4"/>
    <x v="1"/>
    <x v="2316"/>
    <x v="0"/>
    <n v="58.74"/>
    <n v="3.4980000000000002"/>
    <n v="194.94597239999999"/>
    <n v="6.7590000000000003"/>
  </r>
  <r>
    <x v="40"/>
    <d v="2011-04-11T00:00:00"/>
    <x v="5"/>
    <x v="1"/>
    <x v="2317"/>
    <x v="0"/>
    <n v="35.04"/>
    <n v="3.5270000000000001"/>
    <n v="195.48479589999999"/>
    <n v="6.7590000000000003"/>
  </r>
  <r>
    <x v="40"/>
    <d v="2011-11-11T00:00:00"/>
    <x v="6"/>
    <x v="1"/>
    <x v="2318"/>
    <x v="0"/>
    <n v="32.869999999999997"/>
    <n v="3.5049999999999999"/>
    <n v="195.6376941"/>
    <n v="6.7590000000000003"/>
  </r>
  <r>
    <x v="40"/>
    <d v="2011-02-12T00:00:00"/>
    <x v="2"/>
    <x v="1"/>
    <x v="2319"/>
    <x v="0"/>
    <n v="34.53"/>
    <n v="3.3780000000000001"/>
    <n v="195.82232870000001"/>
    <n v="6.7590000000000003"/>
  </r>
  <r>
    <x v="40"/>
    <d v="2011-09-12T00:00:00"/>
    <x v="3"/>
    <x v="1"/>
    <x v="2320"/>
    <x v="0"/>
    <n v="17.05"/>
    <n v="3.331"/>
    <n v="195.8742575"/>
    <n v="6.7590000000000003"/>
  </r>
  <r>
    <x v="40"/>
    <d v="2012-06-01T00:00:00"/>
    <x v="7"/>
    <x v="2"/>
    <x v="2321"/>
    <x v="0"/>
    <n v="37.21"/>
    <n v="3.0950000000000002"/>
    <n v="196.5458309"/>
    <n v="6.5890000000000004"/>
  </r>
  <r>
    <x v="40"/>
    <d v="2012-03-02T00:00:00"/>
    <x v="8"/>
    <x v="2"/>
    <x v="2322"/>
    <x v="0"/>
    <n v="31.65"/>
    <n v="3.0310000000000001"/>
    <n v="196.8728921"/>
    <n v="6.5890000000000004"/>
  </r>
  <r>
    <x v="40"/>
    <d v="2012-10-02T00:00:00"/>
    <x v="9"/>
    <x v="2"/>
    <x v="2323"/>
    <x v="1"/>
    <n v="22"/>
    <n v="3.1030000000000002"/>
    <n v="196.91950560000001"/>
    <n v="6.5890000000000004"/>
  </r>
  <r>
    <x v="40"/>
    <d v="2012-02-03T00:00:00"/>
    <x v="2"/>
    <x v="2"/>
    <x v="2324"/>
    <x v="0"/>
    <n v="27.39"/>
    <n v="3.1909999999999998"/>
    <n v="196.9565303"/>
    <n v="6.5890000000000004"/>
  </r>
  <r>
    <x v="40"/>
    <d v="2012-09-03T00:00:00"/>
    <x v="3"/>
    <x v="2"/>
    <x v="2325"/>
    <x v="0"/>
    <n v="35.299999999999997"/>
    <n v="3.286"/>
    <n v="196.96315989999999"/>
    <n v="6.5890000000000004"/>
  </r>
  <r>
    <x v="40"/>
    <d v="2012-06-04T00:00:00"/>
    <x v="7"/>
    <x v="2"/>
    <x v="2326"/>
    <x v="0"/>
    <n v="48.48"/>
    <n v="3.8540000000000001"/>
    <n v="197.5971285"/>
    <n v="6.5469999999999997"/>
  </r>
  <r>
    <x v="40"/>
    <d v="2012-04-05T00:00:00"/>
    <x v="5"/>
    <x v="2"/>
    <x v="2327"/>
    <x v="0"/>
    <n v="52.86"/>
    <n v="3.903"/>
    <n v="197.60635339999999"/>
    <n v="6.5469999999999997"/>
  </r>
  <r>
    <x v="40"/>
    <d v="2012-11-05T00:00:00"/>
    <x v="6"/>
    <x v="2"/>
    <x v="2328"/>
    <x v="0"/>
    <n v="50.22"/>
    <n v="3.87"/>
    <n v="197.5481609"/>
    <n v="6.5469999999999997"/>
  </r>
  <r>
    <x v="40"/>
    <d v="2012-01-06T00:00:00"/>
    <x v="10"/>
    <x v="2"/>
    <x v="2329"/>
    <x v="0"/>
    <n v="57.29"/>
    <n v="3.7639999999999998"/>
    <n v="197.6218954"/>
    <n v="6.5469999999999997"/>
  </r>
  <r>
    <x v="40"/>
    <d v="2012-08-06T00:00:00"/>
    <x v="11"/>
    <x v="2"/>
    <x v="2330"/>
    <x v="0"/>
    <n v="65.11"/>
    <n v="3.7410000000000001"/>
    <n v="197.6551863"/>
    <n v="6.5469999999999997"/>
  </r>
  <r>
    <x v="40"/>
    <d v="2012-06-07T00:00:00"/>
    <x v="7"/>
    <x v="2"/>
    <x v="2331"/>
    <x v="0"/>
    <n v="74.47"/>
    <n v="3.6459999999999999"/>
    <n v="197.83221950000001"/>
    <n v="6.4320000000000004"/>
  </r>
  <r>
    <x v="40"/>
    <d v="2012-03-08T00:00:00"/>
    <x v="8"/>
    <x v="2"/>
    <x v="2332"/>
    <x v="0"/>
    <n v="73.16"/>
    <n v="3.528"/>
    <n v="198.02938929999999"/>
    <n v="6.4320000000000004"/>
  </r>
  <r>
    <x v="40"/>
    <d v="2012-10-08T00:00:00"/>
    <x v="9"/>
    <x v="2"/>
    <x v="2333"/>
    <x v="0"/>
    <n v="71.73"/>
    <n v="3.5089999999999999"/>
    <n v="198.0795651"/>
    <n v="6.4320000000000004"/>
  </r>
  <r>
    <x v="40"/>
    <d v="2012-07-09T00:00:00"/>
    <x v="4"/>
    <x v="2"/>
    <x v="2334"/>
    <x v="1"/>
    <n v="67.41"/>
    <n v="3.5960000000000001"/>
    <n v="198.0950484"/>
    <n v="6.4320000000000004"/>
  </r>
  <r>
    <x v="40"/>
    <d v="2012-05-10T00:00:00"/>
    <x v="0"/>
    <x v="2"/>
    <x v="2335"/>
    <x v="0"/>
    <n v="50.14"/>
    <n v="3.7789999999999999"/>
    <n v="198.8221322"/>
    <n v="6.1950000000000003"/>
  </r>
  <r>
    <x v="40"/>
    <d v="2012-12-10T00:00:00"/>
    <x v="1"/>
    <x v="2"/>
    <x v="2336"/>
    <x v="0"/>
    <n v="39.380000000000003"/>
    <n v="3.76"/>
    <n v="199.0539368"/>
    <n v="6.1950000000000003"/>
  </r>
  <r>
    <x v="41"/>
    <d v="2010-05-02T00:00:00"/>
    <x v="0"/>
    <x v="0"/>
    <x v="2337"/>
    <x v="0"/>
    <n v="54.34"/>
    <n v="2.9620000000000002"/>
    <n v="126.4420645"/>
    <n v="9.7650000000000006"/>
  </r>
  <r>
    <x v="41"/>
    <d v="2010-12-02T00:00:00"/>
    <x v="1"/>
    <x v="0"/>
    <x v="2338"/>
    <x v="1"/>
    <n v="49.96"/>
    <n v="2.8279999999999998"/>
    <n v="126.49625810000001"/>
    <n v="9.7650000000000006"/>
  </r>
  <r>
    <x v="41"/>
    <d v="2010-05-03T00:00:00"/>
    <x v="0"/>
    <x v="0"/>
    <x v="2339"/>
    <x v="0"/>
    <n v="55.92"/>
    <n v="2.8769999999999998"/>
    <n v="126.5782857"/>
    <n v="9.7650000000000006"/>
  </r>
  <r>
    <x v="41"/>
    <d v="2010-12-03T00:00:00"/>
    <x v="1"/>
    <x v="0"/>
    <x v="2340"/>
    <x v="0"/>
    <n v="52.33"/>
    <n v="3.0339999999999998"/>
    <n v="126.60428570000001"/>
    <n v="9.7650000000000006"/>
  </r>
  <r>
    <x v="41"/>
    <d v="2010-02-04T00:00:00"/>
    <x v="2"/>
    <x v="0"/>
    <x v="2341"/>
    <x v="0"/>
    <n v="63.66"/>
    <n v="3.0859999999999999"/>
    <n v="126.6034839"/>
    <n v="9.5239999999999991"/>
  </r>
  <r>
    <x v="41"/>
    <d v="2010-09-04T00:00:00"/>
    <x v="3"/>
    <x v="0"/>
    <x v="2342"/>
    <x v="0"/>
    <n v="65.290000000000006"/>
    <n v="3.004"/>
    <n v="126.6019032"/>
    <n v="9.5239999999999991"/>
  </r>
  <r>
    <x v="41"/>
    <d v="2010-07-05T00:00:00"/>
    <x v="4"/>
    <x v="0"/>
    <x v="2343"/>
    <x v="0"/>
    <n v="71.06"/>
    <n v="3.1269999999999998"/>
    <n v="126.2898"/>
    <n v="9.5239999999999991"/>
  </r>
  <r>
    <x v="41"/>
    <d v="2010-04-06T00:00:00"/>
    <x v="5"/>
    <x v="0"/>
    <x v="2344"/>
    <x v="0"/>
    <n v="82.82"/>
    <n v="2.9409999999999998"/>
    <n v="126.1360645"/>
    <n v="9.5239999999999991"/>
  </r>
  <r>
    <x v="41"/>
    <d v="2010-11-06T00:00:00"/>
    <x v="6"/>
    <x v="0"/>
    <x v="2345"/>
    <x v="0"/>
    <n v="89.67"/>
    <n v="3.0569999999999999"/>
    <n v="126.1119032"/>
    <n v="9.5239999999999991"/>
  </r>
  <r>
    <x v="41"/>
    <d v="2010-02-07T00:00:00"/>
    <x v="2"/>
    <x v="0"/>
    <x v="2346"/>
    <x v="0"/>
    <n v="92.89"/>
    <n v="2.9780000000000002"/>
    <n v="126.1392"/>
    <n v="9.1989999999999998"/>
  </r>
  <r>
    <x v="41"/>
    <d v="2010-09-07T00:00:00"/>
    <x v="3"/>
    <x v="0"/>
    <x v="2347"/>
    <x v="0"/>
    <n v="91.03"/>
    <n v="3.1"/>
    <n v="126.15179999999999"/>
    <n v="9.1989999999999998"/>
  </r>
  <r>
    <x v="41"/>
    <d v="2010-06-08T00:00:00"/>
    <x v="7"/>
    <x v="0"/>
    <x v="2348"/>
    <x v="0"/>
    <n v="86.13"/>
    <n v="3.1230000000000002"/>
    <n v="126.0854516"/>
    <n v="9.1989999999999998"/>
  </r>
  <r>
    <x v="41"/>
    <d v="2010-03-09T00:00:00"/>
    <x v="8"/>
    <x v="0"/>
    <x v="2349"/>
    <x v="0"/>
    <n v="83.8"/>
    <n v="3.0870000000000002"/>
    <n v="126.1019355"/>
    <n v="9.1989999999999998"/>
  </r>
  <r>
    <x v="41"/>
    <d v="2010-10-09T00:00:00"/>
    <x v="9"/>
    <x v="0"/>
    <x v="2350"/>
    <x v="1"/>
    <n v="84.04"/>
    <n v="2.9609999999999999"/>
    <n v="126.1145806"/>
    <n v="9.1989999999999998"/>
  </r>
  <r>
    <x v="41"/>
    <d v="2010-01-10T00:00:00"/>
    <x v="10"/>
    <x v="0"/>
    <x v="2351"/>
    <x v="0"/>
    <n v="86.01"/>
    <n v="3.0009999999999999"/>
    <n v="126.2346"/>
    <n v="9.0030000000000001"/>
  </r>
  <r>
    <x v="41"/>
    <d v="2010-08-10T00:00:00"/>
    <x v="11"/>
    <x v="0"/>
    <x v="2352"/>
    <x v="0"/>
    <n v="77.040000000000006"/>
    <n v="2.9239999999999999"/>
    <n v="126.2791667"/>
    <n v="9.0030000000000001"/>
  </r>
  <r>
    <x v="41"/>
    <d v="2010-05-11T00:00:00"/>
    <x v="0"/>
    <x v="0"/>
    <x v="2353"/>
    <x v="0"/>
    <n v="71.040000000000006"/>
    <n v="3.0089999999999999"/>
    <n v="126.4912903"/>
    <n v="9.0030000000000001"/>
  </r>
  <r>
    <x v="41"/>
    <d v="2010-12-11T00:00:00"/>
    <x v="1"/>
    <x v="0"/>
    <x v="2354"/>
    <x v="0"/>
    <n v="61.24"/>
    <n v="3.13"/>
    <n v="126.54616129999999"/>
    <n v="9.0030000000000001"/>
  </r>
  <r>
    <x v="41"/>
    <d v="2010-03-12T00:00:00"/>
    <x v="8"/>
    <x v="0"/>
    <x v="2355"/>
    <x v="0"/>
    <n v="51.17"/>
    <n v="3.0409999999999999"/>
    <n v="126.7313333"/>
    <n v="9.0030000000000001"/>
  </r>
  <r>
    <x v="41"/>
    <d v="2010-10-12T00:00:00"/>
    <x v="9"/>
    <x v="0"/>
    <x v="2356"/>
    <x v="0"/>
    <n v="60.51"/>
    <n v="3.0910000000000002"/>
    <n v="126.79340000000001"/>
    <n v="9.0030000000000001"/>
  </r>
  <r>
    <x v="41"/>
    <d v="2011-07-01T00:00:00"/>
    <x v="4"/>
    <x v="1"/>
    <x v="2357"/>
    <x v="0"/>
    <n v="43.43"/>
    <n v="3.2869999999999999"/>
    <n v="127.1917742"/>
    <n v="8.7439999999999998"/>
  </r>
  <r>
    <x v="41"/>
    <d v="2011-04-02T00:00:00"/>
    <x v="5"/>
    <x v="1"/>
    <x v="2358"/>
    <x v="0"/>
    <n v="44.88"/>
    <n v="3.3479999999999999"/>
    <n v="127.7195806"/>
    <n v="8.7439999999999998"/>
  </r>
  <r>
    <x v="41"/>
    <d v="2011-11-02T00:00:00"/>
    <x v="6"/>
    <x v="1"/>
    <x v="2359"/>
    <x v="1"/>
    <n v="51.51"/>
    <n v="3.3809999999999998"/>
    <n v="127.859129"/>
    <n v="8.7439999999999998"/>
  </r>
  <r>
    <x v="41"/>
    <d v="2011-04-03T00:00:00"/>
    <x v="5"/>
    <x v="1"/>
    <x v="2360"/>
    <x v="0"/>
    <n v="56.96"/>
    <n v="3.6739999999999999"/>
    <n v="128.26474999999999"/>
    <n v="8.7439999999999998"/>
  </r>
  <r>
    <x v="41"/>
    <d v="2011-11-03T00:00:00"/>
    <x v="6"/>
    <x v="1"/>
    <x v="2361"/>
    <x v="0"/>
    <n v="64.22"/>
    <n v="3.63"/>
    <n v="128.39949999999999"/>
    <n v="8.7439999999999998"/>
  </r>
  <r>
    <x v="41"/>
    <d v="2011-01-04T00:00:00"/>
    <x v="10"/>
    <x v="1"/>
    <x v="2362"/>
    <x v="0"/>
    <n v="67.64"/>
    <n v="3.7719999999999998"/>
    <n v="128.71993549999999"/>
    <n v="8.4939999999999998"/>
  </r>
  <r>
    <x v="41"/>
    <d v="2011-08-04T00:00:00"/>
    <x v="11"/>
    <x v="1"/>
    <x v="2363"/>
    <x v="0"/>
    <n v="73.03"/>
    <n v="3.8180000000000001"/>
    <n v="128.82380649999999"/>
    <n v="8.4939999999999998"/>
  </r>
  <r>
    <x v="41"/>
    <d v="2011-06-05T00:00:00"/>
    <x v="7"/>
    <x v="1"/>
    <x v="2364"/>
    <x v="0"/>
    <n v="73.56"/>
    <n v="4.1929999999999996"/>
    <n v="129.04443330000001"/>
    <n v="8.4939999999999998"/>
  </r>
  <r>
    <x v="41"/>
    <d v="2011-03-06T00:00:00"/>
    <x v="8"/>
    <x v="1"/>
    <x v="2365"/>
    <x v="0"/>
    <n v="81.87"/>
    <n v="3.8929999999999998"/>
    <n v="129.04903229999999"/>
    <n v="8.4939999999999998"/>
  </r>
  <r>
    <x v="41"/>
    <d v="2011-10-06T00:00:00"/>
    <x v="9"/>
    <x v="1"/>
    <x v="2366"/>
    <x v="0"/>
    <n v="84.57"/>
    <n v="3.9809999999999999"/>
    <n v="129.03570970000001"/>
    <n v="8.4939999999999998"/>
  </r>
  <r>
    <x v="41"/>
    <d v="2011-01-07T00:00:00"/>
    <x v="10"/>
    <x v="1"/>
    <x v="2367"/>
    <x v="0"/>
    <n v="95.36"/>
    <n v="3.8420000000000001"/>
    <n v="129.08940000000001"/>
    <n v="8.2569999999999997"/>
  </r>
  <r>
    <x v="41"/>
    <d v="2011-08-07T00:00:00"/>
    <x v="11"/>
    <x v="1"/>
    <x v="2368"/>
    <x v="0"/>
    <n v="88.57"/>
    <n v="3.7930000000000001"/>
    <n v="129.11250000000001"/>
    <n v="8.2569999999999997"/>
  </r>
  <r>
    <x v="41"/>
    <d v="2011-05-08T00:00:00"/>
    <x v="0"/>
    <x v="1"/>
    <x v="2369"/>
    <x v="0"/>
    <n v="89.8"/>
    <n v="3.8029999999999999"/>
    <n v="129.18464520000001"/>
    <n v="8.2569999999999997"/>
  </r>
  <r>
    <x v="41"/>
    <d v="2011-12-08T00:00:00"/>
    <x v="1"/>
    <x v="1"/>
    <x v="2370"/>
    <x v="0"/>
    <n v="85.61"/>
    <n v="3.794"/>
    <n v="129.2015806"/>
    <n v="8.2569999999999997"/>
  </r>
  <r>
    <x v="41"/>
    <d v="2011-02-09T00:00:00"/>
    <x v="2"/>
    <x v="1"/>
    <x v="2371"/>
    <x v="0"/>
    <n v="91.61"/>
    <n v="3.798"/>
    <n v="129.32593550000001"/>
    <n v="8.2569999999999997"/>
  </r>
  <r>
    <x v="41"/>
    <d v="2011-09-09T00:00:00"/>
    <x v="3"/>
    <x v="1"/>
    <x v="2372"/>
    <x v="1"/>
    <n v="89.06"/>
    <n v="3.7709999999999999"/>
    <n v="129.36861289999999"/>
    <n v="8.2569999999999997"/>
  </r>
  <r>
    <x v="41"/>
    <d v="2011-07-10T00:00:00"/>
    <x v="4"/>
    <x v="1"/>
    <x v="2373"/>
    <x v="0"/>
    <n v="75.010000000000005"/>
    <n v="3.827"/>
    <n v="129.69380000000001"/>
    <n v="7.8739999999999997"/>
  </r>
  <r>
    <x v="41"/>
    <d v="2011-04-11T00:00:00"/>
    <x v="5"/>
    <x v="1"/>
    <x v="2374"/>
    <x v="0"/>
    <n v="68.569999999999993"/>
    <n v="3.8279999999999998"/>
    <n v="129.8051935"/>
    <n v="7.8739999999999997"/>
  </r>
  <r>
    <x v="41"/>
    <d v="2011-11-11T00:00:00"/>
    <x v="6"/>
    <x v="1"/>
    <x v="2375"/>
    <x v="0"/>
    <n v="55.28"/>
    <n v="3.677"/>
    <n v="129.81670969999999"/>
    <n v="7.8739999999999997"/>
  </r>
  <r>
    <x v="41"/>
    <d v="2011-02-12T00:00:00"/>
    <x v="2"/>
    <x v="1"/>
    <x v="2376"/>
    <x v="0"/>
    <n v="57.29"/>
    <n v="3.7010000000000001"/>
    <n v="129.84596669999999"/>
    <n v="7.8739999999999997"/>
  </r>
  <r>
    <x v="41"/>
    <d v="2011-09-12T00:00:00"/>
    <x v="3"/>
    <x v="1"/>
    <x v="2377"/>
    <x v="0"/>
    <n v="42.58"/>
    <n v="3.6440000000000001"/>
    <n v="129.85553329999999"/>
    <n v="7.8739999999999997"/>
  </r>
  <r>
    <x v="41"/>
    <d v="2012-06-01T00:00:00"/>
    <x v="7"/>
    <x v="2"/>
    <x v="2378"/>
    <x v="0"/>
    <n v="59.85"/>
    <n v="3.4430000000000001"/>
    <n v="130.15751610000001"/>
    <n v="7.5449999999999999"/>
  </r>
  <r>
    <x v="41"/>
    <d v="2012-03-02T00:00:00"/>
    <x v="8"/>
    <x v="2"/>
    <x v="2379"/>
    <x v="0"/>
    <n v="56.85"/>
    <n v="3.5430000000000001"/>
    <n v="130.34967739999999"/>
    <n v="7.5449999999999999"/>
  </r>
  <r>
    <x v="41"/>
    <d v="2012-10-02T00:00:00"/>
    <x v="9"/>
    <x v="2"/>
    <x v="2380"/>
    <x v="1"/>
    <n v="55.73"/>
    <n v="3.722"/>
    <n v="130.3849032"/>
    <n v="7.5449999999999999"/>
  </r>
  <r>
    <x v="41"/>
    <d v="2012-02-03T00:00:00"/>
    <x v="2"/>
    <x v="2"/>
    <x v="2381"/>
    <x v="0"/>
    <n v="57.62"/>
    <n v="3.8820000000000001"/>
    <n v="130.64579309999999"/>
    <n v="7.5449999999999999"/>
  </r>
  <r>
    <x v="41"/>
    <d v="2012-09-03T00:00:00"/>
    <x v="3"/>
    <x v="2"/>
    <x v="2382"/>
    <x v="0"/>
    <n v="57.65"/>
    <n v="3.9630000000000001"/>
    <n v="130.74137930000001"/>
    <n v="7.5449999999999999"/>
  </r>
  <r>
    <x v="41"/>
    <d v="2012-06-04T00:00:00"/>
    <x v="7"/>
    <x v="2"/>
    <x v="2383"/>
    <x v="0"/>
    <n v="65.989999999999995"/>
    <n v="4.282"/>
    <n v="131.03754839999999"/>
    <n v="7.3819999999999997"/>
  </r>
  <r>
    <x v="41"/>
    <d v="2012-04-05T00:00:00"/>
    <x v="5"/>
    <x v="2"/>
    <x v="2384"/>
    <x v="0"/>
    <n v="77.02"/>
    <n v="4.0579999999999998"/>
    <n v="131.136"/>
    <n v="7.3819999999999997"/>
  </r>
  <r>
    <x v="41"/>
    <d v="2012-11-05T00:00:00"/>
    <x v="6"/>
    <x v="2"/>
    <x v="2385"/>
    <x v="0"/>
    <n v="76.03"/>
    <n v="4.1859999999999999"/>
    <n v="131.1453333"/>
    <n v="7.3819999999999997"/>
  </r>
  <r>
    <x v="41"/>
    <d v="2012-01-06T00:00:00"/>
    <x v="10"/>
    <x v="2"/>
    <x v="2386"/>
    <x v="0"/>
    <n v="80.06"/>
    <n v="4.2770000000000001"/>
    <n v="130.95922580000001"/>
    <n v="7.3819999999999997"/>
  </r>
  <r>
    <x v="41"/>
    <d v="2012-08-06T00:00:00"/>
    <x v="11"/>
    <x v="2"/>
    <x v="2387"/>
    <x v="0"/>
    <n v="86.87"/>
    <n v="4.1029999999999998"/>
    <n v="130.88967740000001"/>
    <n v="7.3819999999999997"/>
  </r>
  <r>
    <x v="41"/>
    <d v="2012-06-07T00:00:00"/>
    <x v="7"/>
    <x v="2"/>
    <x v="2388"/>
    <x v="0"/>
    <n v="86.87"/>
    <n v="3.6659999999999999"/>
    <n v="130.7196333"/>
    <n v="7.17"/>
  </r>
  <r>
    <x v="41"/>
    <d v="2012-03-08T00:00:00"/>
    <x v="8"/>
    <x v="2"/>
    <x v="2389"/>
    <x v="0"/>
    <n v="84.76"/>
    <n v="3.5950000000000002"/>
    <n v="130.73787100000001"/>
    <n v="7.17"/>
  </r>
  <r>
    <x v="41"/>
    <d v="2012-10-08T00:00:00"/>
    <x v="9"/>
    <x v="2"/>
    <x v="2390"/>
    <x v="0"/>
    <n v="90.78"/>
    <n v="3.8109999999999999"/>
    <n v="130.7561613"/>
    <n v="7.17"/>
  </r>
  <r>
    <x v="41"/>
    <d v="2012-07-09T00:00:00"/>
    <x v="4"/>
    <x v="2"/>
    <x v="2391"/>
    <x v="1"/>
    <n v="83.07"/>
    <n v="4.1239999999999997"/>
    <n v="130.9325484"/>
    <n v="7.17"/>
  </r>
  <r>
    <x v="41"/>
    <d v="2012-05-10T00:00:00"/>
    <x v="0"/>
    <x v="2"/>
    <x v="2392"/>
    <x v="0"/>
    <n v="80.88"/>
    <n v="4.1319999999999997"/>
    <n v="131.0756667"/>
    <n v="6.9429999999999996"/>
  </r>
  <r>
    <x v="41"/>
    <d v="2012-12-10T00:00:00"/>
    <x v="1"/>
    <x v="2"/>
    <x v="2393"/>
    <x v="0"/>
    <n v="76.03"/>
    <n v="4.468"/>
    <n v="131.1083333"/>
    <n v="6.9429999999999996"/>
  </r>
  <r>
    <x v="42"/>
    <d v="2010-05-02T00:00:00"/>
    <x v="0"/>
    <x v="0"/>
    <x v="2394"/>
    <x v="0"/>
    <n v="47.31"/>
    <n v="2.5720000000000001"/>
    <n v="203.0642742"/>
    <n v="9.5210000000000008"/>
  </r>
  <r>
    <x v="42"/>
    <d v="2010-12-02T00:00:00"/>
    <x v="1"/>
    <x v="0"/>
    <x v="2395"/>
    <x v="1"/>
    <n v="47.99"/>
    <n v="2.548"/>
    <n v="203.20109679999999"/>
    <n v="9.5210000000000008"/>
  </r>
  <r>
    <x v="42"/>
    <d v="2010-05-03T00:00:00"/>
    <x v="0"/>
    <x v="0"/>
    <x v="2396"/>
    <x v="0"/>
    <n v="52.89"/>
    <n v="2.625"/>
    <n v="203.31176529999999"/>
    <n v="9.5210000000000008"/>
  </r>
  <r>
    <x v="42"/>
    <d v="2010-12-03T00:00:00"/>
    <x v="1"/>
    <x v="0"/>
    <x v="2397"/>
    <x v="0"/>
    <n v="53.67"/>
    <n v="2.6669999999999998"/>
    <n v="203.34365819999999"/>
    <n v="9.5210000000000008"/>
  </r>
  <r>
    <x v="42"/>
    <d v="2010-02-04T00:00:00"/>
    <x v="2"/>
    <x v="0"/>
    <x v="2398"/>
    <x v="0"/>
    <n v="62.19"/>
    <n v="2.7189999999999999"/>
    <n v="202.83803"/>
    <n v="9.593"/>
  </r>
  <r>
    <x v="42"/>
    <d v="2010-09-04T00:00:00"/>
    <x v="3"/>
    <x v="0"/>
    <x v="2399"/>
    <x v="0"/>
    <n v="64.37"/>
    <n v="2.77"/>
    <n v="202.65946539999999"/>
    <n v="9.593"/>
  </r>
  <r>
    <x v="42"/>
    <d v="2010-07-05T00:00:00"/>
    <x v="4"/>
    <x v="0"/>
    <x v="2400"/>
    <x v="0"/>
    <n v="67.16"/>
    <n v="2.835"/>
    <n v="202.37925709999999"/>
    <n v="9.593"/>
  </r>
  <r>
    <x v="42"/>
    <d v="2010-04-06T00:00:00"/>
    <x v="5"/>
    <x v="0"/>
    <x v="2401"/>
    <x v="0"/>
    <n v="82.76"/>
    <n v="2.7050000000000001"/>
    <n v="203.1222028"/>
    <n v="9.593"/>
  </r>
  <r>
    <x v="42"/>
    <d v="2010-11-06T00:00:00"/>
    <x v="6"/>
    <x v="0"/>
    <x v="2402"/>
    <x v="0"/>
    <n v="88.12"/>
    <n v="2.6680000000000001"/>
    <n v="203.37276729999999"/>
    <n v="9.593"/>
  </r>
  <r>
    <x v="42"/>
    <d v="2010-02-07T00:00:00"/>
    <x v="2"/>
    <x v="0"/>
    <x v="2403"/>
    <x v="0"/>
    <n v="80.17"/>
    <n v="2.669"/>
    <n v="203.16415240000001"/>
    <n v="9.8160000000000007"/>
  </r>
  <r>
    <x v="42"/>
    <d v="2010-09-07T00:00:00"/>
    <x v="3"/>
    <x v="0"/>
    <x v="2404"/>
    <x v="0"/>
    <n v="81.52"/>
    <n v="2.6419999999999999"/>
    <n v="203.06091900000001"/>
    <n v="9.8160000000000007"/>
  </r>
  <r>
    <x v="42"/>
    <d v="2010-06-08T00:00:00"/>
    <x v="7"/>
    <x v="0"/>
    <x v="2405"/>
    <x v="0"/>
    <n v="84.66"/>
    <n v="2.6269999999999998"/>
    <n v="203.41733869999999"/>
    <n v="9.8160000000000007"/>
  </r>
  <r>
    <x v="42"/>
    <d v="2010-03-09T00:00:00"/>
    <x v="8"/>
    <x v="0"/>
    <x v="2406"/>
    <x v="0"/>
    <n v="80.430000000000007"/>
    <n v="2.577"/>
    <n v="203.45072579999999"/>
    <n v="9.8160000000000007"/>
  </r>
  <r>
    <x v="42"/>
    <d v="2010-10-09T00:00:00"/>
    <x v="9"/>
    <x v="0"/>
    <x v="2407"/>
    <x v="1"/>
    <n v="81.319999999999993"/>
    <n v="2.5649999999999999"/>
    <n v="203.42146769999999"/>
    <n v="9.8160000000000007"/>
  </r>
  <r>
    <x v="42"/>
    <d v="2010-01-10T00:00:00"/>
    <x v="10"/>
    <x v="0"/>
    <x v="2408"/>
    <x v="0"/>
    <n v="77.930000000000007"/>
    <n v="2.6030000000000002"/>
    <n v="203.59342860000001"/>
    <n v="10.210000000000001"/>
  </r>
  <r>
    <x v="42"/>
    <d v="2010-08-10T00:00:00"/>
    <x v="11"/>
    <x v="0"/>
    <x v="2409"/>
    <x v="0"/>
    <n v="72.81"/>
    <n v="2.633"/>
    <n v="203.66517859999999"/>
    <n v="10.210000000000001"/>
  </r>
  <r>
    <x v="42"/>
    <d v="2010-05-11T00:00:00"/>
    <x v="0"/>
    <x v="0"/>
    <x v="2410"/>
    <x v="0"/>
    <n v="62.52"/>
    <n v="2.6890000000000001"/>
    <n v="203.87138709999999"/>
    <n v="10.210000000000001"/>
  </r>
  <r>
    <x v="42"/>
    <d v="2010-12-11T00:00:00"/>
    <x v="1"/>
    <x v="0"/>
    <x v="2411"/>
    <x v="0"/>
    <n v="59.98"/>
    <n v="2.7280000000000002"/>
    <n v="203.91854839999999"/>
    <n v="10.210000000000001"/>
  </r>
  <r>
    <x v="42"/>
    <d v="2010-03-12T00:00:00"/>
    <x v="8"/>
    <x v="0"/>
    <x v="2412"/>
    <x v="0"/>
    <n v="44.56"/>
    <n v="2.7080000000000002"/>
    <n v="203.57142859999999"/>
    <n v="10.210000000000001"/>
  </r>
  <r>
    <x v="42"/>
    <d v="2010-10-12T00:00:00"/>
    <x v="9"/>
    <x v="0"/>
    <x v="2413"/>
    <x v="0"/>
    <n v="52.52"/>
    <n v="2.843"/>
    <n v="203.44757860000001"/>
    <n v="10.210000000000001"/>
  </r>
  <r>
    <x v="42"/>
    <d v="2011-07-01T00:00:00"/>
    <x v="4"/>
    <x v="1"/>
    <x v="2414"/>
    <x v="0"/>
    <n v="40.47"/>
    <n v="2.976"/>
    <n v="203.42670050000001"/>
    <n v="10.398"/>
  </r>
  <r>
    <x v="42"/>
    <d v="2011-04-02T00:00:00"/>
    <x v="5"/>
    <x v="1"/>
    <x v="2415"/>
    <x v="0"/>
    <n v="33.21"/>
    <n v="2.9889999999999999"/>
    <n v="204.52641940000001"/>
    <n v="10.398"/>
  </r>
  <r>
    <x v="42"/>
    <d v="2011-11-02T00:00:00"/>
    <x v="6"/>
    <x v="1"/>
    <x v="2416"/>
    <x v="1"/>
    <n v="40.65"/>
    <n v="3.0219999999999998"/>
    <n v="204.87387100000001"/>
    <n v="10.398"/>
  </r>
  <r>
    <x v="42"/>
    <d v="2011-04-03T00:00:00"/>
    <x v="5"/>
    <x v="1"/>
    <x v="2417"/>
    <x v="0"/>
    <n v="60.26"/>
    <n v="3.2879999999999998"/>
    <n v="205.71482140000001"/>
    <n v="10.398"/>
  </r>
  <r>
    <x v="42"/>
    <d v="2011-11-03T00:00:00"/>
    <x v="6"/>
    <x v="1"/>
    <x v="2418"/>
    <x v="0"/>
    <n v="60.24"/>
    <n v="3.4590000000000001"/>
    <n v="205.9880714"/>
    <n v="10.398"/>
  </r>
  <r>
    <x v="42"/>
    <d v="2011-01-04T00:00:00"/>
    <x v="10"/>
    <x v="1"/>
    <x v="2419"/>
    <x v="0"/>
    <n v="67.790000000000006"/>
    <n v="3.524"/>
    <n v="206.67331110000001"/>
    <n v="10.581"/>
  </r>
  <r>
    <x v="42"/>
    <d v="2011-08-04T00:00:00"/>
    <x v="11"/>
    <x v="1"/>
    <x v="2420"/>
    <x v="0"/>
    <n v="70.349999999999994"/>
    <n v="3.6219999999999999"/>
    <n v="206.8970046"/>
    <n v="10.581"/>
  </r>
  <r>
    <x v="42"/>
    <d v="2011-06-05T00:00:00"/>
    <x v="7"/>
    <x v="1"/>
    <x v="2421"/>
    <x v="0"/>
    <n v="66.77"/>
    <n v="3.9060000000000001"/>
    <n v="207.57149290000001"/>
    <n v="10.581"/>
  </r>
  <r>
    <x v="42"/>
    <d v="2011-03-06T00:00:00"/>
    <x v="8"/>
    <x v="1"/>
    <x v="2422"/>
    <x v="0"/>
    <n v="83.49"/>
    <n v="3.6989999999999998"/>
    <n v="207.10390090000001"/>
    <n v="10.581"/>
  </r>
  <r>
    <x v="42"/>
    <d v="2011-10-06T00:00:00"/>
    <x v="9"/>
    <x v="1"/>
    <x v="2423"/>
    <x v="0"/>
    <n v="85.81"/>
    <n v="3.6480000000000001"/>
    <n v="206.8958203"/>
    <n v="10.581"/>
  </r>
  <r>
    <x v="42"/>
    <d v="2011-01-07T00:00:00"/>
    <x v="10"/>
    <x v="1"/>
    <x v="2424"/>
    <x v="0"/>
    <n v="91.36"/>
    <n v="3.524"/>
    <n v="207.02885710000001"/>
    <n v="10.641"/>
  </r>
  <r>
    <x v="42"/>
    <d v="2011-08-07T00:00:00"/>
    <x v="11"/>
    <x v="1"/>
    <x v="2425"/>
    <x v="0"/>
    <n v="87.02"/>
    <n v="3.48"/>
    <n v="207.11527380000001"/>
    <n v="10.641"/>
  </r>
  <r>
    <x v="42"/>
    <d v="2011-05-08T00:00:00"/>
    <x v="0"/>
    <x v="1"/>
    <x v="2426"/>
    <x v="0"/>
    <n v="87.47"/>
    <n v="3.6840000000000002"/>
    <n v="207.37329489999999"/>
    <n v="10.641"/>
  </r>
  <r>
    <x v="42"/>
    <d v="2011-12-08T00:00:00"/>
    <x v="1"/>
    <x v="1"/>
    <x v="2427"/>
    <x v="0"/>
    <n v="86.64"/>
    <n v="3.6379999999999999"/>
    <n v="207.43303689999999"/>
    <n v="10.641"/>
  </r>
  <r>
    <x v="42"/>
    <d v="2011-02-09T00:00:00"/>
    <x v="2"/>
    <x v="1"/>
    <x v="2428"/>
    <x v="0"/>
    <n v="87.84"/>
    <n v="3.5329999999999999"/>
    <n v="207.62069589999999"/>
    <n v="10.641"/>
  </r>
  <r>
    <x v="42"/>
    <d v="2011-09-09T00:00:00"/>
    <x v="3"/>
    <x v="1"/>
    <x v="2429"/>
    <x v="1"/>
    <n v="79.290000000000006"/>
    <n v="3.5459999999999998"/>
    <n v="207.68338940000001"/>
    <n v="10.641"/>
  </r>
  <r>
    <x v="42"/>
    <d v="2011-07-10T00:00:00"/>
    <x v="4"/>
    <x v="1"/>
    <x v="2430"/>
    <x v="0"/>
    <n v="74.17"/>
    <n v="3.2850000000000001"/>
    <n v="208.78721429999999"/>
    <n v="10.148"/>
  </r>
  <r>
    <x v="42"/>
    <d v="2011-04-11T00:00:00"/>
    <x v="5"/>
    <x v="1"/>
    <x v="2431"/>
    <x v="0"/>
    <n v="59.08"/>
    <n v="3.3319999999999999"/>
    <n v="209.516265"/>
    <n v="10.148"/>
  </r>
  <r>
    <x v="42"/>
    <d v="2011-11-11T00:00:00"/>
    <x v="6"/>
    <x v="1"/>
    <x v="2432"/>
    <x v="0"/>
    <n v="51.26"/>
    <n v="3.2970000000000002"/>
    <n v="209.66328110000001"/>
    <n v="10.148"/>
  </r>
  <r>
    <x v="42"/>
    <d v="2011-02-12T00:00:00"/>
    <x v="2"/>
    <x v="1"/>
    <x v="2433"/>
    <x v="0"/>
    <n v="47.49"/>
    <n v="3.1720000000000002"/>
    <n v="210.31260710000001"/>
    <n v="10.148"/>
  </r>
  <r>
    <x v="42"/>
    <d v="2011-09-12T00:00:00"/>
    <x v="3"/>
    <x v="1"/>
    <x v="2434"/>
    <x v="0"/>
    <n v="34.229999999999997"/>
    <n v="3.1579999999999999"/>
    <n v="210.5363571"/>
    <n v="10.148"/>
  </r>
  <r>
    <x v="42"/>
    <d v="2012-06-01T00:00:00"/>
    <x v="7"/>
    <x v="2"/>
    <x v="2435"/>
    <x v="0"/>
    <n v="47.59"/>
    <n v="3.157"/>
    <n v="211.24281339999999"/>
    <n v="9.6530000000000005"/>
  </r>
  <r>
    <x v="42"/>
    <d v="2012-03-02T00:00:00"/>
    <x v="8"/>
    <x v="2"/>
    <x v="2436"/>
    <x v="0"/>
    <n v="51.92"/>
    <n v="3.36"/>
    <n v="211.67620049999999"/>
    <n v="9.6530000000000005"/>
  </r>
  <r>
    <x v="42"/>
    <d v="2012-10-02T00:00:00"/>
    <x v="9"/>
    <x v="2"/>
    <x v="2437"/>
    <x v="1"/>
    <n v="46.54"/>
    <n v="3.4089999999999998"/>
    <n v="211.76441009999999"/>
    <n v="9.6530000000000005"/>
  </r>
  <r>
    <x v="42"/>
    <d v="2012-02-03T00:00:00"/>
    <x v="2"/>
    <x v="2"/>
    <x v="2438"/>
    <x v="0"/>
    <n v="56.43"/>
    <n v="3.63"/>
    <n v="212.3180074"/>
    <n v="9.6530000000000005"/>
  </r>
  <r>
    <x v="42"/>
    <d v="2012-09-03T00:00:00"/>
    <x v="3"/>
    <x v="2"/>
    <x v="2439"/>
    <x v="0"/>
    <n v="54.52"/>
    <n v="3.669"/>
    <n v="212.5185936"/>
    <n v="9.6530000000000005"/>
  </r>
  <r>
    <x v="42"/>
    <d v="2012-06-04T00:00:00"/>
    <x v="7"/>
    <x v="2"/>
    <x v="2440"/>
    <x v="0"/>
    <n v="64.7"/>
    <n v="3.891"/>
    <n v="212.88875350000001"/>
    <n v="9.5749999999999993"/>
  </r>
  <r>
    <x v="42"/>
    <d v="2012-04-05T00:00:00"/>
    <x v="5"/>
    <x v="2"/>
    <x v="2441"/>
    <x v="0"/>
    <n v="77.47"/>
    <n v="3.7490000000000001"/>
    <n v="213.11258570000001"/>
    <n v="9.5749999999999993"/>
  </r>
  <r>
    <x v="42"/>
    <d v="2012-11-05T00:00:00"/>
    <x v="6"/>
    <x v="2"/>
    <x v="2442"/>
    <x v="0"/>
    <n v="67.59"/>
    <n v="3.6880000000000002"/>
    <n v="213.1623524"/>
    <n v="9.5749999999999993"/>
  </r>
  <r>
    <x v="42"/>
    <d v="2012-01-06T00:00:00"/>
    <x v="10"/>
    <x v="2"/>
    <x v="2443"/>
    <x v="0"/>
    <n v="80.89"/>
    <n v="3.5009999999999999"/>
    <n v="213.17197469999999"/>
    <n v="9.5749999999999993"/>
  </r>
  <r>
    <x v="42"/>
    <d v="2012-08-06T00:00:00"/>
    <x v="11"/>
    <x v="2"/>
    <x v="2444"/>
    <x v="0"/>
    <n v="85.73"/>
    <n v="3.452"/>
    <n v="213.17028110000001"/>
    <n v="9.5749999999999993"/>
  </r>
  <r>
    <x v="42"/>
    <d v="2012-06-07T00:00:00"/>
    <x v="7"/>
    <x v="2"/>
    <x v="2445"/>
    <x v="0"/>
    <n v="82.68"/>
    <n v="3.2269999999999999"/>
    <n v="213.27974520000001"/>
    <n v="9.2850000000000001"/>
  </r>
  <r>
    <x v="42"/>
    <d v="2012-03-08T00:00:00"/>
    <x v="8"/>
    <x v="2"/>
    <x v="2446"/>
    <x v="0"/>
    <n v="85.06"/>
    <n v="3.4169999999999998"/>
    <n v="213.33888020000001"/>
    <n v="9.2850000000000001"/>
  </r>
  <r>
    <x v="42"/>
    <d v="2012-10-08T00:00:00"/>
    <x v="9"/>
    <x v="2"/>
    <x v="2447"/>
    <x v="0"/>
    <n v="86.36"/>
    <n v="3.4940000000000002"/>
    <n v="213.34736409999999"/>
    <n v="9.2850000000000001"/>
  </r>
  <r>
    <x v="42"/>
    <d v="2012-07-09T00:00:00"/>
    <x v="4"/>
    <x v="2"/>
    <x v="2448"/>
    <x v="1"/>
    <n v="84.99"/>
    <n v="3.73"/>
    <n v="213.79909910000001"/>
    <n v="9.2850000000000001"/>
  </r>
  <r>
    <x v="42"/>
    <d v="2012-05-10T00:00:00"/>
    <x v="0"/>
    <x v="2"/>
    <x v="2449"/>
    <x v="0"/>
    <n v="74.09"/>
    <n v="3.617"/>
    <n v="214.49126670000001"/>
    <n v="8.8390000000000004"/>
  </r>
  <r>
    <x v="42"/>
    <d v="2012-12-10T00:00:00"/>
    <x v="1"/>
    <x v="2"/>
    <x v="2450"/>
    <x v="0"/>
    <n v="71.14"/>
    <n v="3.601"/>
    <n v="214.6772833"/>
    <n v="8.8390000000000004"/>
  </r>
  <r>
    <x v="43"/>
    <d v="2010-05-02T00:00:00"/>
    <x v="0"/>
    <x v="0"/>
    <x v="2451"/>
    <x v="0"/>
    <n v="31.53"/>
    <n v="2.6659999999999999"/>
    <n v="126.4420645"/>
    <n v="8.1189999999999998"/>
  </r>
  <r>
    <x v="43"/>
    <d v="2010-12-02T00:00:00"/>
    <x v="1"/>
    <x v="0"/>
    <x v="2452"/>
    <x v="1"/>
    <n v="33.159999999999997"/>
    <n v="2.6709999999999998"/>
    <n v="126.49625810000001"/>
    <n v="8.1189999999999998"/>
  </r>
  <r>
    <x v="43"/>
    <d v="2010-05-03T00:00:00"/>
    <x v="0"/>
    <x v="0"/>
    <x v="2453"/>
    <x v="0"/>
    <n v="40.65"/>
    <n v="2.681"/>
    <n v="126.5782857"/>
    <n v="8.1189999999999998"/>
  </r>
  <r>
    <x v="43"/>
    <d v="2010-12-03T00:00:00"/>
    <x v="1"/>
    <x v="0"/>
    <x v="2454"/>
    <x v="0"/>
    <n v="37.619999999999997"/>
    <n v="2.7330000000000001"/>
    <n v="126.60428570000001"/>
    <n v="8.1189999999999998"/>
  </r>
  <r>
    <x v="43"/>
    <d v="2010-02-04T00:00:00"/>
    <x v="2"/>
    <x v="0"/>
    <x v="2455"/>
    <x v="0"/>
    <n v="42.15"/>
    <n v="2.8420000000000001"/>
    <n v="126.6034839"/>
    <n v="7.9720000000000004"/>
  </r>
  <r>
    <x v="43"/>
    <d v="2010-09-04T00:00:00"/>
    <x v="3"/>
    <x v="0"/>
    <x v="2456"/>
    <x v="0"/>
    <n v="38.97"/>
    <n v="2.8769999999999998"/>
    <n v="126.6019032"/>
    <n v="7.9720000000000004"/>
  </r>
  <r>
    <x v="43"/>
    <d v="2010-07-05T00:00:00"/>
    <x v="4"/>
    <x v="0"/>
    <x v="2457"/>
    <x v="0"/>
    <n v="44.42"/>
    <n v="2.948"/>
    <n v="126.2898"/>
    <n v="7.9720000000000004"/>
  </r>
  <r>
    <x v="43"/>
    <d v="2010-04-06T00:00:00"/>
    <x v="5"/>
    <x v="0"/>
    <x v="2458"/>
    <x v="0"/>
    <n v="59.85"/>
    <n v="2.871"/>
    <n v="126.1360645"/>
    <n v="7.9720000000000004"/>
  </r>
  <r>
    <x v="43"/>
    <d v="2010-11-06T00:00:00"/>
    <x v="6"/>
    <x v="0"/>
    <x v="2459"/>
    <x v="0"/>
    <n v="65.239999999999995"/>
    <n v="2.8410000000000002"/>
    <n v="126.1119032"/>
    <n v="7.9720000000000004"/>
  </r>
  <r>
    <x v="43"/>
    <d v="2010-02-07T00:00:00"/>
    <x v="2"/>
    <x v="0"/>
    <x v="2460"/>
    <x v="0"/>
    <n v="78.819999999999993"/>
    <n v="2.8140000000000001"/>
    <n v="126.1392"/>
    <n v="7.8040000000000003"/>
  </r>
  <r>
    <x v="43"/>
    <d v="2010-09-07T00:00:00"/>
    <x v="3"/>
    <x v="0"/>
    <x v="2461"/>
    <x v="0"/>
    <n v="71.33"/>
    <n v="2.802"/>
    <n v="126.15179999999999"/>
    <n v="7.8040000000000003"/>
  </r>
  <r>
    <x v="43"/>
    <d v="2010-06-08T00:00:00"/>
    <x v="7"/>
    <x v="0"/>
    <x v="2462"/>
    <x v="0"/>
    <n v="81.239999999999995"/>
    <n v="2.802"/>
    <n v="126.0854516"/>
    <n v="7.8040000000000003"/>
  </r>
  <r>
    <x v="43"/>
    <d v="2010-03-09T00:00:00"/>
    <x v="8"/>
    <x v="0"/>
    <x v="2463"/>
    <x v="0"/>
    <n v="65.709999999999994"/>
    <n v="2.8679999999999999"/>
    <n v="126.1019355"/>
    <n v="7.8040000000000003"/>
  </r>
  <r>
    <x v="43"/>
    <d v="2010-10-09T00:00:00"/>
    <x v="9"/>
    <x v="0"/>
    <x v="2464"/>
    <x v="1"/>
    <n v="65.739999999999995"/>
    <n v="2.87"/>
    <n v="126.1145806"/>
    <n v="7.8040000000000003"/>
  </r>
  <r>
    <x v="43"/>
    <d v="2010-01-10T00:00:00"/>
    <x v="10"/>
    <x v="0"/>
    <x v="2465"/>
    <x v="0"/>
    <n v="68.739999999999995"/>
    <n v="2.8530000000000002"/>
    <n v="126.2346"/>
    <n v="7.61"/>
  </r>
  <r>
    <x v="43"/>
    <d v="2010-08-10T00:00:00"/>
    <x v="11"/>
    <x v="0"/>
    <x v="2466"/>
    <x v="0"/>
    <n v="63.03"/>
    <n v="2.8410000000000002"/>
    <n v="126.2791667"/>
    <n v="7.61"/>
  </r>
  <r>
    <x v="43"/>
    <d v="2010-05-11T00:00:00"/>
    <x v="0"/>
    <x v="0"/>
    <x v="2467"/>
    <x v="0"/>
    <n v="49.96"/>
    <n v="2.831"/>
    <n v="126.4912903"/>
    <n v="7.61"/>
  </r>
  <r>
    <x v="43"/>
    <d v="2010-12-11T00:00:00"/>
    <x v="1"/>
    <x v="0"/>
    <x v="2468"/>
    <x v="0"/>
    <n v="42.55"/>
    <n v="2.831"/>
    <n v="126.54616129999999"/>
    <n v="7.61"/>
  </r>
  <r>
    <x v="43"/>
    <d v="2010-03-12T00:00:00"/>
    <x v="8"/>
    <x v="0"/>
    <x v="2469"/>
    <x v="0"/>
    <n v="25.8"/>
    <n v="2.8119999999999998"/>
    <n v="126.7313333"/>
    <n v="7.61"/>
  </r>
  <r>
    <x v="43"/>
    <d v="2010-10-12T00:00:00"/>
    <x v="9"/>
    <x v="0"/>
    <x v="2470"/>
    <x v="0"/>
    <n v="36.78"/>
    <n v="2.8170000000000002"/>
    <n v="126.79340000000001"/>
    <n v="7.61"/>
  </r>
  <r>
    <x v="43"/>
    <d v="2011-07-01T00:00:00"/>
    <x v="4"/>
    <x v="1"/>
    <x v="2471"/>
    <x v="0"/>
    <n v="16.940000000000001"/>
    <n v="2.891"/>
    <n v="127.1917742"/>
    <n v="7.2240000000000002"/>
  </r>
  <r>
    <x v="43"/>
    <d v="2011-04-02T00:00:00"/>
    <x v="5"/>
    <x v="1"/>
    <x v="2472"/>
    <x v="0"/>
    <n v="23.35"/>
    <n v="2.9740000000000002"/>
    <n v="127.7195806"/>
    <n v="7.2240000000000002"/>
  </r>
  <r>
    <x v="43"/>
    <d v="2011-11-02T00:00:00"/>
    <x v="6"/>
    <x v="1"/>
    <x v="2473"/>
    <x v="1"/>
    <n v="30.83"/>
    <n v="3.0339999999999998"/>
    <n v="127.859129"/>
    <n v="7.2240000000000002"/>
  </r>
  <r>
    <x v="43"/>
    <d v="2011-04-03T00:00:00"/>
    <x v="5"/>
    <x v="1"/>
    <x v="2474"/>
    <x v="0"/>
    <n v="34.229999999999997"/>
    <n v="3.23"/>
    <n v="128.26474999999999"/>
    <n v="7.2240000000000002"/>
  </r>
  <r>
    <x v="43"/>
    <d v="2011-11-03T00:00:00"/>
    <x v="6"/>
    <x v="1"/>
    <x v="2475"/>
    <x v="0"/>
    <n v="41.28"/>
    <n v="3.3460000000000001"/>
    <n v="128.39949999999999"/>
    <n v="7.2240000000000002"/>
  </r>
  <r>
    <x v="43"/>
    <d v="2011-01-04T00:00:00"/>
    <x v="10"/>
    <x v="1"/>
    <x v="2476"/>
    <x v="0"/>
    <n v="42.49"/>
    <n v="3.4870000000000001"/>
    <n v="128.71993549999999"/>
    <n v="6.9059999999999997"/>
  </r>
  <r>
    <x v="43"/>
    <d v="2011-08-04T00:00:00"/>
    <x v="11"/>
    <x v="1"/>
    <x v="2477"/>
    <x v="0"/>
    <n v="42.75"/>
    <n v="3.5470000000000002"/>
    <n v="128.82380649999999"/>
    <n v="6.9059999999999997"/>
  </r>
  <r>
    <x v="43"/>
    <d v="2011-06-05T00:00:00"/>
    <x v="7"/>
    <x v="1"/>
    <x v="2478"/>
    <x v="0"/>
    <n v="47.75"/>
    <n v="3.7440000000000002"/>
    <n v="129.04443330000001"/>
    <n v="6.9059999999999997"/>
  </r>
  <r>
    <x v="43"/>
    <d v="2011-03-06T00:00:00"/>
    <x v="8"/>
    <x v="1"/>
    <x v="2479"/>
    <x v="0"/>
    <n v="52.76"/>
    <n v="3.7519999999999998"/>
    <n v="129.04903229999999"/>
    <n v="6.9059999999999997"/>
  </r>
  <r>
    <x v="43"/>
    <d v="2011-10-06T00:00:00"/>
    <x v="9"/>
    <x v="1"/>
    <x v="2480"/>
    <x v="0"/>
    <n v="61.39"/>
    <n v="3.7320000000000002"/>
    <n v="129.03570970000001"/>
    <n v="6.9059999999999997"/>
  </r>
  <r>
    <x v="43"/>
    <d v="2011-01-07T00:00:00"/>
    <x v="10"/>
    <x v="1"/>
    <x v="2481"/>
    <x v="0"/>
    <n v="74.290000000000006"/>
    <n v="3.613"/>
    <n v="129.08940000000001"/>
    <n v="6.56"/>
  </r>
  <r>
    <x v="43"/>
    <d v="2011-08-07T00:00:00"/>
    <x v="11"/>
    <x v="1"/>
    <x v="2482"/>
    <x v="0"/>
    <n v="77.3"/>
    <n v="3.5630000000000002"/>
    <n v="129.11250000000001"/>
    <n v="6.56"/>
  </r>
  <r>
    <x v="43"/>
    <d v="2011-05-08T00:00:00"/>
    <x v="0"/>
    <x v="1"/>
    <x v="2483"/>
    <x v="0"/>
    <n v="75.56"/>
    <n v="3.5950000000000002"/>
    <n v="129.18464520000001"/>
    <n v="6.56"/>
  </r>
  <r>
    <x v="43"/>
    <d v="2011-12-08T00:00:00"/>
    <x v="1"/>
    <x v="1"/>
    <x v="2484"/>
    <x v="0"/>
    <n v="75.95"/>
    <n v="3.6059999999999999"/>
    <n v="129.2015806"/>
    <n v="6.56"/>
  </r>
  <r>
    <x v="43"/>
    <d v="2011-02-09T00:00:00"/>
    <x v="2"/>
    <x v="1"/>
    <x v="2485"/>
    <x v="0"/>
    <n v="77"/>
    <n v="3.58"/>
    <n v="129.32593550000001"/>
    <n v="6.56"/>
  </r>
  <r>
    <x v="43"/>
    <d v="2011-09-09T00:00:00"/>
    <x v="3"/>
    <x v="1"/>
    <x v="2486"/>
    <x v="1"/>
    <n v="70.19"/>
    <n v="3.6190000000000002"/>
    <n v="129.36861289999999"/>
    <n v="6.56"/>
  </r>
  <r>
    <x v="43"/>
    <d v="2011-07-10T00:00:00"/>
    <x v="4"/>
    <x v="1"/>
    <x v="2487"/>
    <x v="0"/>
    <n v="60.62"/>
    <n v="3.5920000000000001"/>
    <n v="129.69380000000001"/>
    <n v="6.0780000000000003"/>
  </r>
  <r>
    <x v="43"/>
    <d v="2011-04-11T00:00:00"/>
    <x v="5"/>
    <x v="1"/>
    <x v="2488"/>
    <x v="0"/>
    <n v="43.51"/>
    <n v="3.5379999999999998"/>
    <n v="129.8051935"/>
    <n v="6.0780000000000003"/>
  </r>
  <r>
    <x v="43"/>
    <d v="2011-11-11T00:00:00"/>
    <x v="6"/>
    <x v="1"/>
    <x v="2489"/>
    <x v="0"/>
    <n v="33.799999999999997"/>
    <n v="3.5129999999999999"/>
    <n v="129.81670969999999"/>
    <n v="6.0780000000000003"/>
  </r>
  <r>
    <x v="43"/>
    <d v="2011-02-12T00:00:00"/>
    <x v="2"/>
    <x v="1"/>
    <x v="2490"/>
    <x v="0"/>
    <n v="33.94"/>
    <n v="3.3889999999999998"/>
    <n v="129.84596669999999"/>
    <n v="6.0780000000000003"/>
  </r>
  <r>
    <x v="43"/>
    <d v="2011-09-12T00:00:00"/>
    <x v="3"/>
    <x v="1"/>
    <x v="2491"/>
    <x v="0"/>
    <n v="24.82"/>
    <n v="3.3410000000000002"/>
    <n v="129.85553329999999"/>
    <n v="6.0780000000000003"/>
  </r>
  <r>
    <x v="43"/>
    <d v="2012-06-01T00:00:00"/>
    <x v="7"/>
    <x v="2"/>
    <x v="2492"/>
    <x v="0"/>
    <n v="33.799999999999997"/>
    <n v="3.08"/>
    <n v="130.15751610000001"/>
    <n v="5.774"/>
  </r>
  <r>
    <x v="43"/>
    <d v="2012-03-02T00:00:00"/>
    <x v="8"/>
    <x v="2"/>
    <x v="2493"/>
    <x v="0"/>
    <n v="31.39"/>
    <n v="3.077"/>
    <n v="130.34967739999999"/>
    <n v="5.774"/>
  </r>
  <r>
    <x v="43"/>
    <d v="2012-10-02T00:00:00"/>
    <x v="9"/>
    <x v="2"/>
    <x v="2494"/>
    <x v="1"/>
    <n v="33.729999999999997"/>
    <n v="3.1160000000000001"/>
    <n v="130.3849032"/>
    <n v="5.774"/>
  </r>
  <r>
    <x v="43"/>
    <d v="2012-02-03T00:00:00"/>
    <x v="2"/>
    <x v="2"/>
    <x v="2495"/>
    <x v="0"/>
    <n v="32.36"/>
    <n v="3.242"/>
    <n v="130.64579309999999"/>
    <n v="5.774"/>
  </r>
  <r>
    <x v="43"/>
    <d v="2012-09-03T00:00:00"/>
    <x v="3"/>
    <x v="2"/>
    <x v="2496"/>
    <x v="0"/>
    <n v="38.24"/>
    <n v="3.38"/>
    <n v="130.74137930000001"/>
    <n v="5.774"/>
  </r>
  <r>
    <x v="43"/>
    <d v="2012-06-04T00:00:00"/>
    <x v="7"/>
    <x v="2"/>
    <x v="2497"/>
    <x v="0"/>
    <n v="48.85"/>
    <n v="3.7930000000000001"/>
    <n v="131.03754839999999"/>
    <n v="5.6210000000000004"/>
  </r>
  <r>
    <x v="43"/>
    <d v="2012-04-05T00:00:00"/>
    <x v="5"/>
    <x v="2"/>
    <x v="2498"/>
    <x v="0"/>
    <n v="54.41"/>
    <n v="3.831"/>
    <n v="131.136"/>
    <n v="5.6210000000000004"/>
  </r>
  <r>
    <x v="43"/>
    <d v="2012-11-05T00:00:00"/>
    <x v="6"/>
    <x v="2"/>
    <x v="2499"/>
    <x v="0"/>
    <n v="56.47"/>
    <n v="3.8090000000000002"/>
    <n v="131.1453333"/>
    <n v="5.6210000000000004"/>
  </r>
  <r>
    <x v="43"/>
    <d v="2012-01-06T00:00:00"/>
    <x v="10"/>
    <x v="2"/>
    <x v="2500"/>
    <x v="0"/>
    <n v="61.11"/>
    <n v="3.7879999999999998"/>
    <n v="130.95922580000001"/>
    <n v="5.6210000000000004"/>
  </r>
  <r>
    <x v="43"/>
    <d v="2012-08-06T00:00:00"/>
    <x v="11"/>
    <x v="2"/>
    <x v="2501"/>
    <x v="0"/>
    <n v="68.400000000000006"/>
    <n v="3.7759999999999998"/>
    <n v="130.88967740000001"/>
    <n v="5.6210000000000004"/>
  </r>
  <r>
    <x v="43"/>
    <d v="2012-06-07T00:00:00"/>
    <x v="7"/>
    <x v="2"/>
    <x v="2502"/>
    <x v="0"/>
    <n v="79.23"/>
    <n v="3.63"/>
    <n v="130.7196333"/>
    <n v="5.407"/>
  </r>
  <r>
    <x v="43"/>
    <d v="2012-03-08T00:00:00"/>
    <x v="8"/>
    <x v="2"/>
    <x v="2503"/>
    <x v="0"/>
    <n v="81.99"/>
    <n v="3.512"/>
    <n v="130.73787100000001"/>
    <n v="5.407"/>
  </r>
  <r>
    <x v="43"/>
    <d v="2012-10-08T00:00:00"/>
    <x v="9"/>
    <x v="2"/>
    <x v="2504"/>
    <x v="0"/>
    <n v="81.69"/>
    <n v="3.5089999999999999"/>
    <n v="130.7561613"/>
    <n v="5.407"/>
  </r>
  <r>
    <x v="43"/>
    <d v="2012-07-09T00:00:00"/>
    <x v="4"/>
    <x v="2"/>
    <x v="2505"/>
    <x v="1"/>
    <n v="70.650000000000006"/>
    <n v="3.6890000000000001"/>
    <n v="130.9325484"/>
    <n v="5.407"/>
  </r>
  <r>
    <x v="43"/>
    <d v="2012-05-10T00:00:00"/>
    <x v="0"/>
    <x v="2"/>
    <x v="2506"/>
    <x v="0"/>
    <n v="61.79"/>
    <n v="3.8149999999999999"/>
    <n v="131.0756667"/>
    <n v="5.2169999999999996"/>
  </r>
  <r>
    <x v="43"/>
    <d v="2012-12-10T00:00:00"/>
    <x v="1"/>
    <x v="2"/>
    <x v="2507"/>
    <x v="0"/>
    <n v="55.1"/>
    <n v="3.7970000000000002"/>
    <n v="131.1083333"/>
    <n v="5.2169999999999996"/>
  </r>
  <r>
    <x v="44"/>
    <d v="2010-05-02T00:00:00"/>
    <x v="0"/>
    <x v="0"/>
    <x v="2508"/>
    <x v="0"/>
    <n v="27.31"/>
    <n v="2.7839999999999998"/>
    <n v="181.8711898"/>
    <n v="8.9920000000000009"/>
  </r>
  <r>
    <x v="44"/>
    <d v="2010-12-02T00:00:00"/>
    <x v="1"/>
    <x v="0"/>
    <x v="2509"/>
    <x v="1"/>
    <n v="27.73"/>
    <n v="2.7730000000000001"/>
    <n v="181.98231699999999"/>
    <n v="8.9920000000000009"/>
  </r>
  <r>
    <x v="44"/>
    <d v="2010-05-03T00:00:00"/>
    <x v="0"/>
    <x v="0"/>
    <x v="2510"/>
    <x v="0"/>
    <n v="37.130000000000003"/>
    <n v="2.7770000000000001"/>
    <n v="182.1201566"/>
    <n v="8.9920000000000009"/>
  </r>
  <r>
    <x v="44"/>
    <d v="2010-12-03T00:00:00"/>
    <x v="1"/>
    <x v="0"/>
    <x v="2511"/>
    <x v="0"/>
    <n v="45.8"/>
    <n v="2.8180000000000001"/>
    <n v="182.1628441"/>
    <n v="8.9920000000000009"/>
  </r>
  <r>
    <x v="44"/>
    <d v="2010-02-04T00:00:00"/>
    <x v="2"/>
    <x v="0"/>
    <x v="2512"/>
    <x v="0"/>
    <n v="47.74"/>
    <n v="2.85"/>
    <n v="181.8657537"/>
    <n v="8.8989999999999991"/>
  </r>
  <r>
    <x v="44"/>
    <d v="2010-09-04T00:00:00"/>
    <x v="3"/>
    <x v="0"/>
    <x v="2513"/>
    <x v="0"/>
    <n v="65.45"/>
    <n v="2.8690000000000002"/>
    <n v="181.75963770000001"/>
    <n v="8.8989999999999991"/>
  </r>
  <r>
    <x v="44"/>
    <d v="2010-07-05T00:00:00"/>
    <x v="4"/>
    <x v="0"/>
    <x v="2514"/>
    <x v="0"/>
    <n v="70.75"/>
    <n v="2.9660000000000002"/>
    <n v="181.64681540000001"/>
    <n v="8.8989999999999991"/>
  </r>
  <r>
    <x v="44"/>
    <d v="2010-04-06T00:00:00"/>
    <x v="5"/>
    <x v="0"/>
    <x v="2515"/>
    <x v="0"/>
    <n v="75.930000000000007"/>
    <n v="2.847"/>
    <n v="182.2389876"/>
    <n v="8.8989999999999991"/>
  </r>
  <r>
    <x v="44"/>
    <d v="2010-11-06T00:00:00"/>
    <x v="6"/>
    <x v="0"/>
    <x v="2516"/>
    <x v="0"/>
    <n v="69.709999999999994"/>
    <n v="2.8090000000000002"/>
    <n v="182.43155709999999"/>
    <n v="8.8989999999999991"/>
  </r>
  <r>
    <x v="44"/>
    <d v="2010-02-07T00:00:00"/>
    <x v="2"/>
    <x v="0"/>
    <x v="2517"/>
    <x v="0"/>
    <n v="76.61"/>
    <n v="2.8149999999999999"/>
    <n v="182.3187801"/>
    <n v="8.7430000000000003"/>
  </r>
  <r>
    <x v="44"/>
    <d v="2010-09-07T00:00:00"/>
    <x v="3"/>
    <x v="0"/>
    <x v="2518"/>
    <x v="0"/>
    <n v="82.45"/>
    <n v="2.7930000000000001"/>
    <n v="182.2569603"/>
    <n v="8.7430000000000003"/>
  </r>
  <r>
    <x v="44"/>
    <d v="2010-06-08T00:00:00"/>
    <x v="7"/>
    <x v="0"/>
    <x v="2519"/>
    <x v="0"/>
    <n v="77.17"/>
    <n v="2.7839999999999998"/>
    <n v="182.53208620000001"/>
    <n v="8.7430000000000003"/>
  </r>
  <r>
    <x v="44"/>
    <d v="2010-03-09T00:00:00"/>
    <x v="8"/>
    <x v="0"/>
    <x v="2520"/>
    <x v="0"/>
    <n v="78.37"/>
    <n v="2.7149999999999999"/>
    <n v="182.6042922"/>
    <n v="8.7430000000000003"/>
  </r>
  <r>
    <x v="44"/>
    <d v="2010-10-09T00:00:00"/>
    <x v="9"/>
    <x v="0"/>
    <x v="2521"/>
    <x v="1"/>
    <n v="70.87"/>
    <n v="2.6989999999999998"/>
    <n v="182.59817799999999"/>
    <n v="8.7430000000000003"/>
  </r>
  <r>
    <x v="44"/>
    <d v="2010-01-10T00:00:00"/>
    <x v="10"/>
    <x v="0"/>
    <x v="2522"/>
    <x v="0"/>
    <n v="70.58"/>
    <n v="2.7069999999999999"/>
    <n v="182.71683849999999"/>
    <n v="8.7240000000000002"/>
  </r>
  <r>
    <x v="44"/>
    <d v="2010-08-10T00:00:00"/>
    <x v="11"/>
    <x v="0"/>
    <x v="2523"/>
    <x v="0"/>
    <n v="56.49"/>
    <n v="2.7639999999999998"/>
    <n v="182.76400319999999"/>
    <n v="8.7240000000000002"/>
  </r>
  <r>
    <x v="44"/>
    <d v="2010-05-11T00:00:00"/>
    <x v="0"/>
    <x v="0"/>
    <x v="2524"/>
    <x v="0"/>
    <n v="45.65"/>
    <n v="2.9169999999999998"/>
    <n v="182.9463648"/>
    <n v="8.7240000000000002"/>
  </r>
  <r>
    <x v="44"/>
    <d v="2010-12-11T00:00:00"/>
    <x v="1"/>
    <x v="0"/>
    <x v="2525"/>
    <x v="0"/>
    <n v="46.14"/>
    <n v="2.931"/>
    <n v="182.99161290000001"/>
    <n v="8.7240000000000002"/>
  </r>
  <r>
    <x v="44"/>
    <d v="2010-03-12T00:00:00"/>
    <x v="8"/>
    <x v="0"/>
    <x v="2526"/>
    <x v="0"/>
    <n v="40.93"/>
    <n v="3.0459999999999998"/>
    <n v="182.66761539999999"/>
    <n v="8.7240000000000002"/>
  </r>
  <r>
    <x v="44"/>
    <d v="2010-10-12T00:00:00"/>
    <x v="9"/>
    <x v="0"/>
    <x v="2527"/>
    <x v="0"/>
    <n v="30.54"/>
    <n v="3.109"/>
    <n v="182.55195380000001"/>
    <n v="8.7240000000000002"/>
  </r>
  <r>
    <x v="44"/>
    <d v="2011-07-01T00:00:00"/>
    <x v="4"/>
    <x v="1"/>
    <x v="2528"/>
    <x v="0"/>
    <n v="34.32"/>
    <n v="3.1930000000000001"/>
    <n v="182.59830579999999"/>
    <n v="8.5489999999999995"/>
  </r>
  <r>
    <x v="44"/>
    <d v="2011-04-02T00:00:00"/>
    <x v="5"/>
    <x v="1"/>
    <x v="2529"/>
    <x v="0"/>
    <n v="28.73"/>
    <n v="3.2309999999999999"/>
    <n v="183.44085419999999"/>
    <n v="8.5489999999999995"/>
  </r>
  <r>
    <x v="44"/>
    <d v="2011-11-02T00:00:00"/>
    <x v="6"/>
    <x v="1"/>
    <x v="2530"/>
    <x v="1"/>
    <n v="30.3"/>
    <n v="3.2389999999999999"/>
    <n v="183.70161289999999"/>
    <n v="8.5489999999999995"/>
  </r>
  <r>
    <x v="44"/>
    <d v="2011-04-03T00:00:00"/>
    <x v="5"/>
    <x v="1"/>
    <x v="2531"/>
    <x v="0"/>
    <n v="38.65"/>
    <n v="3.4329999999999998"/>
    <n v="184.38799109999999"/>
    <n v="8.5489999999999995"/>
  </r>
  <r>
    <x v="44"/>
    <d v="2011-11-03T00:00:00"/>
    <x v="6"/>
    <x v="1"/>
    <x v="2532"/>
    <x v="0"/>
    <n v="45.01"/>
    <n v="3.5819999999999999"/>
    <n v="184.61341899999999"/>
    <n v="8.5489999999999995"/>
  </r>
  <r>
    <x v="44"/>
    <d v="2011-01-04T00:00:00"/>
    <x v="10"/>
    <x v="1"/>
    <x v="2533"/>
    <x v="0"/>
    <n v="37.270000000000003"/>
    <n v="3.6379999999999999"/>
    <n v="185.17901670000001"/>
    <n v="8.5210000000000008"/>
  </r>
  <r>
    <x v="44"/>
    <d v="2011-08-04T00:00:00"/>
    <x v="11"/>
    <x v="1"/>
    <x v="2534"/>
    <x v="0"/>
    <n v="48.71"/>
    <n v="3.72"/>
    <n v="185.36366559999999"/>
    <n v="8.5210000000000008"/>
  </r>
  <r>
    <x v="44"/>
    <d v="2011-06-05T00:00:00"/>
    <x v="7"/>
    <x v="1"/>
    <x v="2535"/>
    <x v="0"/>
    <n v="58.21"/>
    <n v="4.0460000000000003"/>
    <n v="185.9374378"/>
    <n v="8.5210000000000008"/>
  </r>
  <r>
    <x v="44"/>
    <d v="2011-03-06T00:00:00"/>
    <x v="8"/>
    <x v="1"/>
    <x v="2536"/>
    <x v="0"/>
    <n v="76.38"/>
    <n v="3.9220000000000002"/>
    <n v="185.75450000000001"/>
    <n v="8.5210000000000008"/>
  </r>
  <r>
    <x v="44"/>
    <d v="2011-10-06T00:00:00"/>
    <x v="9"/>
    <x v="1"/>
    <x v="2537"/>
    <x v="0"/>
    <n v="73.88"/>
    <n v="3.8809999999999998"/>
    <n v="185.64869229999999"/>
    <n v="8.5210000000000008"/>
  </r>
  <r>
    <x v="44"/>
    <d v="2011-01-07T00:00:00"/>
    <x v="10"/>
    <x v="1"/>
    <x v="2538"/>
    <x v="0"/>
    <n v="74.040000000000006"/>
    <n v="3.7480000000000002"/>
    <n v="185.91198850000001"/>
    <n v="8.625"/>
  </r>
  <r>
    <x v="44"/>
    <d v="2011-08-07T00:00:00"/>
    <x v="11"/>
    <x v="1"/>
    <x v="2539"/>
    <x v="0"/>
    <n v="77.489999999999995"/>
    <n v="3.7109999999999999"/>
    <n v="186.032016"/>
    <n v="8.625"/>
  </r>
  <r>
    <x v="44"/>
    <d v="2011-05-08T00:00:00"/>
    <x v="0"/>
    <x v="1"/>
    <x v="2540"/>
    <x v="0"/>
    <n v="78.22"/>
    <n v="3.8420000000000001"/>
    <n v="186.37340380000001"/>
    <n v="8.625"/>
  </r>
  <r>
    <x v="44"/>
    <d v="2011-12-08T00:00:00"/>
    <x v="1"/>
    <x v="1"/>
    <x v="2541"/>
    <x v="0"/>
    <n v="77"/>
    <n v="3.8119999999999998"/>
    <n v="186.4512115"/>
    <n v="8.625"/>
  </r>
  <r>
    <x v="44"/>
    <d v="2011-02-09T00:00:00"/>
    <x v="2"/>
    <x v="1"/>
    <x v="2542"/>
    <x v="0"/>
    <n v="70.63"/>
    <n v="3.7029999999999998"/>
    <n v="186.61892739999999"/>
    <n v="8.625"/>
  </r>
  <r>
    <x v="44"/>
    <d v="2011-09-09T00:00:00"/>
    <x v="3"/>
    <x v="1"/>
    <x v="2543"/>
    <x v="1"/>
    <n v="71.48"/>
    <n v="3.738"/>
    <n v="186.67373760000001"/>
    <n v="8.625"/>
  </r>
  <r>
    <x v="44"/>
    <d v="2011-07-10T00:00:00"/>
    <x v="4"/>
    <x v="1"/>
    <x v="2544"/>
    <x v="0"/>
    <n v="55.82"/>
    <n v="3.5830000000000002"/>
    <n v="187.4837962"/>
    <n v="8.5229999999999997"/>
  </r>
  <r>
    <x v="44"/>
    <d v="2011-04-11T00:00:00"/>
    <x v="5"/>
    <x v="1"/>
    <x v="2545"/>
    <x v="0"/>
    <n v="43.92"/>
    <n v="3.5510000000000002"/>
    <n v="187.9703629"/>
    <n v="8.5229999999999997"/>
  </r>
  <r>
    <x v="44"/>
    <d v="2011-11-11T00:00:00"/>
    <x v="6"/>
    <x v="1"/>
    <x v="2546"/>
    <x v="0"/>
    <n v="47.65"/>
    <n v="3.53"/>
    <n v="188.06323449999999"/>
    <n v="8.5229999999999997"/>
  </r>
  <r>
    <x v="44"/>
    <d v="2011-02-12T00:00:00"/>
    <x v="2"/>
    <x v="1"/>
    <x v="2547"/>
    <x v="0"/>
    <n v="50.19"/>
    <n v="3.452"/>
    <n v="188.50243459999999"/>
    <n v="8.5229999999999997"/>
  </r>
  <r>
    <x v="44"/>
    <d v="2011-09-12T00:00:00"/>
    <x v="3"/>
    <x v="1"/>
    <x v="2548"/>
    <x v="0"/>
    <n v="46.57"/>
    <n v="3.415"/>
    <n v="188.65446919999999"/>
    <n v="8.5229999999999997"/>
  </r>
  <r>
    <x v="44"/>
    <d v="2012-06-01T00:00:00"/>
    <x v="7"/>
    <x v="2"/>
    <x v="2549"/>
    <x v="0"/>
    <n v="35.880000000000003"/>
    <n v="3.4220000000000002"/>
    <n v="189.1940558"/>
    <n v="8.4239999999999995"/>
  </r>
  <r>
    <x v="44"/>
    <d v="2012-03-02T00:00:00"/>
    <x v="8"/>
    <x v="2"/>
    <x v="2550"/>
    <x v="0"/>
    <n v="42.96"/>
    <n v="3.617"/>
    <n v="189.61222770000001"/>
    <n v="8.4239999999999995"/>
  </r>
  <r>
    <x v="44"/>
    <d v="2012-10-02T00:00:00"/>
    <x v="9"/>
    <x v="2"/>
    <x v="2551"/>
    <x v="1"/>
    <n v="37"/>
    <n v="3.64"/>
    <n v="189.70760480000001"/>
    <n v="8.4239999999999995"/>
  </r>
  <r>
    <x v="44"/>
    <d v="2012-02-03T00:00:00"/>
    <x v="2"/>
    <x v="2"/>
    <x v="2552"/>
    <x v="0"/>
    <n v="41.55"/>
    <n v="3.8159999999999998"/>
    <n v="190.17149269999999"/>
    <n v="8.4239999999999995"/>
  </r>
  <r>
    <x v="44"/>
    <d v="2012-09-03T00:00:00"/>
    <x v="3"/>
    <x v="2"/>
    <x v="2553"/>
    <x v="0"/>
    <n v="45.52"/>
    <n v="3.8479999999999999"/>
    <n v="190.3359973"/>
    <n v="8.4239999999999995"/>
  </r>
  <r>
    <x v="44"/>
    <d v="2012-06-04T00:00:00"/>
    <x v="7"/>
    <x v="2"/>
    <x v="2554"/>
    <x v="0"/>
    <n v="49.73"/>
    <n v="3.996"/>
    <n v="190.68517120000001"/>
    <n v="8.5670000000000002"/>
  </r>
  <r>
    <x v="44"/>
    <d v="2012-04-05T00:00:00"/>
    <x v="5"/>
    <x v="2"/>
    <x v="2555"/>
    <x v="0"/>
    <n v="55.21"/>
    <n v="3.9510000000000001"/>
    <n v="190.9222115"/>
    <n v="8.5670000000000002"/>
  </r>
  <r>
    <x v="44"/>
    <d v="2012-11-05T00:00:00"/>
    <x v="6"/>
    <x v="2"/>
    <x v="2556"/>
    <x v="0"/>
    <n v="61.24"/>
    <n v="3.8889999999999998"/>
    <n v="190.97641669999999"/>
    <n v="8.5670000000000002"/>
  </r>
  <r>
    <x v="44"/>
    <d v="2012-01-06T00:00:00"/>
    <x v="10"/>
    <x v="2"/>
    <x v="2557"/>
    <x v="0"/>
    <n v="74.48"/>
    <n v="3.742"/>
    <n v="191.0091712"/>
    <n v="8.5670000000000002"/>
  </r>
  <r>
    <x v="44"/>
    <d v="2012-08-06T00:00:00"/>
    <x v="11"/>
    <x v="2"/>
    <x v="2558"/>
    <x v="0"/>
    <n v="64.3"/>
    <n v="3.6890000000000001"/>
    <n v="191.01553290000001"/>
    <n v="8.5670000000000002"/>
  </r>
  <r>
    <x v="44"/>
    <d v="2012-06-07T00:00:00"/>
    <x v="7"/>
    <x v="2"/>
    <x v="2559"/>
    <x v="0"/>
    <n v="82.99"/>
    <n v="3.4750000000000001"/>
    <n v="191.13388269999999"/>
    <n v="8.6839999999999993"/>
  </r>
  <r>
    <x v="44"/>
    <d v="2012-03-08T00:00:00"/>
    <x v="8"/>
    <x v="2"/>
    <x v="2560"/>
    <x v="0"/>
    <n v="76.58"/>
    <n v="3.6539999999999999"/>
    <n v="191.16408999999999"/>
    <n v="8.6839999999999993"/>
  </r>
  <r>
    <x v="44"/>
    <d v="2012-10-08T00:00:00"/>
    <x v="9"/>
    <x v="2"/>
    <x v="2561"/>
    <x v="0"/>
    <n v="78.650000000000006"/>
    <n v="3.722"/>
    <n v="191.16261349999999"/>
    <n v="8.6839999999999993"/>
  </r>
  <r>
    <x v="44"/>
    <d v="2012-07-09T00:00:00"/>
    <x v="4"/>
    <x v="2"/>
    <x v="2562"/>
    <x v="1"/>
    <n v="75.7"/>
    <n v="3.911"/>
    <n v="191.57767559999999"/>
    <n v="8.6839999999999993"/>
  </r>
  <r>
    <x v="44"/>
    <d v="2012-05-10T00:00:00"/>
    <x v="0"/>
    <x v="2"/>
    <x v="2563"/>
    <x v="0"/>
    <n v="64.89"/>
    <n v="3.9849999999999999"/>
    <n v="192.1704115"/>
    <n v="8.6669999999999998"/>
  </r>
  <r>
    <x v="44"/>
    <d v="2012-12-10T00:00:00"/>
    <x v="1"/>
    <x v="2"/>
    <x v="2564"/>
    <x v="0"/>
    <n v="54.47"/>
    <n v="4"/>
    <n v="192.32726539999999"/>
    <n v="8.6669999999999998"/>
  </r>
  <r>
    <x v="45"/>
    <m/>
    <x v="12"/>
    <x v="3"/>
    <x v="2565"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8B1F7-CFF4-43CA-BCEA-796FC090D761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Loja">
  <location ref="A28:B74" firstHeaderRow="1" firstDataRow="1" firstDataCol="1"/>
  <pivotFields count="10">
    <pivotField axis="axisRow" showAll="0" sortType="ascending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h="1" x="4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oma de Weekly_Sales" fld="4" baseField="0" baseItem="0" numFmtId="164"/>
  </dataFields>
  <formats count="11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0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0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">
      <pivotArea dataOnly="0" labelOnly="1" outline="0" axis="axisValues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835BA-3D9D-437C-8080-A7726C6823E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ês">
  <location ref="A12:B25" firstHeaderRow="1" firstDataRow="1" firstDataCol="1"/>
  <pivotFields count="10">
    <pivotField showAll="0"/>
    <pivotField showAll="0"/>
    <pivotField axis="axisRow" showAll="0" sortType="ascending">
      <items count="14">
        <item x="10"/>
        <item x="2"/>
        <item x="8"/>
        <item x="5"/>
        <item x="0"/>
        <item x="7"/>
        <item x="4"/>
        <item x="11"/>
        <item x="3"/>
        <item x="9"/>
        <item x="6"/>
        <item x="1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Weekly_Sales" fld="4" baseField="0" baseItem="0" numFmtId="164"/>
  </dataFields>
  <formats count="7"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0170B-1D70-4F5D-AB49-EBAA8ADAB1F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Ano">
  <location ref="A6:B10" firstHeaderRow="1" firstDataRow="1" firstDataCol="1"/>
  <pivotFields count="10">
    <pivotField showAll="0"/>
    <pivotField showAll="0"/>
    <pivotField showAll="0"/>
    <pivotField axis="axisRow" showAll="0" sortType="ascending">
      <items count="5">
        <item x="0"/>
        <item x="1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Weekly_Sales" fld="4" baseField="0" baseItem="0" numFmtId="164"/>
  </dataFields>
  <formats count="8">
    <format dxfId="28">
      <pivotArea dataOnly="0" outline="0" axis="axisValues" fieldPosition="0"/>
    </format>
    <format dxfId="27">
      <pivotArea type="all" dataOnly="0" outline="0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26BE2-F171-48A4-AB9E-1F01212F394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2" firstHeaderRow="1" firstDataRow="1" firstDataCol="0"/>
  <pivotFields count="10"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de Weekly_Sales" fld="4" baseField="0" baseItem="0"/>
  </dataFields>
  <formats count="5"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0B090-67A0-4BC3-8B56-A2EBC7984157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VALOR">
  <location ref="AJ74:AK120" firstHeaderRow="1" firstDataRow="1" firstDataCol="1"/>
  <pivotFields count="2">
    <pivotField dataField="1" showAll="0" sortType="a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numFmtId="164" showAll="0">
      <items count="46">
        <item x="19"/>
        <item x="3"/>
        <item x="13"/>
        <item x="12"/>
        <item x="1"/>
        <item x="9"/>
        <item x="26"/>
        <item x="0"/>
        <item x="5"/>
        <item x="18"/>
        <item x="38"/>
        <item x="27"/>
        <item x="30"/>
        <item x="23"/>
        <item x="22"/>
        <item x="10"/>
        <item x="40"/>
        <item x="31"/>
        <item x="17"/>
        <item x="25"/>
        <item x="21"/>
        <item x="11"/>
        <item x="39"/>
        <item x="33"/>
        <item x="34"/>
        <item x="7"/>
        <item x="16"/>
        <item x="44"/>
        <item x="20"/>
        <item x="24"/>
        <item x="42"/>
        <item x="14"/>
        <item x="41"/>
        <item x="6"/>
        <item x="8"/>
        <item x="28"/>
        <item x="36"/>
        <item x="15"/>
        <item x="29"/>
        <item x="2"/>
        <item x="37"/>
        <item x="35"/>
        <item x="4"/>
        <item x="43"/>
        <item x="32"/>
        <item t="default"/>
      </items>
    </pivotField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Lojas" fld="0" baseField="1" baseItem="0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092BF21-0D93-49CB-9F7D-66DF5567AB56}" autoFormatId="16" applyNumberFormats="0" applyBorderFormats="0" applyFontFormats="0" applyPatternFormats="0" applyAlignmentFormats="0" applyWidthHeightFormats="0">
  <queryTableRefresh nextId="11">
    <queryTableFields count="10">
      <queryTableField id="1" name="Store" tableColumnId="1"/>
      <queryTableField id="2" name="Date" tableColumnId="2"/>
      <queryTableField id="3" name="Month" tableColumnId="3"/>
      <queryTableField id="4" name="Year" tableColumnId="4"/>
      <queryTableField id="5" name="Weekly_Sales" tableColumnId="5"/>
      <queryTableField id="6" name="Holiday_Flag" tableColumnId="6"/>
      <queryTableField id="7" name="Temperature" tableColumnId="7"/>
      <queryTableField id="8" name="Fuel_Price" tableColumnId="8"/>
      <queryTableField id="9" name="CPI" tableColumnId="9"/>
      <queryTableField id="10" name="Unemploym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EC1E1-D1B8-4724-BB69-45641324DA7F}" name="Walmart_Sales" displayName="Walmart_Sales" ref="A1:J2566" tableType="queryTable" totalsRowShown="0">
  <autoFilter ref="A1:J2566" xr:uid="{CD2EC1E1-D1B8-4724-BB69-45641324DA7F}"/>
  <tableColumns count="10">
    <tableColumn id="1" xr3:uid="{20569AC7-6AA2-4A5D-9C64-CDA93019BC1C}" uniqueName="1" name="Store" queryTableFieldId="1"/>
    <tableColumn id="2" xr3:uid="{B1CCE621-3A01-4DC6-ABF1-E14E50D6B9C6}" uniqueName="2" name="Date" queryTableFieldId="2" dataDxfId="38"/>
    <tableColumn id="3" xr3:uid="{33F6034F-0A13-4FC6-95A1-2CC745CA07E0}" uniqueName="3" name="Month" queryTableFieldId="3"/>
    <tableColumn id="4" xr3:uid="{5CF5FD19-6CF0-48A1-9867-913286328116}" uniqueName="4" name="Year" queryTableFieldId="4"/>
    <tableColumn id="5" xr3:uid="{52A145F4-4808-4758-ADDB-08833FE5C350}" uniqueName="5" name="Weekly_Sales" queryTableFieldId="5" dataDxfId="37"/>
    <tableColumn id="6" xr3:uid="{9C645509-1567-49DA-9CF3-CE66534586B9}" uniqueName="6" name="Holiday_Flag" queryTableFieldId="6"/>
    <tableColumn id="7" xr3:uid="{18D9B48C-4D26-429F-A076-093847BEE1EF}" uniqueName="7" name="Temperature" queryTableFieldId="7" dataDxfId="36"/>
    <tableColumn id="8" xr3:uid="{B4740C9F-9137-4AEB-A714-B571C5E01931}" uniqueName="8" name="Fuel_Price" queryTableFieldId="8" dataDxfId="35"/>
    <tableColumn id="9" xr3:uid="{8F42767D-C211-4031-81C4-E202BD815895}" uniqueName="9" name="CPI" queryTableFieldId="9"/>
    <tableColumn id="10" xr3:uid="{E46E1594-B13A-4276-9568-6F762BB9B9FF}" uniqueName="10" name="Unemployment" queryTableFieldId="10" dataDxf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C537-F4B6-4594-AEBF-F22B00320D16}">
  <dimension ref="A1:S2566"/>
  <sheetViews>
    <sheetView workbookViewId="0">
      <selection activeCell="G15" sqref="G15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9" bestFit="1" customWidth="1"/>
    <col min="4" max="4" width="7.28515625" bestFit="1" customWidth="1"/>
    <col min="5" max="5" width="15.85546875" style="2" bestFit="1" customWidth="1"/>
    <col min="6" max="6" width="14.5703125" bestFit="1" customWidth="1"/>
    <col min="7" max="7" width="14.85546875" style="3" bestFit="1" customWidth="1"/>
    <col min="8" max="8" width="12.5703125" style="2" bestFit="1" customWidth="1"/>
    <col min="9" max="9" width="12" bestFit="1" customWidth="1"/>
    <col min="10" max="10" width="17.28515625" style="3" bestFit="1" customWidth="1"/>
    <col min="13" max="13" width="14.42578125" bestFit="1" customWidth="1"/>
    <col min="15" max="16" width="18.140625" bestFit="1" customWidth="1"/>
    <col min="19" max="19" width="18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3" t="s">
        <v>6</v>
      </c>
      <c r="H1" s="2" t="s">
        <v>7</v>
      </c>
      <c r="I1" t="s">
        <v>8</v>
      </c>
      <c r="J1" s="3" t="s">
        <v>9</v>
      </c>
      <c r="O1" s="2"/>
      <c r="P1" s="2"/>
    </row>
    <row r="2" spans="1:16" x14ac:dyDescent="0.25">
      <c r="A2">
        <v>1</v>
      </c>
      <c r="B2" s="1">
        <v>40300</v>
      </c>
      <c r="C2">
        <v>5</v>
      </c>
      <c r="D2">
        <v>2010</v>
      </c>
      <c r="E2" s="2">
        <v>1643690.9</v>
      </c>
      <c r="F2">
        <v>0</v>
      </c>
      <c r="G2" s="3">
        <v>42.31</v>
      </c>
      <c r="H2" s="2">
        <v>2.5720000000000001</v>
      </c>
      <c r="I2">
        <v>211.0963582</v>
      </c>
      <c r="J2" s="3">
        <v>8.1059999999999999</v>
      </c>
      <c r="M2" s="2"/>
    </row>
    <row r="3" spans="1:16" x14ac:dyDescent="0.25">
      <c r="A3">
        <v>1</v>
      </c>
      <c r="B3" s="1">
        <v>40514</v>
      </c>
      <c r="C3">
        <v>12</v>
      </c>
      <c r="D3">
        <v>2010</v>
      </c>
      <c r="E3" s="2">
        <v>1641957.44</v>
      </c>
      <c r="F3">
        <v>1</v>
      </c>
      <c r="G3" s="3">
        <v>38.51</v>
      </c>
      <c r="H3" s="2">
        <v>2.548</v>
      </c>
      <c r="I3">
        <v>211.2421698</v>
      </c>
      <c r="J3" s="3">
        <v>8.1059999999999999</v>
      </c>
    </row>
    <row r="4" spans="1:16" x14ac:dyDescent="0.25">
      <c r="A4">
        <v>1</v>
      </c>
      <c r="B4" s="1">
        <v>40301</v>
      </c>
      <c r="C4">
        <v>5</v>
      </c>
      <c r="D4">
        <v>2010</v>
      </c>
      <c r="E4" s="2">
        <v>1554806.68</v>
      </c>
      <c r="F4">
        <v>0</v>
      </c>
      <c r="G4" s="3">
        <v>46.5</v>
      </c>
      <c r="H4" s="2">
        <v>2.625</v>
      </c>
      <c r="I4">
        <v>211.35014290000001</v>
      </c>
      <c r="J4" s="3">
        <v>8.1059999999999999</v>
      </c>
    </row>
    <row r="5" spans="1:16" x14ac:dyDescent="0.25">
      <c r="A5">
        <v>1</v>
      </c>
      <c r="B5" s="1">
        <v>40515</v>
      </c>
      <c r="C5">
        <v>12</v>
      </c>
      <c r="D5">
        <v>2010</v>
      </c>
      <c r="E5" s="2">
        <v>1439541.59</v>
      </c>
      <c r="F5">
        <v>0</v>
      </c>
      <c r="G5" s="3">
        <v>57.79</v>
      </c>
      <c r="H5" s="2">
        <v>2.6669999999999998</v>
      </c>
      <c r="I5">
        <v>211.3806429</v>
      </c>
      <c r="J5" s="3">
        <v>8.1059999999999999</v>
      </c>
    </row>
    <row r="6" spans="1:16" x14ac:dyDescent="0.25">
      <c r="A6">
        <v>1</v>
      </c>
      <c r="B6" s="1">
        <v>40213</v>
      </c>
      <c r="C6">
        <v>2</v>
      </c>
      <c r="D6">
        <v>2010</v>
      </c>
      <c r="E6" s="2">
        <v>1594968.28</v>
      </c>
      <c r="F6">
        <v>0</v>
      </c>
      <c r="G6" s="3">
        <v>62.27</v>
      </c>
      <c r="H6" s="2">
        <v>2.7189999999999999</v>
      </c>
      <c r="I6">
        <v>210.8204499</v>
      </c>
      <c r="J6" s="3">
        <v>7.8079999999999998</v>
      </c>
      <c r="O6" s="2"/>
    </row>
    <row r="7" spans="1:16" x14ac:dyDescent="0.25">
      <c r="A7">
        <v>1</v>
      </c>
      <c r="B7" s="1">
        <v>40425</v>
      </c>
      <c r="C7">
        <v>9</v>
      </c>
      <c r="D7">
        <v>2010</v>
      </c>
      <c r="E7" s="2">
        <v>1545418.53</v>
      </c>
      <c r="F7">
        <v>0</v>
      </c>
      <c r="G7" s="3">
        <v>65.86</v>
      </c>
      <c r="H7" s="2">
        <v>2.77</v>
      </c>
      <c r="I7">
        <v>210.62285739999999</v>
      </c>
      <c r="J7" s="3">
        <v>7.8079999999999998</v>
      </c>
    </row>
    <row r="8" spans="1:16" x14ac:dyDescent="0.25">
      <c r="A8">
        <v>1</v>
      </c>
      <c r="B8" s="1">
        <v>40364</v>
      </c>
      <c r="C8">
        <v>7</v>
      </c>
      <c r="D8">
        <v>2010</v>
      </c>
      <c r="E8" s="2">
        <v>1603955.12</v>
      </c>
      <c r="F8">
        <v>0</v>
      </c>
      <c r="G8" s="3">
        <v>72.55</v>
      </c>
      <c r="H8" s="2">
        <v>2.835</v>
      </c>
      <c r="I8">
        <v>210.3399684</v>
      </c>
      <c r="J8" s="3">
        <v>7.8079999999999998</v>
      </c>
    </row>
    <row r="9" spans="1:16" x14ac:dyDescent="0.25">
      <c r="A9">
        <v>1</v>
      </c>
      <c r="B9" s="1">
        <v>40274</v>
      </c>
      <c r="C9">
        <v>4</v>
      </c>
      <c r="D9">
        <v>2010</v>
      </c>
      <c r="E9" s="2">
        <v>1615524.71</v>
      </c>
      <c r="F9">
        <v>0</v>
      </c>
      <c r="G9" s="3">
        <v>80.69</v>
      </c>
      <c r="H9" s="2">
        <v>2.7050000000000001</v>
      </c>
      <c r="I9">
        <v>211.1764278</v>
      </c>
      <c r="J9" s="3">
        <v>7.8079999999999998</v>
      </c>
    </row>
    <row r="10" spans="1:16" x14ac:dyDescent="0.25">
      <c r="A10">
        <v>1</v>
      </c>
      <c r="B10" s="1">
        <v>40488</v>
      </c>
      <c r="C10">
        <v>11</v>
      </c>
      <c r="D10">
        <v>2010</v>
      </c>
      <c r="E10" s="2">
        <v>1542561.09</v>
      </c>
      <c r="F10">
        <v>0</v>
      </c>
      <c r="G10" s="3">
        <v>80.430000000000007</v>
      </c>
      <c r="H10" s="2">
        <v>2.6680000000000001</v>
      </c>
      <c r="I10">
        <v>211.4560951</v>
      </c>
      <c r="J10" s="3">
        <v>7.8079999999999998</v>
      </c>
    </row>
    <row r="11" spans="1:16" x14ac:dyDescent="0.25">
      <c r="A11">
        <v>1</v>
      </c>
      <c r="B11" s="1">
        <v>40216</v>
      </c>
      <c r="C11">
        <v>2</v>
      </c>
      <c r="D11">
        <v>2010</v>
      </c>
      <c r="E11" s="2">
        <v>1492418.14</v>
      </c>
      <c r="F11">
        <v>0</v>
      </c>
      <c r="G11" s="3">
        <v>80.91</v>
      </c>
      <c r="H11" s="2">
        <v>2.669</v>
      </c>
      <c r="I11">
        <v>211.22353330000001</v>
      </c>
      <c r="J11" s="3">
        <v>7.7869999999999999</v>
      </c>
    </row>
    <row r="12" spans="1:16" x14ac:dyDescent="0.25">
      <c r="A12">
        <v>1</v>
      </c>
      <c r="B12" s="1">
        <v>40428</v>
      </c>
      <c r="C12">
        <v>9</v>
      </c>
      <c r="D12">
        <v>2010</v>
      </c>
      <c r="E12" s="2">
        <v>1546074.18</v>
      </c>
      <c r="F12">
        <v>0</v>
      </c>
      <c r="G12" s="3">
        <v>80.48</v>
      </c>
      <c r="H12" s="2">
        <v>2.6419999999999999</v>
      </c>
      <c r="I12">
        <v>211.10841400000001</v>
      </c>
      <c r="J12" s="3">
        <v>7.7869999999999999</v>
      </c>
    </row>
    <row r="13" spans="1:16" x14ac:dyDescent="0.25">
      <c r="A13">
        <v>1</v>
      </c>
      <c r="B13" s="1">
        <v>40337</v>
      </c>
      <c r="C13">
        <v>6</v>
      </c>
      <c r="D13">
        <v>2010</v>
      </c>
      <c r="E13" s="2">
        <v>1605491.78</v>
      </c>
      <c r="F13">
        <v>0</v>
      </c>
      <c r="G13" s="3">
        <v>87.16</v>
      </c>
      <c r="H13" s="2">
        <v>2.6269999999999998</v>
      </c>
      <c r="I13">
        <v>211.50466209999999</v>
      </c>
      <c r="J13" s="3">
        <v>7.7869999999999999</v>
      </c>
    </row>
    <row r="14" spans="1:16" x14ac:dyDescent="0.25">
      <c r="A14">
        <v>1</v>
      </c>
      <c r="B14" s="1">
        <v>40246</v>
      </c>
      <c r="C14">
        <v>3</v>
      </c>
      <c r="D14">
        <v>2010</v>
      </c>
      <c r="E14" s="2">
        <v>1540163.53</v>
      </c>
      <c r="F14">
        <v>0</v>
      </c>
      <c r="G14" s="3">
        <v>81.209999999999994</v>
      </c>
      <c r="H14" s="2">
        <v>2.577</v>
      </c>
      <c r="I14">
        <v>211.53124790000001</v>
      </c>
      <c r="J14" s="3">
        <v>7.7869999999999999</v>
      </c>
    </row>
    <row r="15" spans="1:16" x14ac:dyDescent="0.25">
      <c r="A15">
        <v>1</v>
      </c>
      <c r="B15" s="1">
        <v>40460</v>
      </c>
      <c r="C15">
        <v>10</v>
      </c>
      <c r="D15">
        <v>2010</v>
      </c>
      <c r="E15" s="2">
        <v>1507460.69</v>
      </c>
      <c r="F15">
        <v>1</v>
      </c>
      <c r="G15" s="3">
        <v>78.69</v>
      </c>
      <c r="H15" s="2">
        <v>2.5649999999999999</v>
      </c>
      <c r="I15">
        <v>211.4951902</v>
      </c>
      <c r="J15" s="3">
        <v>7.7869999999999999</v>
      </c>
    </row>
    <row r="16" spans="1:16" x14ac:dyDescent="0.25">
      <c r="A16">
        <v>1</v>
      </c>
      <c r="B16" s="1">
        <v>40188</v>
      </c>
      <c r="C16">
        <v>1</v>
      </c>
      <c r="D16">
        <v>2010</v>
      </c>
      <c r="E16" s="2">
        <v>1453329.5</v>
      </c>
      <c r="F16">
        <v>0</v>
      </c>
      <c r="G16" s="3">
        <v>71.89</v>
      </c>
      <c r="H16" s="2">
        <v>2.6030000000000002</v>
      </c>
      <c r="I16">
        <v>211.6719895</v>
      </c>
      <c r="J16" s="3">
        <v>7.8380000000000001</v>
      </c>
      <c r="O16" s="2"/>
    </row>
    <row r="17" spans="1:19" x14ac:dyDescent="0.25">
      <c r="A17">
        <v>1</v>
      </c>
      <c r="B17" s="1">
        <v>40400</v>
      </c>
      <c r="C17">
        <v>8</v>
      </c>
      <c r="D17">
        <v>2010</v>
      </c>
      <c r="E17" s="2">
        <v>1508239.93</v>
      </c>
      <c r="F17">
        <v>0</v>
      </c>
      <c r="G17" s="3">
        <v>63.93</v>
      </c>
      <c r="H17" s="2">
        <v>2.633</v>
      </c>
      <c r="I17">
        <v>211.74675439999999</v>
      </c>
      <c r="J17" s="3">
        <v>7.8380000000000001</v>
      </c>
    </row>
    <row r="18" spans="1:19" x14ac:dyDescent="0.25">
      <c r="A18">
        <v>1</v>
      </c>
      <c r="B18" s="1">
        <v>40309</v>
      </c>
      <c r="C18">
        <v>5</v>
      </c>
      <c r="D18">
        <v>2010</v>
      </c>
      <c r="E18" s="2">
        <v>1551659.28</v>
      </c>
      <c r="F18">
        <v>0</v>
      </c>
      <c r="G18" s="3">
        <v>58.74</v>
      </c>
      <c r="H18" s="2">
        <v>2.6890000000000001</v>
      </c>
      <c r="I18">
        <v>211.95639389999999</v>
      </c>
      <c r="J18" s="3">
        <v>7.8380000000000001</v>
      </c>
    </row>
    <row r="19" spans="1:19" x14ac:dyDescent="0.25">
      <c r="A19">
        <v>1</v>
      </c>
      <c r="B19" s="1">
        <v>40523</v>
      </c>
      <c r="C19">
        <v>12</v>
      </c>
      <c r="D19">
        <v>2010</v>
      </c>
      <c r="E19" s="2">
        <v>1494479.49</v>
      </c>
      <c r="F19">
        <v>0</v>
      </c>
      <c r="G19" s="3">
        <v>59.61</v>
      </c>
      <c r="H19" s="2">
        <v>2.7280000000000002</v>
      </c>
      <c r="I19">
        <v>212.00394399999999</v>
      </c>
      <c r="J19" s="3">
        <v>7.8380000000000001</v>
      </c>
    </row>
    <row r="20" spans="1:19" x14ac:dyDescent="0.25">
      <c r="A20">
        <v>1</v>
      </c>
      <c r="B20" s="1">
        <v>40249</v>
      </c>
      <c r="C20">
        <v>3</v>
      </c>
      <c r="D20">
        <v>2010</v>
      </c>
      <c r="E20" s="2">
        <v>1548033.78</v>
      </c>
      <c r="F20">
        <v>0</v>
      </c>
      <c r="G20" s="3">
        <v>49.27</v>
      </c>
      <c r="H20" s="2">
        <v>2.7080000000000002</v>
      </c>
      <c r="I20">
        <v>211.607193</v>
      </c>
      <c r="J20" s="3">
        <v>7.8380000000000001</v>
      </c>
    </row>
    <row r="21" spans="1:19" x14ac:dyDescent="0.25">
      <c r="A21">
        <v>1</v>
      </c>
      <c r="B21" s="1">
        <v>40463</v>
      </c>
      <c r="C21">
        <v>10</v>
      </c>
      <c r="D21">
        <v>2010</v>
      </c>
      <c r="E21" s="2">
        <v>1682614.26</v>
      </c>
      <c r="F21">
        <v>0</v>
      </c>
      <c r="G21" s="3">
        <v>46.33</v>
      </c>
      <c r="H21" s="2">
        <v>2.843</v>
      </c>
      <c r="I21">
        <v>211.46595260000001</v>
      </c>
      <c r="J21" s="3">
        <v>7.8380000000000001</v>
      </c>
    </row>
    <row r="22" spans="1:19" x14ac:dyDescent="0.25">
      <c r="A22">
        <v>1</v>
      </c>
      <c r="B22" s="1">
        <v>40725</v>
      </c>
      <c r="C22">
        <v>7</v>
      </c>
      <c r="D22">
        <v>2011</v>
      </c>
      <c r="E22" s="2">
        <v>1444732.28</v>
      </c>
      <c r="F22">
        <v>0</v>
      </c>
      <c r="G22" s="3">
        <v>48.27</v>
      </c>
      <c r="H22" s="2">
        <v>2.976</v>
      </c>
      <c r="I22">
        <v>211.4047419</v>
      </c>
      <c r="J22" s="3">
        <v>7.742</v>
      </c>
    </row>
    <row r="23" spans="1:19" x14ac:dyDescent="0.25">
      <c r="A23">
        <v>1</v>
      </c>
      <c r="B23" s="1">
        <v>40635</v>
      </c>
      <c r="C23">
        <v>4</v>
      </c>
      <c r="D23">
        <v>2011</v>
      </c>
      <c r="E23" s="2">
        <v>1606629.58</v>
      </c>
      <c r="F23">
        <v>0</v>
      </c>
      <c r="G23" s="3">
        <v>42.27</v>
      </c>
      <c r="H23" s="2">
        <v>2.9889999999999999</v>
      </c>
      <c r="I23">
        <v>212.56688120000001</v>
      </c>
      <c r="J23" s="3">
        <v>7.742</v>
      </c>
    </row>
    <row r="24" spans="1:19" x14ac:dyDescent="0.25">
      <c r="A24">
        <v>1</v>
      </c>
      <c r="B24" s="1">
        <v>40849</v>
      </c>
      <c r="C24">
        <v>11</v>
      </c>
      <c r="D24">
        <v>2011</v>
      </c>
      <c r="E24" s="2">
        <v>1649614.93</v>
      </c>
      <c r="F24">
        <v>1</v>
      </c>
      <c r="G24" s="3">
        <v>36.39</v>
      </c>
      <c r="H24" s="2">
        <v>3.0219999999999998</v>
      </c>
      <c r="I24">
        <v>212.93670460000001</v>
      </c>
      <c r="J24" s="3">
        <v>7.742</v>
      </c>
    </row>
    <row r="25" spans="1:19" x14ac:dyDescent="0.25">
      <c r="A25">
        <v>1</v>
      </c>
      <c r="B25" s="1">
        <v>40636</v>
      </c>
      <c r="C25">
        <v>4</v>
      </c>
      <c r="D25">
        <v>2011</v>
      </c>
      <c r="E25" s="2">
        <v>1636263.41</v>
      </c>
      <c r="F25">
        <v>0</v>
      </c>
      <c r="G25" s="3">
        <v>59.58</v>
      </c>
      <c r="H25" s="2">
        <v>3.2879999999999998</v>
      </c>
      <c r="I25">
        <v>213.82333270000001</v>
      </c>
      <c r="J25" s="3">
        <v>7.742</v>
      </c>
    </row>
    <row r="26" spans="1:19" x14ac:dyDescent="0.25">
      <c r="A26">
        <v>1</v>
      </c>
      <c r="B26" s="1">
        <v>40850</v>
      </c>
      <c r="C26">
        <v>11</v>
      </c>
      <c r="D26">
        <v>2011</v>
      </c>
      <c r="E26" s="2">
        <v>1553191.63</v>
      </c>
      <c r="F26">
        <v>0</v>
      </c>
      <c r="G26" s="3">
        <v>53.56</v>
      </c>
      <c r="H26" s="2">
        <v>3.4590000000000001</v>
      </c>
      <c r="I26">
        <v>214.1110564</v>
      </c>
      <c r="J26" s="3">
        <v>7.742</v>
      </c>
    </row>
    <row r="27" spans="1:19" x14ac:dyDescent="0.25">
      <c r="A27">
        <v>1</v>
      </c>
      <c r="B27" s="1">
        <v>40547</v>
      </c>
      <c r="C27">
        <v>1</v>
      </c>
      <c r="D27">
        <v>2011</v>
      </c>
      <c r="E27" s="2">
        <v>1495064.75</v>
      </c>
      <c r="F27">
        <v>0</v>
      </c>
      <c r="G27" s="3">
        <v>59.17</v>
      </c>
      <c r="H27" s="2">
        <v>3.524</v>
      </c>
      <c r="I27">
        <v>214.8371664</v>
      </c>
      <c r="J27" s="3">
        <v>7.6820000000000004</v>
      </c>
      <c r="O27" s="2"/>
      <c r="S27" s="2"/>
    </row>
    <row r="28" spans="1:19" x14ac:dyDescent="0.25">
      <c r="A28">
        <v>1</v>
      </c>
      <c r="B28" s="1">
        <v>40759</v>
      </c>
      <c r="C28">
        <v>8</v>
      </c>
      <c r="D28">
        <v>2011</v>
      </c>
      <c r="E28" s="2">
        <v>1614259.35</v>
      </c>
      <c r="F28">
        <v>0</v>
      </c>
      <c r="G28" s="3">
        <v>67.84</v>
      </c>
      <c r="H28" s="2">
        <v>3.6219999999999999</v>
      </c>
      <c r="I28">
        <v>215.07439389999999</v>
      </c>
      <c r="J28" s="3">
        <v>7.6820000000000004</v>
      </c>
    </row>
    <row r="29" spans="1:19" x14ac:dyDescent="0.25">
      <c r="A29">
        <v>1</v>
      </c>
      <c r="B29" s="1">
        <v>40699</v>
      </c>
      <c r="C29">
        <v>6</v>
      </c>
      <c r="D29">
        <v>2011</v>
      </c>
      <c r="E29" s="2">
        <v>1629391.28</v>
      </c>
      <c r="F29">
        <v>0</v>
      </c>
      <c r="G29" s="3">
        <v>64.61</v>
      </c>
      <c r="H29" s="2">
        <v>3.9060000000000001</v>
      </c>
      <c r="I29">
        <v>215.79600350000001</v>
      </c>
      <c r="J29" s="3">
        <v>7.6820000000000004</v>
      </c>
    </row>
    <row r="30" spans="1:19" x14ac:dyDescent="0.25">
      <c r="A30">
        <v>1</v>
      </c>
      <c r="B30" s="1">
        <v>40608</v>
      </c>
      <c r="C30">
        <v>3</v>
      </c>
      <c r="D30">
        <v>2011</v>
      </c>
      <c r="E30" s="2">
        <v>1635078.41</v>
      </c>
      <c r="F30">
        <v>0</v>
      </c>
      <c r="G30" s="3">
        <v>83</v>
      </c>
      <c r="H30" s="2">
        <v>3.6989999999999998</v>
      </c>
      <c r="I30">
        <v>215.2736553</v>
      </c>
      <c r="J30" s="3">
        <v>7.6820000000000004</v>
      </c>
    </row>
    <row r="31" spans="1:19" x14ac:dyDescent="0.25">
      <c r="A31">
        <v>1</v>
      </c>
      <c r="B31" s="1">
        <v>40822</v>
      </c>
      <c r="C31">
        <v>10</v>
      </c>
      <c r="D31">
        <v>2011</v>
      </c>
      <c r="E31" s="2">
        <v>1588948.32</v>
      </c>
      <c r="F31">
        <v>0</v>
      </c>
      <c r="G31" s="3">
        <v>83.13</v>
      </c>
      <c r="H31" s="2">
        <v>3.6480000000000001</v>
      </c>
      <c r="I31">
        <v>215.0435229</v>
      </c>
      <c r="J31" s="3">
        <v>7.6820000000000004</v>
      </c>
    </row>
    <row r="32" spans="1:19" x14ac:dyDescent="0.25">
      <c r="A32">
        <v>1</v>
      </c>
      <c r="B32" s="1">
        <v>40550</v>
      </c>
      <c r="C32">
        <v>1</v>
      </c>
      <c r="D32">
        <v>2011</v>
      </c>
      <c r="E32" s="2">
        <v>1488538.09</v>
      </c>
      <c r="F32">
        <v>0</v>
      </c>
      <c r="G32" s="3">
        <v>85.55</v>
      </c>
      <c r="H32" s="2">
        <v>3.524</v>
      </c>
      <c r="I32">
        <v>215.1841368</v>
      </c>
      <c r="J32" s="3">
        <v>7.9619999999999997</v>
      </c>
    </row>
    <row r="33" spans="1:10" x14ac:dyDescent="0.25">
      <c r="A33">
        <v>1</v>
      </c>
      <c r="B33" s="1">
        <v>40762</v>
      </c>
      <c r="C33">
        <v>8</v>
      </c>
      <c r="D33">
        <v>2011</v>
      </c>
      <c r="E33" s="2">
        <v>1534849.64</v>
      </c>
      <c r="F33">
        <v>0</v>
      </c>
      <c r="G33" s="3">
        <v>85.83</v>
      </c>
      <c r="H33" s="2">
        <v>3.48</v>
      </c>
      <c r="I33">
        <v>215.2771754</v>
      </c>
      <c r="J33" s="3">
        <v>7.9619999999999997</v>
      </c>
    </row>
    <row r="34" spans="1:10" x14ac:dyDescent="0.25">
      <c r="A34">
        <v>1</v>
      </c>
      <c r="B34" s="1">
        <v>40671</v>
      </c>
      <c r="C34">
        <v>5</v>
      </c>
      <c r="D34">
        <v>2011</v>
      </c>
      <c r="E34" s="2">
        <v>1624383.75</v>
      </c>
      <c r="F34">
        <v>0</v>
      </c>
      <c r="G34" s="3">
        <v>91.65</v>
      </c>
      <c r="H34" s="2">
        <v>3.6840000000000002</v>
      </c>
      <c r="I34">
        <v>215.54461800000001</v>
      </c>
      <c r="J34" s="3">
        <v>7.9619999999999997</v>
      </c>
    </row>
    <row r="35" spans="1:10" x14ac:dyDescent="0.25">
      <c r="A35">
        <v>1</v>
      </c>
      <c r="B35" s="1">
        <v>40885</v>
      </c>
      <c r="C35">
        <v>12</v>
      </c>
      <c r="D35">
        <v>2011</v>
      </c>
      <c r="E35" s="2">
        <v>1525147.09</v>
      </c>
      <c r="F35">
        <v>0</v>
      </c>
      <c r="G35" s="3">
        <v>90.76</v>
      </c>
      <c r="H35" s="2">
        <v>3.6379999999999999</v>
      </c>
      <c r="I35">
        <v>215.6057878</v>
      </c>
      <c r="J35" s="3">
        <v>7.9619999999999997</v>
      </c>
    </row>
    <row r="36" spans="1:10" x14ac:dyDescent="0.25">
      <c r="A36">
        <v>1</v>
      </c>
      <c r="B36" s="1">
        <v>40583</v>
      </c>
      <c r="C36">
        <v>2</v>
      </c>
      <c r="D36">
        <v>2011</v>
      </c>
      <c r="E36" s="2">
        <v>1550229.22</v>
      </c>
      <c r="F36">
        <v>0</v>
      </c>
      <c r="G36" s="3">
        <v>87.83</v>
      </c>
      <c r="H36" s="2">
        <v>3.5329999999999999</v>
      </c>
      <c r="I36">
        <v>215.79714089999999</v>
      </c>
      <c r="J36" s="3">
        <v>7.9619999999999997</v>
      </c>
    </row>
    <row r="37" spans="1:10" x14ac:dyDescent="0.25">
      <c r="A37">
        <v>1</v>
      </c>
      <c r="B37" s="1">
        <v>40795</v>
      </c>
      <c r="C37">
        <v>9</v>
      </c>
      <c r="D37">
        <v>2011</v>
      </c>
      <c r="E37" s="2">
        <v>1540471.24</v>
      </c>
      <c r="F37">
        <v>1</v>
      </c>
      <c r="G37" s="3">
        <v>76</v>
      </c>
      <c r="H37" s="2">
        <v>3.5459999999999998</v>
      </c>
      <c r="I37">
        <v>215.86105599999999</v>
      </c>
      <c r="J37" s="3">
        <v>7.9619999999999997</v>
      </c>
    </row>
    <row r="38" spans="1:10" x14ac:dyDescent="0.25">
      <c r="A38">
        <v>1</v>
      </c>
      <c r="B38" s="1">
        <v>40734</v>
      </c>
      <c r="C38">
        <v>7</v>
      </c>
      <c r="D38">
        <v>2011</v>
      </c>
      <c r="E38" s="2">
        <v>1630989.95</v>
      </c>
      <c r="F38">
        <v>0</v>
      </c>
      <c r="G38" s="3">
        <v>69.31</v>
      </c>
      <c r="H38" s="2">
        <v>3.2850000000000001</v>
      </c>
      <c r="I38">
        <v>217.0453684</v>
      </c>
      <c r="J38" s="3">
        <v>7.8659999999999997</v>
      </c>
    </row>
    <row r="39" spans="1:10" x14ac:dyDescent="0.25">
      <c r="A39">
        <v>1</v>
      </c>
      <c r="B39" s="1">
        <v>40644</v>
      </c>
      <c r="C39">
        <v>4</v>
      </c>
      <c r="D39">
        <v>2011</v>
      </c>
      <c r="E39" s="2">
        <v>1697229.58</v>
      </c>
      <c r="F39">
        <v>0</v>
      </c>
      <c r="G39" s="3">
        <v>54.98</v>
      </c>
      <c r="H39" s="2">
        <v>3.3319999999999999</v>
      </c>
      <c r="I39">
        <v>217.83738199999999</v>
      </c>
      <c r="J39" s="3">
        <v>7.8659999999999997</v>
      </c>
    </row>
    <row r="40" spans="1:10" x14ac:dyDescent="0.25">
      <c r="A40">
        <v>1</v>
      </c>
      <c r="B40" s="1">
        <v>40858</v>
      </c>
      <c r="C40">
        <v>11</v>
      </c>
      <c r="D40">
        <v>2011</v>
      </c>
      <c r="E40" s="2">
        <v>1594938.89</v>
      </c>
      <c r="F40">
        <v>0</v>
      </c>
      <c r="G40" s="3">
        <v>59.11</v>
      </c>
      <c r="H40" s="2">
        <v>3.2970000000000002</v>
      </c>
      <c r="I40">
        <v>217.99808490000001</v>
      </c>
      <c r="J40" s="3">
        <v>7.8659999999999997</v>
      </c>
    </row>
    <row r="41" spans="1:10" x14ac:dyDescent="0.25">
      <c r="A41">
        <v>1</v>
      </c>
      <c r="B41" s="1">
        <v>40586</v>
      </c>
      <c r="C41">
        <v>2</v>
      </c>
      <c r="D41">
        <v>2011</v>
      </c>
      <c r="E41" s="2">
        <v>1584083.95</v>
      </c>
      <c r="F41">
        <v>0</v>
      </c>
      <c r="G41" s="3">
        <v>48.91</v>
      </c>
      <c r="H41" s="2">
        <v>3.1720000000000002</v>
      </c>
      <c r="I41">
        <v>218.71473330000001</v>
      </c>
      <c r="J41" s="3">
        <v>7.8659999999999997</v>
      </c>
    </row>
    <row r="42" spans="1:10" x14ac:dyDescent="0.25">
      <c r="A42">
        <v>1</v>
      </c>
      <c r="B42" s="1">
        <v>40798</v>
      </c>
      <c r="C42">
        <v>9</v>
      </c>
      <c r="D42">
        <v>2011</v>
      </c>
      <c r="E42" s="2">
        <v>1799682.38</v>
      </c>
      <c r="F42">
        <v>0</v>
      </c>
      <c r="G42" s="3">
        <v>43.93</v>
      </c>
      <c r="H42" s="2">
        <v>3.1579999999999999</v>
      </c>
      <c r="I42">
        <v>218.9618456</v>
      </c>
      <c r="J42" s="3">
        <v>7.8659999999999997</v>
      </c>
    </row>
    <row r="43" spans="1:10" x14ac:dyDescent="0.25">
      <c r="A43">
        <v>1</v>
      </c>
      <c r="B43" s="1">
        <v>41061</v>
      </c>
      <c r="C43">
        <v>6</v>
      </c>
      <c r="D43">
        <v>2012</v>
      </c>
      <c r="E43" s="2">
        <v>1550369.92</v>
      </c>
      <c r="F43">
        <v>0</v>
      </c>
      <c r="G43" s="3">
        <v>49.01</v>
      </c>
      <c r="H43" s="2">
        <v>3.157</v>
      </c>
      <c r="I43">
        <v>219.7142581</v>
      </c>
      <c r="J43" s="3">
        <v>7.3479999999999999</v>
      </c>
    </row>
    <row r="44" spans="1:10" x14ac:dyDescent="0.25">
      <c r="A44">
        <v>1</v>
      </c>
      <c r="B44" s="1">
        <v>40970</v>
      </c>
      <c r="C44">
        <v>3</v>
      </c>
      <c r="D44">
        <v>2012</v>
      </c>
      <c r="E44" s="2">
        <v>1636339.65</v>
      </c>
      <c r="F44">
        <v>0</v>
      </c>
      <c r="G44" s="3">
        <v>56.55</v>
      </c>
      <c r="H44" s="2">
        <v>3.36</v>
      </c>
      <c r="I44">
        <v>220.1720153</v>
      </c>
      <c r="J44" s="3">
        <v>7.3479999999999999</v>
      </c>
    </row>
    <row r="45" spans="1:10" x14ac:dyDescent="0.25">
      <c r="A45">
        <v>1</v>
      </c>
      <c r="B45" s="1">
        <v>41184</v>
      </c>
      <c r="C45">
        <v>10</v>
      </c>
      <c r="D45">
        <v>2012</v>
      </c>
      <c r="E45" s="2">
        <v>1802477.43</v>
      </c>
      <c r="F45">
        <v>1</v>
      </c>
      <c r="G45" s="3">
        <v>48.02</v>
      </c>
      <c r="H45" s="2">
        <v>3.4089999999999998</v>
      </c>
      <c r="I45">
        <v>220.2651783</v>
      </c>
      <c r="J45" s="3">
        <v>7.3479999999999999</v>
      </c>
    </row>
    <row r="46" spans="1:10" x14ac:dyDescent="0.25">
      <c r="A46">
        <v>1</v>
      </c>
      <c r="B46" s="1">
        <v>40942</v>
      </c>
      <c r="C46">
        <v>2</v>
      </c>
      <c r="D46">
        <v>2012</v>
      </c>
      <c r="E46" s="2">
        <v>1688420.76</v>
      </c>
      <c r="F46">
        <v>0</v>
      </c>
      <c r="G46" s="3">
        <v>60.96</v>
      </c>
      <c r="H46" s="2">
        <v>3.63</v>
      </c>
      <c r="I46">
        <v>220.84804539999999</v>
      </c>
      <c r="J46" s="3">
        <v>7.3479999999999999</v>
      </c>
    </row>
    <row r="47" spans="1:10" x14ac:dyDescent="0.25">
      <c r="A47">
        <v>1</v>
      </c>
      <c r="B47" s="1">
        <v>41155</v>
      </c>
      <c r="C47">
        <v>9</v>
      </c>
      <c r="D47">
        <v>2012</v>
      </c>
      <c r="E47" s="2">
        <v>1675431.16</v>
      </c>
      <c r="F47">
        <v>0</v>
      </c>
      <c r="G47" s="3">
        <v>58.76</v>
      </c>
      <c r="H47" s="2">
        <v>3.669</v>
      </c>
      <c r="I47">
        <v>221.05918869999999</v>
      </c>
      <c r="J47" s="3">
        <v>7.3479999999999999</v>
      </c>
    </row>
    <row r="48" spans="1:10" x14ac:dyDescent="0.25">
      <c r="A48">
        <v>1</v>
      </c>
      <c r="B48" s="1">
        <v>41064</v>
      </c>
      <c r="C48">
        <v>6</v>
      </c>
      <c r="D48">
        <v>2012</v>
      </c>
      <c r="E48" s="2">
        <v>1899676.88</v>
      </c>
      <c r="F48">
        <v>0</v>
      </c>
      <c r="G48" s="3">
        <v>70.430000000000007</v>
      </c>
      <c r="H48" s="2">
        <v>3.891</v>
      </c>
      <c r="I48">
        <v>221.43561120000001</v>
      </c>
      <c r="J48" s="3">
        <v>7.1429999999999998</v>
      </c>
    </row>
    <row r="49" spans="1:10" x14ac:dyDescent="0.25">
      <c r="A49">
        <v>1</v>
      </c>
      <c r="B49" s="1">
        <v>41004</v>
      </c>
      <c r="C49">
        <v>4</v>
      </c>
      <c r="D49">
        <v>2012</v>
      </c>
      <c r="E49" s="2">
        <v>1684519.99</v>
      </c>
      <c r="F49">
        <v>0</v>
      </c>
      <c r="G49" s="3">
        <v>75.55</v>
      </c>
      <c r="H49" s="2">
        <v>3.7490000000000001</v>
      </c>
      <c r="I49">
        <v>221.67179999999999</v>
      </c>
      <c r="J49" s="3">
        <v>7.1429999999999998</v>
      </c>
    </row>
    <row r="50" spans="1:10" x14ac:dyDescent="0.25">
      <c r="A50">
        <v>1</v>
      </c>
      <c r="B50" s="1">
        <v>41218</v>
      </c>
      <c r="C50">
        <v>11</v>
      </c>
      <c r="D50">
        <v>2012</v>
      </c>
      <c r="E50" s="2">
        <v>1611096.05</v>
      </c>
      <c r="F50">
        <v>0</v>
      </c>
      <c r="G50" s="3">
        <v>73.77</v>
      </c>
      <c r="H50" s="2">
        <v>3.6880000000000002</v>
      </c>
      <c r="I50">
        <v>221.72566320000001</v>
      </c>
      <c r="J50" s="3">
        <v>7.1429999999999998</v>
      </c>
    </row>
    <row r="51" spans="1:10" x14ac:dyDescent="0.25">
      <c r="A51">
        <v>1</v>
      </c>
      <c r="B51" s="1">
        <v>40914</v>
      </c>
      <c r="C51">
        <v>1</v>
      </c>
      <c r="D51">
        <v>2012</v>
      </c>
      <c r="E51" s="2">
        <v>1624477.58</v>
      </c>
      <c r="F51">
        <v>0</v>
      </c>
      <c r="G51" s="3">
        <v>77.95</v>
      </c>
      <c r="H51" s="2">
        <v>3.5009999999999999</v>
      </c>
      <c r="I51">
        <v>221.74721389999999</v>
      </c>
      <c r="J51" s="3">
        <v>7.1429999999999998</v>
      </c>
    </row>
    <row r="52" spans="1:10" x14ac:dyDescent="0.25">
      <c r="A52">
        <v>1</v>
      </c>
      <c r="B52" s="1">
        <v>41127</v>
      </c>
      <c r="C52">
        <v>8</v>
      </c>
      <c r="D52">
        <v>2012</v>
      </c>
      <c r="E52" s="2">
        <v>1697230.96</v>
      </c>
      <c r="F52">
        <v>0</v>
      </c>
      <c r="G52" s="3">
        <v>78.3</v>
      </c>
      <c r="H52" s="2">
        <v>3.452</v>
      </c>
      <c r="I52">
        <v>221.7494839</v>
      </c>
      <c r="J52" s="3">
        <v>7.1429999999999998</v>
      </c>
    </row>
    <row r="53" spans="1:10" x14ac:dyDescent="0.25">
      <c r="A53">
        <v>1</v>
      </c>
      <c r="B53" s="1">
        <v>41067</v>
      </c>
      <c r="C53">
        <v>6</v>
      </c>
      <c r="D53">
        <v>2012</v>
      </c>
      <c r="E53" s="2">
        <v>1769854.16</v>
      </c>
      <c r="F53">
        <v>0</v>
      </c>
      <c r="G53" s="3">
        <v>81.569999999999993</v>
      </c>
      <c r="H53" s="2">
        <v>3.2269999999999999</v>
      </c>
      <c r="I53">
        <v>221.88377890000001</v>
      </c>
      <c r="J53" s="3">
        <v>6.9080000000000004</v>
      </c>
    </row>
    <row r="54" spans="1:10" x14ac:dyDescent="0.25">
      <c r="A54">
        <v>1</v>
      </c>
      <c r="B54" s="1">
        <v>40976</v>
      </c>
      <c r="C54">
        <v>3</v>
      </c>
      <c r="D54">
        <v>2012</v>
      </c>
      <c r="E54" s="2">
        <v>1631135.79</v>
      </c>
      <c r="F54">
        <v>0</v>
      </c>
      <c r="G54" s="3">
        <v>86.11</v>
      </c>
      <c r="H54" s="2">
        <v>3.4169999999999998</v>
      </c>
      <c r="I54">
        <v>221.94986420000001</v>
      </c>
      <c r="J54" s="3">
        <v>6.9080000000000004</v>
      </c>
    </row>
    <row r="55" spans="1:10" x14ac:dyDescent="0.25">
      <c r="A55">
        <v>1</v>
      </c>
      <c r="B55" s="1">
        <v>41190</v>
      </c>
      <c r="C55">
        <v>10</v>
      </c>
      <c r="D55">
        <v>2012</v>
      </c>
      <c r="E55" s="2">
        <v>1592409.97</v>
      </c>
      <c r="F55">
        <v>0</v>
      </c>
      <c r="G55" s="3">
        <v>85.05</v>
      </c>
      <c r="H55" s="2">
        <v>3.4940000000000002</v>
      </c>
      <c r="I55">
        <v>221.95843289999999</v>
      </c>
      <c r="J55" s="3">
        <v>6.9080000000000004</v>
      </c>
    </row>
    <row r="56" spans="1:10" x14ac:dyDescent="0.25">
      <c r="A56">
        <v>1</v>
      </c>
      <c r="B56" s="1">
        <v>41099</v>
      </c>
      <c r="C56">
        <v>7</v>
      </c>
      <c r="D56">
        <v>2012</v>
      </c>
      <c r="E56" s="2">
        <v>1661767.33</v>
      </c>
      <c r="F56">
        <v>1</v>
      </c>
      <c r="G56" s="3">
        <v>83.96</v>
      </c>
      <c r="H56" s="2">
        <v>3.73</v>
      </c>
      <c r="I56">
        <v>222.43901529999999</v>
      </c>
      <c r="J56" s="3">
        <v>6.9080000000000004</v>
      </c>
    </row>
    <row r="57" spans="1:10" x14ac:dyDescent="0.25">
      <c r="A57">
        <v>1</v>
      </c>
      <c r="B57" s="1">
        <v>41039</v>
      </c>
      <c r="C57">
        <v>5</v>
      </c>
      <c r="D57">
        <v>2012</v>
      </c>
      <c r="E57" s="2">
        <v>1670785.97</v>
      </c>
      <c r="F57">
        <v>0</v>
      </c>
      <c r="G57" s="3">
        <v>68.55</v>
      </c>
      <c r="H57" s="2">
        <v>3.617</v>
      </c>
      <c r="I57">
        <v>223.18147719999999</v>
      </c>
      <c r="J57" s="3">
        <v>6.5730000000000004</v>
      </c>
    </row>
    <row r="58" spans="1:10" x14ac:dyDescent="0.25">
      <c r="A58">
        <v>1</v>
      </c>
      <c r="B58" s="1">
        <v>41253</v>
      </c>
      <c r="C58">
        <v>12</v>
      </c>
      <c r="D58">
        <v>2012</v>
      </c>
      <c r="E58" s="2">
        <v>1573072.81</v>
      </c>
      <c r="F58">
        <v>0</v>
      </c>
      <c r="G58" s="3">
        <v>62.99</v>
      </c>
      <c r="H58" s="2">
        <v>3.601</v>
      </c>
      <c r="I58">
        <v>223.38129649999999</v>
      </c>
      <c r="J58" s="3">
        <v>6.5730000000000004</v>
      </c>
    </row>
    <row r="59" spans="1:10" x14ac:dyDescent="0.25">
      <c r="A59">
        <v>2</v>
      </c>
      <c r="B59" s="1">
        <v>40300</v>
      </c>
      <c r="C59">
        <v>5</v>
      </c>
      <c r="D59">
        <v>2010</v>
      </c>
      <c r="E59" s="2">
        <v>2136989.46</v>
      </c>
      <c r="F59">
        <v>0</v>
      </c>
      <c r="G59" s="3">
        <v>40.19</v>
      </c>
      <c r="H59" s="2">
        <v>2.5720000000000001</v>
      </c>
      <c r="I59">
        <v>210.7526053</v>
      </c>
      <c r="J59" s="3">
        <v>8.3239999999999998</v>
      </c>
    </row>
    <row r="60" spans="1:10" x14ac:dyDescent="0.25">
      <c r="A60">
        <v>2</v>
      </c>
      <c r="B60" s="1">
        <v>40514</v>
      </c>
      <c r="C60">
        <v>12</v>
      </c>
      <c r="D60">
        <v>2010</v>
      </c>
      <c r="E60" s="2">
        <v>2137809.5</v>
      </c>
      <c r="F60">
        <v>1</v>
      </c>
      <c r="G60" s="3">
        <v>38.49</v>
      </c>
      <c r="H60" s="2">
        <v>2.548</v>
      </c>
      <c r="I60">
        <v>210.89799350000001</v>
      </c>
      <c r="J60" s="3">
        <v>8.3239999999999998</v>
      </c>
    </row>
    <row r="61" spans="1:10" x14ac:dyDescent="0.25">
      <c r="A61">
        <v>2</v>
      </c>
      <c r="B61" s="1">
        <v>40301</v>
      </c>
      <c r="C61">
        <v>5</v>
      </c>
      <c r="D61">
        <v>2010</v>
      </c>
      <c r="E61" s="2">
        <v>1991013.13</v>
      </c>
      <c r="F61">
        <v>0</v>
      </c>
      <c r="G61" s="3">
        <v>47.17</v>
      </c>
      <c r="H61" s="2">
        <v>2.625</v>
      </c>
      <c r="I61">
        <v>211.00675419999999</v>
      </c>
      <c r="J61" s="3">
        <v>8.3239999999999998</v>
      </c>
    </row>
    <row r="62" spans="1:10" x14ac:dyDescent="0.25">
      <c r="A62">
        <v>2</v>
      </c>
      <c r="B62" s="1">
        <v>40515</v>
      </c>
      <c r="C62">
        <v>12</v>
      </c>
      <c r="D62">
        <v>2010</v>
      </c>
      <c r="E62" s="2">
        <v>1990483.78</v>
      </c>
      <c r="F62">
        <v>0</v>
      </c>
      <c r="G62" s="3">
        <v>57.56</v>
      </c>
      <c r="H62" s="2">
        <v>2.6669999999999998</v>
      </c>
      <c r="I62">
        <v>211.03755100000001</v>
      </c>
      <c r="J62" s="3">
        <v>8.3239999999999998</v>
      </c>
    </row>
    <row r="63" spans="1:10" x14ac:dyDescent="0.25">
      <c r="A63">
        <v>2</v>
      </c>
      <c r="B63" s="1">
        <v>40213</v>
      </c>
      <c r="C63">
        <v>2</v>
      </c>
      <c r="D63">
        <v>2010</v>
      </c>
      <c r="E63" s="2">
        <v>2066187.72</v>
      </c>
      <c r="F63">
        <v>0</v>
      </c>
      <c r="G63" s="3">
        <v>63.27</v>
      </c>
      <c r="H63" s="2">
        <v>2.7189999999999999</v>
      </c>
      <c r="I63">
        <v>210.4798874</v>
      </c>
      <c r="J63" s="3">
        <v>8.1999999999999993</v>
      </c>
    </row>
    <row r="64" spans="1:10" x14ac:dyDescent="0.25">
      <c r="A64">
        <v>2</v>
      </c>
      <c r="B64" s="1">
        <v>40425</v>
      </c>
      <c r="C64">
        <v>9</v>
      </c>
      <c r="D64">
        <v>2010</v>
      </c>
      <c r="E64" s="2">
        <v>1954689.21</v>
      </c>
      <c r="F64">
        <v>0</v>
      </c>
      <c r="G64" s="3">
        <v>65.41</v>
      </c>
      <c r="H64" s="2">
        <v>2.77</v>
      </c>
      <c r="I64">
        <v>210.28316530000001</v>
      </c>
      <c r="J64" s="3">
        <v>8.1999999999999993</v>
      </c>
    </row>
    <row r="65" spans="1:10" x14ac:dyDescent="0.25">
      <c r="A65">
        <v>2</v>
      </c>
      <c r="B65" s="1">
        <v>40364</v>
      </c>
      <c r="C65">
        <v>7</v>
      </c>
      <c r="D65">
        <v>2010</v>
      </c>
      <c r="E65" s="2">
        <v>2042581.71</v>
      </c>
      <c r="F65">
        <v>0</v>
      </c>
      <c r="G65" s="3">
        <v>71.28</v>
      </c>
      <c r="H65" s="2">
        <v>2.835</v>
      </c>
      <c r="I65">
        <v>210.00110179999999</v>
      </c>
      <c r="J65" s="3">
        <v>8.1999999999999993</v>
      </c>
    </row>
    <row r="66" spans="1:10" x14ac:dyDescent="0.25">
      <c r="A66">
        <v>2</v>
      </c>
      <c r="B66" s="1">
        <v>40274</v>
      </c>
      <c r="C66">
        <v>4</v>
      </c>
      <c r="D66">
        <v>2010</v>
      </c>
      <c r="E66" s="2">
        <v>2102539.9300000002</v>
      </c>
      <c r="F66">
        <v>0</v>
      </c>
      <c r="G66" s="3">
        <v>81.81</v>
      </c>
      <c r="H66" s="2">
        <v>2.7050000000000001</v>
      </c>
      <c r="I66">
        <v>210.83361600000001</v>
      </c>
      <c r="J66" s="3">
        <v>8.1999999999999993</v>
      </c>
    </row>
    <row r="67" spans="1:10" x14ac:dyDescent="0.25">
      <c r="A67">
        <v>2</v>
      </c>
      <c r="B67" s="1">
        <v>40488</v>
      </c>
      <c r="C67">
        <v>11</v>
      </c>
      <c r="D67">
        <v>2010</v>
      </c>
      <c r="E67" s="2">
        <v>2025538.76</v>
      </c>
      <c r="F67">
        <v>0</v>
      </c>
      <c r="G67" s="3">
        <v>83.4</v>
      </c>
      <c r="H67" s="2">
        <v>2.6680000000000001</v>
      </c>
      <c r="I67">
        <v>211.1120018</v>
      </c>
      <c r="J67" s="3">
        <v>8.1999999999999993</v>
      </c>
    </row>
    <row r="68" spans="1:10" x14ac:dyDescent="0.25">
      <c r="A68">
        <v>2</v>
      </c>
      <c r="B68" s="1">
        <v>40216</v>
      </c>
      <c r="C68">
        <v>2</v>
      </c>
      <c r="D68">
        <v>2010</v>
      </c>
      <c r="E68" s="2">
        <v>2003940.64</v>
      </c>
      <c r="F68">
        <v>0</v>
      </c>
      <c r="G68" s="3">
        <v>82.74</v>
      </c>
      <c r="H68" s="2">
        <v>2.669</v>
      </c>
      <c r="I68">
        <v>210.88037259999999</v>
      </c>
      <c r="J68" s="3">
        <v>8.0990000000000002</v>
      </c>
    </row>
    <row r="69" spans="1:10" x14ac:dyDescent="0.25">
      <c r="A69">
        <v>2</v>
      </c>
      <c r="B69" s="1">
        <v>40428</v>
      </c>
      <c r="C69">
        <v>9</v>
      </c>
      <c r="D69">
        <v>2010</v>
      </c>
      <c r="E69" s="2">
        <v>1880902.62</v>
      </c>
      <c r="F69">
        <v>0</v>
      </c>
      <c r="G69" s="3">
        <v>82.59</v>
      </c>
      <c r="H69" s="2">
        <v>2.6419999999999999</v>
      </c>
      <c r="I69">
        <v>210.7657317</v>
      </c>
      <c r="J69" s="3">
        <v>8.0990000000000002</v>
      </c>
    </row>
    <row r="70" spans="1:10" x14ac:dyDescent="0.25">
      <c r="A70">
        <v>2</v>
      </c>
      <c r="B70" s="1">
        <v>40337</v>
      </c>
      <c r="C70">
        <v>6</v>
      </c>
      <c r="D70">
        <v>2010</v>
      </c>
      <c r="E70" s="2">
        <v>1991909.98</v>
      </c>
      <c r="F70">
        <v>0</v>
      </c>
      <c r="G70" s="3">
        <v>89.53</v>
      </c>
      <c r="H70" s="2">
        <v>2.6269999999999998</v>
      </c>
      <c r="I70">
        <v>211.16080489999999</v>
      </c>
      <c r="J70" s="3">
        <v>8.0990000000000002</v>
      </c>
    </row>
    <row r="71" spans="1:10" x14ac:dyDescent="0.25">
      <c r="A71">
        <v>2</v>
      </c>
      <c r="B71" s="1">
        <v>40246</v>
      </c>
      <c r="C71">
        <v>3</v>
      </c>
      <c r="D71">
        <v>2010</v>
      </c>
      <c r="E71" s="2">
        <v>1904608.09</v>
      </c>
      <c r="F71">
        <v>0</v>
      </c>
      <c r="G71" s="3">
        <v>81.83</v>
      </c>
      <c r="H71" s="2">
        <v>2.577</v>
      </c>
      <c r="I71">
        <v>211.18869309999999</v>
      </c>
      <c r="J71" s="3">
        <v>8.0990000000000002</v>
      </c>
    </row>
    <row r="72" spans="1:10" x14ac:dyDescent="0.25">
      <c r="A72">
        <v>2</v>
      </c>
      <c r="B72" s="1">
        <v>40460</v>
      </c>
      <c r="C72">
        <v>10</v>
      </c>
      <c r="D72">
        <v>2010</v>
      </c>
      <c r="E72" s="2">
        <v>1839128.83</v>
      </c>
      <c r="F72">
        <v>1</v>
      </c>
      <c r="G72" s="3">
        <v>79.09</v>
      </c>
      <c r="H72" s="2">
        <v>2.5649999999999999</v>
      </c>
      <c r="I72">
        <v>211.15321040000001</v>
      </c>
      <c r="J72" s="3">
        <v>8.0990000000000002</v>
      </c>
    </row>
    <row r="73" spans="1:10" x14ac:dyDescent="0.25">
      <c r="A73">
        <v>2</v>
      </c>
      <c r="B73" s="1">
        <v>40188</v>
      </c>
      <c r="C73">
        <v>1</v>
      </c>
      <c r="D73">
        <v>2010</v>
      </c>
      <c r="E73" s="2">
        <v>1827440.43</v>
      </c>
      <c r="F73">
        <v>0</v>
      </c>
      <c r="G73" s="3">
        <v>69.239999999999995</v>
      </c>
      <c r="H73" s="2">
        <v>2.6030000000000002</v>
      </c>
      <c r="I73">
        <v>211.32987420000001</v>
      </c>
      <c r="J73" s="3">
        <v>8.1630000000000003</v>
      </c>
    </row>
    <row r="74" spans="1:10" x14ac:dyDescent="0.25">
      <c r="A74">
        <v>2</v>
      </c>
      <c r="B74" s="1">
        <v>40400</v>
      </c>
      <c r="C74">
        <v>8</v>
      </c>
      <c r="D74">
        <v>2010</v>
      </c>
      <c r="E74" s="2">
        <v>1849921.44</v>
      </c>
      <c r="F74">
        <v>0</v>
      </c>
      <c r="G74" s="3">
        <v>63.19</v>
      </c>
      <c r="H74" s="2">
        <v>2.633</v>
      </c>
      <c r="I74">
        <v>211.4044906</v>
      </c>
      <c r="J74" s="3">
        <v>8.1630000000000003</v>
      </c>
    </row>
    <row r="75" spans="1:10" x14ac:dyDescent="0.25">
      <c r="A75">
        <v>2</v>
      </c>
      <c r="B75" s="1">
        <v>40309</v>
      </c>
      <c r="C75">
        <v>5</v>
      </c>
      <c r="D75">
        <v>2010</v>
      </c>
      <c r="E75" s="2">
        <v>1939061.41</v>
      </c>
      <c r="F75">
        <v>0</v>
      </c>
      <c r="G75" s="3">
        <v>57.85</v>
      </c>
      <c r="H75" s="2">
        <v>2.6890000000000001</v>
      </c>
      <c r="I75">
        <v>211.61350530000001</v>
      </c>
      <c r="J75" s="3">
        <v>8.1630000000000003</v>
      </c>
    </row>
    <row r="76" spans="1:10" x14ac:dyDescent="0.25">
      <c r="A76">
        <v>2</v>
      </c>
      <c r="B76" s="1">
        <v>40523</v>
      </c>
      <c r="C76">
        <v>12</v>
      </c>
      <c r="D76">
        <v>2010</v>
      </c>
      <c r="E76" s="2">
        <v>1916812.74</v>
      </c>
      <c r="F76">
        <v>0</v>
      </c>
      <c r="G76" s="3">
        <v>59.69</v>
      </c>
      <c r="H76" s="2">
        <v>2.7280000000000002</v>
      </c>
      <c r="I76">
        <v>211.6608975</v>
      </c>
      <c r="J76" s="3">
        <v>8.1630000000000003</v>
      </c>
    </row>
    <row r="77" spans="1:10" x14ac:dyDescent="0.25">
      <c r="A77">
        <v>2</v>
      </c>
      <c r="B77" s="1">
        <v>40249</v>
      </c>
      <c r="C77">
        <v>3</v>
      </c>
      <c r="D77">
        <v>2010</v>
      </c>
      <c r="E77" s="2">
        <v>2015781.27</v>
      </c>
      <c r="F77">
        <v>0</v>
      </c>
      <c r="G77" s="3">
        <v>49.33</v>
      </c>
      <c r="H77" s="2">
        <v>2.7080000000000002</v>
      </c>
      <c r="I77">
        <v>211.26554300000001</v>
      </c>
      <c r="J77" s="3">
        <v>8.1630000000000003</v>
      </c>
    </row>
    <row r="78" spans="1:10" x14ac:dyDescent="0.25">
      <c r="A78">
        <v>2</v>
      </c>
      <c r="B78" s="1">
        <v>40463</v>
      </c>
      <c r="C78">
        <v>10</v>
      </c>
      <c r="D78">
        <v>2010</v>
      </c>
      <c r="E78" s="2">
        <v>2378726.5499999998</v>
      </c>
      <c r="F78">
        <v>0</v>
      </c>
      <c r="G78" s="3">
        <v>45.5</v>
      </c>
      <c r="H78" s="2">
        <v>2.843</v>
      </c>
      <c r="I78">
        <v>211.12479930000001</v>
      </c>
      <c r="J78" s="3">
        <v>8.1630000000000003</v>
      </c>
    </row>
    <row r="79" spans="1:10" x14ac:dyDescent="0.25">
      <c r="A79">
        <v>2</v>
      </c>
      <c r="B79" s="1">
        <v>40725</v>
      </c>
      <c r="C79">
        <v>7</v>
      </c>
      <c r="D79">
        <v>2011</v>
      </c>
      <c r="E79" s="2">
        <v>1758050.79</v>
      </c>
      <c r="F79">
        <v>0</v>
      </c>
      <c r="G79" s="3">
        <v>44.69</v>
      </c>
      <c r="H79" s="2">
        <v>2.976</v>
      </c>
      <c r="I79">
        <v>211.06488809999999</v>
      </c>
      <c r="J79" s="3">
        <v>8.0280000000000005</v>
      </c>
    </row>
    <row r="80" spans="1:10" x14ac:dyDescent="0.25">
      <c r="A80">
        <v>2</v>
      </c>
      <c r="B80" s="1">
        <v>40635</v>
      </c>
      <c r="C80">
        <v>4</v>
      </c>
      <c r="D80">
        <v>2011</v>
      </c>
      <c r="E80" s="2">
        <v>1929346.23</v>
      </c>
      <c r="F80">
        <v>0</v>
      </c>
      <c r="G80" s="3">
        <v>38.25</v>
      </c>
      <c r="H80" s="2">
        <v>2.9889999999999999</v>
      </c>
      <c r="I80">
        <v>212.22406459999999</v>
      </c>
      <c r="J80" s="3">
        <v>8.0280000000000005</v>
      </c>
    </row>
    <row r="81" spans="1:10" x14ac:dyDescent="0.25">
      <c r="A81">
        <v>2</v>
      </c>
      <c r="B81" s="1">
        <v>40849</v>
      </c>
      <c r="C81">
        <v>11</v>
      </c>
      <c r="D81">
        <v>2011</v>
      </c>
      <c r="E81" s="2">
        <v>2168041.61</v>
      </c>
      <c r="F81">
        <v>1</v>
      </c>
      <c r="G81" s="3">
        <v>33.19</v>
      </c>
      <c r="H81" s="2">
        <v>3.0219999999999998</v>
      </c>
      <c r="I81">
        <v>212.5928624</v>
      </c>
      <c r="J81" s="3">
        <v>8.0280000000000005</v>
      </c>
    </row>
    <row r="82" spans="1:10" x14ac:dyDescent="0.25">
      <c r="A82">
        <v>2</v>
      </c>
      <c r="B82" s="1">
        <v>40636</v>
      </c>
      <c r="C82">
        <v>4</v>
      </c>
      <c r="D82">
        <v>2011</v>
      </c>
      <c r="E82" s="2">
        <v>1981607.78</v>
      </c>
      <c r="F82">
        <v>0</v>
      </c>
      <c r="G82" s="3">
        <v>57.77</v>
      </c>
      <c r="H82" s="2">
        <v>3.2879999999999998</v>
      </c>
      <c r="I82">
        <v>213.4775305</v>
      </c>
      <c r="J82" s="3">
        <v>8.0280000000000005</v>
      </c>
    </row>
    <row r="83" spans="1:10" x14ac:dyDescent="0.25">
      <c r="A83">
        <v>2</v>
      </c>
      <c r="B83" s="1">
        <v>40850</v>
      </c>
      <c r="C83">
        <v>11</v>
      </c>
      <c r="D83">
        <v>2011</v>
      </c>
      <c r="E83" s="2">
        <v>1879107.31</v>
      </c>
      <c r="F83">
        <v>0</v>
      </c>
      <c r="G83" s="3">
        <v>52.7</v>
      </c>
      <c r="H83" s="2">
        <v>3.4590000000000001</v>
      </c>
      <c r="I83">
        <v>213.76464010000001</v>
      </c>
      <c r="J83" s="3">
        <v>8.0280000000000005</v>
      </c>
    </row>
    <row r="84" spans="1:10" x14ac:dyDescent="0.25">
      <c r="A84">
        <v>2</v>
      </c>
      <c r="B84" s="1">
        <v>40547</v>
      </c>
      <c r="C84">
        <v>1</v>
      </c>
      <c r="D84">
        <v>2011</v>
      </c>
      <c r="E84" s="2">
        <v>1800171.36</v>
      </c>
      <c r="F84">
        <v>0</v>
      </c>
      <c r="G84" s="3">
        <v>55.43</v>
      </c>
      <c r="H84" s="2">
        <v>3.524</v>
      </c>
      <c r="I84">
        <v>214.4886908</v>
      </c>
      <c r="J84" s="3">
        <v>7.931</v>
      </c>
    </row>
    <row r="85" spans="1:10" x14ac:dyDescent="0.25">
      <c r="A85">
        <v>2</v>
      </c>
      <c r="B85" s="1">
        <v>40759</v>
      </c>
      <c r="C85">
        <v>8</v>
      </c>
      <c r="D85">
        <v>2011</v>
      </c>
      <c r="E85" s="2">
        <v>1847552.61</v>
      </c>
      <c r="F85">
        <v>0</v>
      </c>
      <c r="G85" s="3">
        <v>67</v>
      </c>
      <c r="H85" s="2">
        <v>3.6219999999999999</v>
      </c>
      <c r="I85">
        <v>214.72522420000001</v>
      </c>
      <c r="J85" s="3">
        <v>7.931</v>
      </c>
    </row>
    <row r="86" spans="1:10" x14ac:dyDescent="0.25">
      <c r="A86">
        <v>2</v>
      </c>
      <c r="B86" s="1">
        <v>40699</v>
      </c>
      <c r="C86">
        <v>6</v>
      </c>
      <c r="D86">
        <v>2011</v>
      </c>
      <c r="E86" s="2">
        <v>1837743.6</v>
      </c>
      <c r="F86">
        <v>0</v>
      </c>
      <c r="G86" s="3">
        <v>61.48</v>
      </c>
      <c r="H86" s="2">
        <v>3.9060000000000001</v>
      </c>
      <c r="I86">
        <v>215.44487090000001</v>
      </c>
      <c r="J86" s="3">
        <v>7.931</v>
      </c>
    </row>
    <row r="87" spans="1:10" x14ac:dyDescent="0.25">
      <c r="A87">
        <v>2</v>
      </c>
      <c r="B87" s="1">
        <v>40608</v>
      </c>
      <c r="C87">
        <v>3</v>
      </c>
      <c r="D87">
        <v>2011</v>
      </c>
      <c r="E87" s="2">
        <v>1933756.21</v>
      </c>
      <c r="F87">
        <v>0</v>
      </c>
      <c r="G87" s="3">
        <v>83.07</v>
      </c>
      <c r="H87" s="2">
        <v>3.6989999999999998</v>
      </c>
      <c r="I87">
        <v>214.92548650000001</v>
      </c>
      <c r="J87" s="3">
        <v>7.931</v>
      </c>
    </row>
    <row r="88" spans="1:10" x14ac:dyDescent="0.25">
      <c r="A88">
        <v>2</v>
      </c>
      <c r="B88" s="1">
        <v>40822</v>
      </c>
      <c r="C88">
        <v>10</v>
      </c>
      <c r="D88">
        <v>2011</v>
      </c>
      <c r="E88" s="2">
        <v>1929153.16</v>
      </c>
      <c r="F88">
        <v>0</v>
      </c>
      <c r="G88" s="3">
        <v>83.4</v>
      </c>
      <c r="H88" s="2">
        <v>3.6480000000000001</v>
      </c>
      <c r="I88">
        <v>214.69649079999999</v>
      </c>
      <c r="J88" s="3">
        <v>7.931</v>
      </c>
    </row>
    <row r="89" spans="1:10" x14ac:dyDescent="0.25">
      <c r="A89">
        <v>2</v>
      </c>
      <c r="B89" s="1">
        <v>40550</v>
      </c>
      <c r="C89">
        <v>1</v>
      </c>
      <c r="D89">
        <v>2011</v>
      </c>
      <c r="E89" s="2">
        <v>1866243</v>
      </c>
      <c r="F89">
        <v>0</v>
      </c>
      <c r="G89" s="3">
        <v>85.69</v>
      </c>
      <c r="H89" s="2">
        <v>3.524</v>
      </c>
      <c r="I89">
        <v>214.83686779999999</v>
      </c>
      <c r="J89" s="3">
        <v>7.8520000000000003</v>
      </c>
    </row>
    <row r="90" spans="1:10" x14ac:dyDescent="0.25">
      <c r="A90">
        <v>2</v>
      </c>
      <c r="B90" s="1">
        <v>40762</v>
      </c>
      <c r="C90">
        <v>8</v>
      </c>
      <c r="D90">
        <v>2011</v>
      </c>
      <c r="E90" s="2">
        <v>1853161.99</v>
      </c>
      <c r="F90">
        <v>0</v>
      </c>
      <c r="G90" s="3">
        <v>87.7</v>
      </c>
      <c r="H90" s="2">
        <v>3.48</v>
      </c>
      <c r="I90">
        <v>214.92962489999999</v>
      </c>
      <c r="J90" s="3">
        <v>7.8520000000000003</v>
      </c>
    </row>
    <row r="91" spans="1:10" x14ac:dyDescent="0.25">
      <c r="A91">
        <v>2</v>
      </c>
      <c r="B91" s="1">
        <v>40671</v>
      </c>
      <c r="C91">
        <v>5</v>
      </c>
      <c r="D91">
        <v>2011</v>
      </c>
      <c r="E91" s="2">
        <v>1876704.26</v>
      </c>
      <c r="F91">
        <v>0</v>
      </c>
      <c r="G91" s="3">
        <v>93.34</v>
      </c>
      <c r="H91" s="2">
        <v>3.6840000000000002</v>
      </c>
      <c r="I91">
        <v>215.19785150000001</v>
      </c>
      <c r="J91" s="3">
        <v>7.8520000000000003</v>
      </c>
    </row>
    <row r="92" spans="1:10" x14ac:dyDescent="0.25">
      <c r="A92">
        <v>2</v>
      </c>
      <c r="B92" s="1">
        <v>40885</v>
      </c>
      <c r="C92">
        <v>12</v>
      </c>
      <c r="D92">
        <v>2011</v>
      </c>
      <c r="E92" s="2">
        <v>1812768.26</v>
      </c>
      <c r="F92">
        <v>0</v>
      </c>
      <c r="G92" s="3">
        <v>91.58</v>
      </c>
      <c r="H92" s="2">
        <v>3.6379999999999999</v>
      </c>
      <c r="I92">
        <v>215.25932109999999</v>
      </c>
      <c r="J92" s="3">
        <v>7.8520000000000003</v>
      </c>
    </row>
    <row r="93" spans="1:10" x14ac:dyDescent="0.25">
      <c r="A93">
        <v>2</v>
      </c>
      <c r="B93" s="1">
        <v>40583</v>
      </c>
      <c r="C93">
        <v>2</v>
      </c>
      <c r="D93">
        <v>2011</v>
      </c>
      <c r="E93" s="2">
        <v>1809119.7</v>
      </c>
      <c r="F93">
        <v>0</v>
      </c>
      <c r="G93" s="3">
        <v>89.64</v>
      </c>
      <c r="H93" s="2">
        <v>3.5329999999999999</v>
      </c>
      <c r="I93">
        <v>215.45086319999999</v>
      </c>
      <c r="J93" s="3">
        <v>7.8520000000000003</v>
      </c>
    </row>
    <row r="94" spans="1:10" x14ac:dyDescent="0.25">
      <c r="A94">
        <v>2</v>
      </c>
      <c r="B94" s="1">
        <v>40795</v>
      </c>
      <c r="C94">
        <v>9</v>
      </c>
      <c r="D94">
        <v>2011</v>
      </c>
      <c r="E94" s="2">
        <v>1748000.65</v>
      </c>
      <c r="F94">
        <v>1</v>
      </c>
      <c r="G94" s="3">
        <v>77.97</v>
      </c>
      <c r="H94" s="2">
        <v>3.5459999999999998</v>
      </c>
      <c r="I94">
        <v>215.51482949999999</v>
      </c>
      <c r="J94" s="3">
        <v>7.8520000000000003</v>
      </c>
    </row>
    <row r="95" spans="1:10" x14ac:dyDescent="0.25">
      <c r="A95">
        <v>2</v>
      </c>
      <c r="B95" s="1">
        <v>40734</v>
      </c>
      <c r="C95">
        <v>7</v>
      </c>
      <c r="D95">
        <v>2011</v>
      </c>
      <c r="E95" s="2">
        <v>1837553.43</v>
      </c>
      <c r="F95">
        <v>0</v>
      </c>
      <c r="G95" s="3">
        <v>69.92</v>
      </c>
      <c r="H95" s="2">
        <v>3.2850000000000001</v>
      </c>
      <c r="I95">
        <v>216.69583109999999</v>
      </c>
      <c r="J95" s="3">
        <v>7.4409999999999998</v>
      </c>
    </row>
    <row r="96" spans="1:10" x14ac:dyDescent="0.25">
      <c r="A96">
        <v>2</v>
      </c>
      <c r="B96" s="1">
        <v>40644</v>
      </c>
      <c r="C96">
        <v>4</v>
      </c>
      <c r="D96">
        <v>2011</v>
      </c>
      <c r="E96" s="2">
        <v>1959707.9</v>
      </c>
      <c r="F96">
        <v>0</v>
      </c>
      <c r="G96" s="3">
        <v>55.53</v>
      </c>
      <c r="H96" s="2">
        <v>3.3319999999999999</v>
      </c>
      <c r="I96">
        <v>217.48536050000001</v>
      </c>
      <c r="J96" s="3">
        <v>7.4409999999999998</v>
      </c>
    </row>
    <row r="97" spans="1:16" x14ac:dyDescent="0.25">
      <c r="A97">
        <v>2</v>
      </c>
      <c r="B97" s="1">
        <v>40858</v>
      </c>
      <c r="C97">
        <v>11</v>
      </c>
      <c r="D97">
        <v>2011</v>
      </c>
      <c r="E97" s="2">
        <v>1920725.15</v>
      </c>
      <c r="F97">
        <v>0</v>
      </c>
      <c r="G97" s="3">
        <v>59.33</v>
      </c>
      <c r="H97" s="2">
        <v>3.2970000000000002</v>
      </c>
      <c r="I97">
        <v>217.6455387</v>
      </c>
      <c r="J97" s="3">
        <v>7.4409999999999998</v>
      </c>
    </row>
    <row r="98" spans="1:16" x14ac:dyDescent="0.25">
      <c r="A98">
        <v>2</v>
      </c>
      <c r="B98" s="1">
        <v>40586</v>
      </c>
      <c r="C98">
        <v>2</v>
      </c>
      <c r="D98">
        <v>2011</v>
      </c>
      <c r="E98" s="2">
        <v>1954952</v>
      </c>
      <c r="F98">
        <v>0</v>
      </c>
      <c r="G98" s="3">
        <v>48.74</v>
      </c>
      <c r="H98" s="2">
        <v>3.1720000000000002</v>
      </c>
      <c r="I98">
        <v>218.35903189999999</v>
      </c>
      <c r="J98" s="3">
        <v>7.4409999999999998</v>
      </c>
    </row>
    <row r="99" spans="1:16" x14ac:dyDescent="0.25">
      <c r="A99">
        <v>2</v>
      </c>
      <c r="B99" s="1">
        <v>40798</v>
      </c>
      <c r="C99">
        <v>9</v>
      </c>
      <c r="D99">
        <v>2011</v>
      </c>
      <c r="E99" s="2">
        <v>2290549.3199999998</v>
      </c>
      <c r="F99">
        <v>0</v>
      </c>
      <c r="G99" s="3">
        <v>41.76</v>
      </c>
      <c r="H99" s="2">
        <v>3.1579999999999999</v>
      </c>
      <c r="I99">
        <v>218.60503700000001</v>
      </c>
      <c r="J99" s="3">
        <v>7.4409999999999998</v>
      </c>
    </row>
    <row r="100" spans="1:16" x14ac:dyDescent="0.25">
      <c r="A100">
        <v>2</v>
      </c>
      <c r="B100" s="1">
        <v>41061</v>
      </c>
      <c r="C100">
        <v>6</v>
      </c>
      <c r="D100">
        <v>2012</v>
      </c>
      <c r="E100" s="2">
        <v>1799520.14</v>
      </c>
      <c r="F100">
        <v>0</v>
      </c>
      <c r="G100" s="3">
        <v>46.75</v>
      </c>
      <c r="H100" s="2">
        <v>3.157</v>
      </c>
      <c r="I100">
        <v>219.355063</v>
      </c>
      <c r="J100" s="3">
        <v>7.0570000000000004</v>
      </c>
    </row>
    <row r="101" spans="1:16" x14ac:dyDescent="0.25">
      <c r="A101">
        <v>2</v>
      </c>
      <c r="B101" s="1">
        <v>40970</v>
      </c>
      <c r="C101">
        <v>3</v>
      </c>
      <c r="D101">
        <v>2012</v>
      </c>
      <c r="E101" s="2">
        <v>1935299.94</v>
      </c>
      <c r="F101">
        <v>0</v>
      </c>
      <c r="G101" s="3">
        <v>55.21</v>
      </c>
      <c r="H101" s="2">
        <v>3.36</v>
      </c>
      <c r="I101">
        <v>219.81188539999999</v>
      </c>
      <c r="J101" s="3">
        <v>7.0570000000000004</v>
      </c>
    </row>
    <row r="102" spans="1:16" x14ac:dyDescent="0.25">
      <c r="A102">
        <v>2</v>
      </c>
      <c r="B102" s="1">
        <v>41184</v>
      </c>
      <c r="C102">
        <v>10</v>
      </c>
      <c r="D102">
        <v>2012</v>
      </c>
      <c r="E102" s="2">
        <v>2103322.6800000002</v>
      </c>
      <c r="F102">
        <v>1</v>
      </c>
      <c r="G102" s="3">
        <v>46.98</v>
      </c>
      <c r="H102" s="2">
        <v>3.4089999999999998</v>
      </c>
      <c r="I102">
        <v>219.90490729999999</v>
      </c>
      <c r="J102" s="3">
        <v>7.0570000000000004</v>
      </c>
    </row>
    <row r="103" spans="1:16" x14ac:dyDescent="0.25">
      <c r="A103">
        <v>2</v>
      </c>
      <c r="B103" s="1">
        <v>40942</v>
      </c>
      <c r="C103">
        <v>2</v>
      </c>
      <c r="D103">
        <v>2012</v>
      </c>
      <c r="E103" s="2">
        <v>1952555.66</v>
      </c>
      <c r="F103">
        <v>0</v>
      </c>
      <c r="G103" s="3">
        <v>58.79</v>
      </c>
      <c r="H103" s="2">
        <v>3.63</v>
      </c>
      <c r="I103">
        <v>220.48668860000001</v>
      </c>
      <c r="J103" s="3">
        <v>7.0570000000000004</v>
      </c>
    </row>
    <row r="104" spans="1:16" x14ac:dyDescent="0.25">
      <c r="A104">
        <v>2</v>
      </c>
      <c r="B104" s="1">
        <v>41155</v>
      </c>
      <c r="C104">
        <v>9</v>
      </c>
      <c r="D104">
        <v>2012</v>
      </c>
      <c r="E104" s="2">
        <v>1937628.26</v>
      </c>
      <c r="F104">
        <v>0</v>
      </c>
      <c r="G104" s="3">
        <v>57.11</v>
      </c>
      <c r="H104" s="2">
        <v>3.669</v>
      </c>
      <c r="I104">
        <v>220.69743320000001</v>
      </c>
      <c r="J104" s="3">
        <v>7.0570000000000004</v>
      </c>
    </row>
    <row r="105" spans="1:16" x14ac:dyDescent="0.25">
      <c r="A105">
        <v>2</v>
      </c>
      <c r="B105" s="1">
        <v>41064</v>
      </c>
      <c r="C105">
        <v>6</v>
      </c>
      <c r="D105">
        <v>2012</v>
      </c>
      <c r="E105" s="2">
        <v>2129035.91</v>
      </c>
      <c r="F105">
        <v>0</v>
      </c>
      <c r="G105" s="3">
        <v>68.430000000000007</v>
      </c>
      <c r="H105" s="2">
        <v>3.891</v>
      </c>
      <c r="I105">
        <v>221.07376379999999</v>
      </c>
      <c r="J105" s="3">
        <v>6.891</v>
      </c>
    </row>
    <row r="106" spans="1:16" x14ac:dyDescent="0.25">
      <c r="A106">
        <v>2</v>
      </c>
      <c r="B106" s="1">
        <v>41004</v>
      </c>
      <c r="C106">
        <v>4</v>
      </c>
      <c r="D106">
        <v>2012</v>
      </c>
      <c r="E106" s="2">
        <v>1923957.09</v>
      </c>
      <c r="F106">
        <v>0</v>
      </c>
      <c r="G106" s="3">
        <v>76.73</v>
      </c>
      <c r="H106" s="2">
        <v>3.7490000000000001</v>
      </c>
      <c r="I106">
        <v>221.30951659999999</v>
      </c>
      <c r="J106" s="3">
        <v>6.891</v>
      </c>
    </row>
    <row r="107" spans="1:16" x14ac:dyDescent="0.25">
      <c r="A107">
        <v>2</v>
      </c>
      <c r="B107" s="1">
        <v>41218</v>
      </c>
      <c r="C107">
        <v>11</v>
      </c>
      <c r="D107">
        <v>2012</v>
      </c>
      <c r="E107" s="2">
        <v>1917520.99</v>
      </c>
      <c r="F107">
        <v>0</v>
      </c>
      <c r="G107" s="3">
        <v>73.87</v>
      </c>
      <c r="H107" s="2">
        <v>3.6880000000000002</v>
      </c>
      <c r="I107">
        <v>221.3632212</v>
      </c>
      <c r="J107" s="3">
        <v>6.891</v>
      </c>
    </row>
    <row r="108" spans="1:16" x14ac:dyDescent="0.25">
      <c r="A108">
        <v>2</v>
      </c>
      <c r="B108" s="1">
        <v>40914</v>
      </c>
      <c r="C108">
        <v>1</v>
      </c>
      <c r="D108">
        <v>2012</v>
      </c>
      <c r="E108" s="2">
        <v>1910092.37</v>
      </c>
      <c r="F108">
        <v>0</v>
      </c>
      <c r="G108" s="3">
        <v>78.38</v>
      </c>
      <c r="H108" s="2">
        <v>3.5009999999999999</v>
      </c>
      <c r="I108">
        <v>221.38527479999999</v>
      </c>
      <c r="J108" s="3">
        <v>6.891</v>
      </c>
      <c r="P108" s="2"/>
    </row>
    <row r="109" spans="1:16" x14ac:dyDescent="0.25">
      <c r="A109">
        <v>2</v>
      </c>
      <c r="B109" s="1">
        <v>41127</v>
      </c>
      <c r="C109">
        <v>8</v>
      </c>
      <c r="D109">
        <v>2012</v>
      </c>
      <c r="E109" s="2">
        <v>2010216.49</v>
      </c>
      <c r="F109">
        <v>0</v>
      </c>
      <c r="G109" s="3">
        <v>78.69</v>
      </c>
      <c r="H109" s="2">
        <v>3.452</v>
      </c>
      <c r="I109">
        <v>221.38774670000001</v>
      </c>
      <c r="J109" s="3">
        <v>6.891</v>
      </c>
    </row>
    <row r="110" spans="1:16" x14ac:dyDescent="0.25">
      <c r="A110">
        <v>2</v>
      </c>
      <c r="B110" s="1">
        <v>41067</v>
      </c>
      <c r="C110">
        <v>6</v>
      </c>
      <c r="D110">
        <v>2012</v>
      </c>
      <c r="E110" s="2">
        <v>2041507.4</v>
      </c>
      <c r="F110">
        <v>0</v>
      </c>
      <c r="G110" s="3">
        <v>84.2</v>
      </c>
      <c r="H110" s="2">
        <v>3.2269999999999999</v>
      </c>
      <c r="I110">
        <v>221.52150639999999</v>
      </c>
      <c r="J110" s="3">
        <v>6.5650000000000004</v>
      </c>
    </row>
    <row r="111" spans="1:16" x14ac:dyDescent="0.25">
      <c r="A111">
        <v>2</v>
      </c>
      <c r="B111" s="1">
        <v>40976</v>
      </c>
      <c r="C111">
        <v>3</v>
      </c>
      <c r="D111">
        <v>2012</v>
      </c>
      <c r="E111" s="2">
        <v>1946104.64</v>
      </c>
      <c r="F111">
        <v>0</v>
      </c>
      <c r="G111" s="3">
        <v>90.22</v>
      </c>
      <c r="H111" s="2">
        <v>3.4169999999999998</v>
      </c>
      <c r="I111">
        <v>221.58697989999999</v>
      </c>
      <c r="J111" s="3">
        <v>6.5650000000000004</v>
      </c>
    </row>
    <row r="112" spans="1:16" x14ac:dyDescent="0.25">
      <c r="A112">
        <v>2</v>
      </c>
      <c r="B112" s="1">
        <v>41190</v>
      </c>
      <c r="C112">
        <v>10</v>
      </c>
      <c r="D112">
        <v>2012</v>
      </c>
      <c r="E112" s="2">
        <v>1866719.96</v>
      </c>
      <c r="F112">
        <v>0</v>
      </c>
      <c r="G112" s="3">
        <v>88.55</v>
      </c>
      <c r="H112" s="2">
        <v>3.4940000000000002</v>
      </c>
      <c r="I112">
        <v>221.59541379999999</v>
      </c>
      <c r="J112" s="3">
        <v>6.5650000000000004</v>
      </c>
    </row>
    <row r="113" spans="1:10" x14ac:dyDescent="0.25">
      <c r="A113">
        <v>2</v>
      </c>
      <c r="B113" s="1">
        <v>41099</v>
      </c>
      <c r="C113">
        <v>7</v>
      </c>
      <c r="D113">
        <v>2012</v>
      </c>
      <c r="E113" s="2">
        <v>1898777.07</v>
      </c>
      <c r="F113">
        <v>1</v>
      </c>
      <c r="G113" s="3">
        <v>87.65</v>
      </c>
      <c r="H113" s="2">
        <v>3.73</v>
      </c>
      <c r="I113">
        <v>222.07476349999999</v>
      </c>
      <c r="J113" s="3">
        <v>6.5650000000000004</v>
      </c>
    </row>
    <row r="114" spans="1:10" x14ac:dyDescent="0.25">
      <c r="A114">
        <v>2</v>
      </c>
      <c r="B114" s="1">
        <v>41039</v>
      </c>
      <c r="C114">
        <v>5</v>
      </c>
      <c r="D114">
        <v>2012</v>
      </c>
      <c r="E114" s="2">
        <v>1998321.04</v>
      </c>
      <c r="F114">
        <v>0</v>
      </c>
      <c r="G114" s="3">
        <v>70.27</v>
      </c>
      <c r="H114" s="2">
        <v>3.617</v>
      </c>
      <c r="I114">
        <v>222.8159296</v>
      </c>
      <c r="J114" s="3">
        <v>6.17</v>
      </c>
    </row>
    <row r="115" spans="1:10" x14ac:dyDescent="0.25">
      <c r="A115">
        <v>2</v>
      </c>
      <c r="B115" s="1">
        <v>41253</v>
      </c>
      <c r="C115">
        <v>12</v>
      </c>
      <c r="D115">
        <v>2012</v>
      </c>
      <c r="E115" s="2">
        <v>1900745.13</v>
      </c>
      <c r="F115">
        <v>0</v>
      </c>
      <c r="G115" s="3">
        <v>60.97</v>
      </c>
      <c r="H115" s="2">
        <v>3.601</v>
      </c>
      <c r="I115">
        <v>223.0154263</v>
      </c>
      <c r="J115" s="3">
        <v>6.17</v>
      </c>
    </row>
    <row r="116" spans="1:10" x14ac:dyDescent="0.25">
      <c r="A116">
        <v>3</v>
      </c>
      <c r="B116" s="1">
        <v>40300</v>
      </c>
      <c r="C116">
        <v>5</v>
      </c>
      <c r="D116">
        <v>2010</v>
      </c>
      <c r="E116" s="2">
        <v>461622.22</v>
      </c>
      <c r="F116">
        <v>0</v>
      </c>
      <c r="G116" s="3">
        <v>45.71</v>
      </c>
      <c r="H116" s="2">
        <v>2.5720000000000001</v>
      </c>
      <c r="I116">
        <v>214.42488119999999</v>
      </c>
      <c r="J116" s="3">
        <v>7.3680000000000003</v>
      </c>
    </row>
    <row r="117" spans="1:10" x14ac:dyDescent="0.25">
      <c r="A117">
        <v>3</v>
      </c>
      <c r="B117" s="1">
        <v>40514</v>
      </c>
      <c r="C117">
        <v>12</v>
      </c>
      <c r="D117">
        <v>2010</v>
      </c>
      <c r="E117" s="2">
        <v>420728.96</v>
      </c>
      <c r="F117">
        <v>1</v>
      </c>
      <c r="G117" s="3">
        <v>47.93</v>
      </c>
      <c r="H117" s="2">
        <v>2.548</v>
      </c>
      <c r="I117">
        <v>214.5747916</v>
      </c>
      <c r="J117" s="3">
        <v>7.3680000000000003</v>
      </c>
    </row>
    <row r="118" spans="1:10" x14ac:dyDescent="0.25">
      <c r="A118">
        <v>3</v>
      </c>
      <c r="B118" s="1">
        <v>40301</v>
      </c>
      <c r="C118">
        <v>5</v>
      </c>
      <c r="D118">
        <v>2010</v>
      </c>
      <c r="E118" s="2">
        <v>415202.04</v>
      </c>
      <c r="F118">
        <v>0</v>
      </c>
      <c r="G118" s="3">
        <v>53.04</v>
      </c>
      <c r="H118" s="2">
        <v>2.625</v>
      </c>
      <c r="I118">
        <v>214.6751386</v>
      </c>
      <c r="J118" s="3">
        <v>7.3680000000000003</v>
      </c>
    </row>
    <row r="119" spans="1:10" x14ac:dyDescent="0.25">
      <c r="A119">
        <v>3</v>
      </c>
      <c r="B119" s="1">
        <v>40515</v>
      </c>
      <c r="C119">
        <v>12</v>
      </c>
      <c r="D119">
        <v>2010</v>
      </c>
      <c r="E119" s="2">
        <v>384200.69</v>
      </c>
      <c r="F119">
        <v>0</v>
      </c>
      <c r="G119" s="3">
        <v>63.08</v>
      </c>
      <c r="H119" s="2">
        <v>2.6669999999999998</v>
      </c>
      <c r="I119">
        <v>214.70276459999999</v>
      </c>
      <c r="J119" s="3">
        <v>7.3680000000000003</v>
      </c>
    </row>
    <row r="120" spans="1:10" x14ac:dyDescent="0.25">
      <c r="A120">
        <v>3</v>
      </c>
      <c r="B120" s="1">
        <v>40213</v>
      </c>
      <c r="C120">
        <v>2</v>
      </c>
      <c r="D120">
        <v>2010</v>
      </c>
      <c r="E120" s="2">
        <v>423294.4</v>
      </c>
      <c r="F120">
        <v>0</v>
      </c>
      <c r="G120" s="3">
        <v>65.56</v>
      </c>
      <c r="H120" s="2">
        <v>2.7189999999999999</v>
      </c>
      <c r="I120">
        <v>214.1180803</v>
      </c>
      <c r="J120" s="3">
        <v>7.343</v>
      </c>
    </row>
    <row r="121" spans="1:10" x14ac:dyDescent="0.25">
      <c r="A121">
        <v>3</v>
      </c>
      <c r="B121" s="1">
        <v>40425</v>
      </c>
      <c r="C121">
        <v>9</v>
      </c>
      <c r="D121">
        <v>2010</v>
      </c>
      <c r="E121" s="2">
        <v>415870.28</v>
      </c>
      <c r="F121">
        <v>0</v>
      </c>
      <c r="G121" s="3">
        <v>68</v>
      </c>
      <c r="H121" s="2">
        <v>2.77</v>
      </c>
      <c r="I121">
        <v>213.9120595</v>
      </c>
      <c r="J121" s="3">
        <v>7.343</v>
      </c>
    </row>
    <row r="122" spans="1:10" x14ac:dyDescent="0.25">
      <c r="A122">
        <v>3</v>
      </c>
      <c r="B122" s="1">
        <v>40364</v>
      </c>
      <c r="C122">
        <v>7</v>
      </c>
      <c r="D122">
        <v>2010</v>
      </c>
      <c r="E122" s="2">
        <v>399323.86</v>
      </c>
      <c r="F122">
        <v>0</v>
      </c>
      <c r="G122" s="3">
        <v>73.47</v>
      </c>
      <c r="H122" s="2">
        <v>2.835</v>
      </c>
      <c r="I122">
        <v>213.6211778</v>
      </c>
      <c r="J122" s="3">
        <v>7.343</v>
      </c>
    </row>
    <row r="123" spans="1:10" x14ac:dyDescent="0.25">
      <c r="A123">
        <v>3</v>
      </c>
      <c r="B123" s="1">
        <v>40274</v>
      </c>
      <c r="C123">
        <v>4</v>
      </c>
      <c r="D123">
        <v>2010</v>
      </c>
      <c r="E123" s="2">
        <v>396968.8</v>
      </c>
      <c r="F123">
        <v>0</v>
      </c>
      <c r="G123" s="3">
        <v>78.53</v>
      </c>
      <c r="H123" s="2">
        <v>2.7050000000000001</v>
      </c>
      <c r="I123">
        <v>214.49583820000001</v>
      </c>
      <c r="J123" s="3">
        <v>7.343</v>
      </c>
    </row>
    <row r="124" spans="1:10" x14ac:dyDescent="0.25">
      <c r="A124">
        <v>3</v>
      </c>
      <c r="B124" s="1">
        <v>40488</v>
      </c>
      <c r="C124">
        <v>11</v>
      </c>
      <c r="D124">
        <v>2010</v>
      </c>
      <c r="E124" s="2">
        <v>355017.09</v>
      </c>
      <c r="F124">
        <v>0</v>
      </c>
      <c r="G124" s="3">
        <v>82.1</v>
      </c>
      <c r="H124" s="2">
        <v>2.6680000000000001</v>
      </c>
      <c r="I124">
        <v>214.787913</v>
      </c>
      <c r="J124" s="3">
        <v>7.343</v>
      </c>
    </row>
    <row r="125" spans="1:10" x14ac:dyDescent="0.25">
      <c r="A125">
        <v>3</v>
      </c>
      <c r="B125" s="1">
        <v>40216</v>
      </c>
      <c r="C125">
        <v>2</v>
      </c>
      <c r="D125">
        <v>2010</v>
      </c>
      <c r="E125" s="2">
        <v>381151.72</v>
      </c>
      <c r="F125">
        <v>0</v>
      </c>
      <c r="G125" s="3">
        <v>82.2</v>
      </c>
      <c r="H125" s="2">
        <v>2.669</v>
      </c>
      <c r="I125">
        <v>214.54632219999999</v>
      </c>
      <c r="J125" s="3">
        <v>7.3460000000000001</v>
      </c>
    </row>
    <row r="126" spans="1:10" x14ac:dyDescent="0.25">
      <c r="A126">
        <v>3</v>
      </c>
      <c r="B126" s="1">
        <v>40428</v>
      </c>
      <c r="C126">
        <v>9</v>
      </c>
      <c r="D126">
        <v>2010</v>
      </c>
      <c r="E126" s="2">
        <v>349214.18</v>
      </c>
      <c r="F126">
        <v>0</v>
      </c>
      <c r="G126" s="3">
        <v>81.75</v>
      </c>
      <c r="H126" s="2">
        <v>2.6419999999999999</v>
      </c>
      <c r="I126">
        <v>214.4265704</v>
      </c>
      <c r="J126" s="3">
        <v>7.3460000000000001</v>
      </c>
    </row>
    <row r="127" spans="1:10" x14ac:dyDescent="0.25">
      <c r="A127">
        <v>3</v>
      </c>
      <c r="B127" s="1">
        <v>40337</v>
      </c>
      <c r="C127">
        <v>6</v>
      </c>
      <c r="D127">
        <v>2010</v>
      </c>
      <c r="E127" s="2">
        <v>402635.76</v>
      </c>
      <c r="F127">
        <v>0</v>
      </c>
      <c r="G127" s="3">
        <v>85.13</v>
      </c>
      <c r="H127" s="2">
        <v>2.6269999999999998</v>
      </c>
      <c r="I127">
        <v>214.83419520000001</v>
      </c>
      <c r="J127" s="3">
        <v>7.3460000000000001</v>
      </c>
    </row>
    <row r="128" spans="1:10" x14ac:dyDescent="0.25">
      <c r="A128">
        <v>3</v>
      </c>
      <c r="B128" s="1">
        <v>40246</v>
      </c>
      <c r="C128">
        <v>3</v>
      </c>
      <c r="D128">
        <v>2010</v>
      </c>
      <c r="E128" s="2">
        <v>366473.97</v>
      </c>
      <c r="F128">
        <v>0</v>
      </c>
      <c r="G128" s="3">
        <v>84.16</v>
      </c>
      <c r="H128" s="2">
        <v>2.577</v>
      </c>
      <c r="I128">
        <v>214.84816850000001</v>
      </c>
      <c r="J128" s="3">
        <v>7.3460000000000001</v>
      </c>
    </row>
    <row r="129" spans="1:10" x14ac:dyDescent="0.25">
      <c r="A129">
        <v>3</v>
      </c>
      <c r="B129" s="1">
        <v>40460</v>
      </c>
      <c r="C129">
        <v>10</v>
      </c>
      <c r="D129">
        <v>2010</v>
      </c>
      <c r="E129" s="2">
        <v>352260.97</v>
      </c>
      <c r="F129">
        <v>1</v>
      </c>
      <c r="G129" s="3">
        <v>80.84</v>
      </c>
      <c r="H129" s="2">
        <v>2.5649999999999999</v>
      </c>
      <c r="I129">
        <v>214.8065431</v>
      </c>
      <c r="J129" s="3">
        <v>7.3460000000000001</v>
      </c>
    </row>
    <row r="130" spans="1:10" x14ac:dyDescent="0.25">
      <c r="A130">
        <v>3</v>
      </c>
      <c r="B130" s="1">
        <v>40188</v>
      </c>
      <c r="C130">
        <v>1</v>
      </c>
      <c r="D130">
        <v>2010</v>
      </c>
      <c r="E130" s="2">
        <v>358784.1</v>
      </c>
      <c r="F130">
        <v>0</v>
      </c>
      <c r="G130" s="3">
        <v>73.599999999999994</v>
      </c>
      <c r="H130" s="2">
        <v>2.6030000000000002</v>
      </c>
      <c r="I130">
        <v>214.98465479999999</v>
      </c>
      <c r="J130" s="3">
        <v>7.5640000000000001</v>
      </c>
    </row>
    <row r="131" spans="1:10" x14ac:dyDescent="0.25">
      <c r="A131">
        <v>3</v>
      </c>
      <c r="B131" s="1">
        <v>40400</v>
      </c>
      <c r="C131">
        <v>8</v>
      </c>
      <c r="D131">
        <v>2010</v>
      </c>
      <c r="E131" s="2">
        <v>395107.35</v>
      </c>
      <c r="F131">
        <v>0</v>
      </c>
      <c r="G131" s="3">
        <v>66.989999999999995</v>
      </c>
      <c r="H131" s="2">
        <v>2.633</v>
      </c>
      <c r="I131">
        <v>215.060858</v>
      </c>
      <c r="J131" s="3">
        <v>7.5640000000000001</v>
      </c>
    </row>
    <row r="132" spans="1:10" x14ac:dyDescent="0.25">
      <c r="A132">
        <v>3</v>
      </c>
      <c r="B132" s="1">
        <v>40309</v>
      </c>
      <c r="C132">
        <v>5</v>
      </c>
      <c r="D132">
        <v>2010</v>
      </c>
      <c r="E132" s="2">
        <v>423175.56</v>
      </c>
      <c r="F132">
        <v>0</v>
      </c>
      <c r="G132" s="3">
        <v>62.94</v>
      </c>
      <c r="H132" s="2">
        <v>2.6890000000000001</v>
      </c>
      <c r="I132">
        <v>215.27654720000001</v>
      </c>
      <c r="J132" s="3">
        <v>7.5640000000000001</v>
      </c>
    </row>
    <row r="133" spans="1:10" x14ac:dyDescent="0.25">
      <c r="A133">
        <v>3</v>
      </c>
      <c r="B133" s="1">
        <v>40523</v>
      </c>
      <c r="C133">
        <v>12</v>
      </c>
      <c r="D133">
        <v>2010</v>
      </c>
      <c r="E133" s="2">
        <v>386635.03</v>
      </c>
      <c r="F133">
        <v>0</v>
      </c>
      <c r="G133" s="3">
        <v>62.79</v>
      </c>
      <c r="H133" s="2">
        <v>2.7280000000000002</v>
      </c>
      <c r="I133">
        <v>215.32562580000001</v>
      </c>
      <c r="J133" s="3">
        <v>7.5640000000000001</v>
      </c>
    </row>
    <row r="134" spans="1:10" x14ac:dyDescent="0.25">
      <c r="A134">
        <v>3</v>
      </c>
      <c r="B134" s="1">
        <v>40249</v>
      </c>
      <c r="C134">
        <v>3</v>
      </c>
      <c r="D134">
        <v>2010</v>
      </c>
      <c r="E134" s="2">
        <v>476420.77</v>
      </c>
      <c r="F134">
        <v>0</v>
      </c>
      <c r="G134" s="3">
        <v>53.76</v>
      </c>
      <c r="H134" s="2">
        <v>2.7080000000000002</v>
      </c>
      <c r="I134">
        <v>214.9153531</v>
      </c>
      <c r="J134" s="3">
        <v>7.5640000000000001</v>
      </c>
    </row>
    <row r="135" spans="1:10" x14ac:dyDescent="0.25">
      <c r="A135">
        <v>3</v>
      </c>
      <c r="B135" s="1">
        <v>40463</v>
      </c>
      <c r="C135">
        <v>10</v>
      </c>
      <c r="D135">
        <v>2010</v>
      </c>
      <c r="E135" s="2">
        <v>467642.03</v>
      </c>
      <c r="F135">
        <v>0</v>
      </c>
      <c r="G135" s="3">
        <v>51.13</v>
      </c>
      <c r="H135" s="2">
        <v>2.843</v>
      </c>
      <c r="I135">
        <v>214.76930369999999</v>
      </c>
      <c r="J135" s="3">
        <v>7.5640000000000001</v>
      </c>
    </row>
    <row r="136" spans="1:10" x14ac:dyDescent="0.25">
      <c r="A136">
        <v>3</v>
      </c>
      <c r="B136" s="1">
        <v>40725</v>
      </c>
      <c r="C136">
        <v>7</v>
      </c>
      <c r="D136">
        <v>2011</v>
      </c>
      <c r="E136" s="2">
        <v>378241.34</v>
      </c>
      <c r="F136">
        <v>0</v>
      </c>
      <c r="G136" s="3">
        <v>53.35</v>
      </c>
      <c r="H136" s="2">
        <v>2.976</v>
      </c>
      <c r="I136">
        <v>214.69551039999999</v>
      </c>
      <c r="J136" s="3">
        <v>7.5510000000000002</v>
      </c>
    </row>
    <row r="137" spans="1:10" x14ac:dyDescent="0.25">
      <c r="A137">
        <v>3</v>
      </c>
      <c r="B137" s="1">
        <v>40635</v>
      </c>
      <c r="C137">
        <v>4</v>
      </c>
      <c r="D137">
        <v>2011</v>
      </c>
      <c r="E137" s="2">
        <v>438516.53</v>
      </c>
      <c r="F137">
        <v>0</v>
      </c>
      <c r="G137" s="3">
        <v>45.95</v>
      </c>
      <c r="H137" s="2">
        <v>2.9889999999999999</v>
      </c>
      <c r="I137">
        <v>215.88633669999999</v>
      </c>
      <c r="J137" s="3">
        <v>7.5510000000000002</v>
      </c>
    </row>
    <row r="138" spans="1:10" x14ac:dyDescent="0.25">
      <c r="A138">
        <v>3</v>
      </c>
      <c r="B138" s="1">
        <v>40849</v>
      </c>
      <c r="C138">
        <v>11</v>
      </c>
      <c r="D138">
        <v>2011</v>
      </c>
      <c r="E138" s="2">
        <v>430526.21</v>
      </c>
      <c r="F138">
        <v>1</v>
      </c>
      <c r="G138" s="3">
        <v>43.57</v>
      </c>
      <c r="H138" s="2">
        <v>3.0219999999999998</v>
      </c>
      <c r="I138">
        <v>216.2660913</v>
      </c>
      <c r="J138" s="3">
        <v>7.5510000000000002</v>
      </c>
    </row>
    <row r="139" spans="1:10" x14ac:dyDescent="0.25">
      <c r="A139">
        <v>3</v>
      </c>
      <c r="B139" s="1">
        <v>40636</v>
      </c>
      <c r="C139">
        <v>4</v>
      </c>
      <c r="D139">
        <v>2011</v>
      </c>
      <c r="E139" s="2">
        <v>437084.51</v>
      </c>
      <c r="F139">
        <v>0</v>
      </c>
      <c r="G139" s="3">
        <v>65.11</v>
      </c>
      <c r="H139" s="2">
        <v>3.2879999999999998</v>
      </c>
      <c r="I139">
        <v>217.1716979</v>
      </c>
      <c r="J139" s="3">
        <v>7.5510000000000002</v>
      </c>
    </row>
    <row r="140" spans="1:10" x14ac:dyDescent="0.25">
      <c r="A140">
        <v>3</v>
      </c>
      <c r="B140" s="1">
        <v>40850</v>
      </c>
      <c r="C140">
        <v>11</v>
      </c>
      <c r="D140">
        <v>2011</v>
      </c>
      <c r="E140" s="2">
        <v>404753.3</v>
      </c>
      <c r="F140">
        <v>0</v>
      </c>
      <c r="G140" s="3">
        <v>61.29</v>
      </c>
      <c r="H140" s="2">
        <v>3.4590000000000001</v>
      </c>
      <c r="I140">
        <v>217.46536829999999</v>
      </c>
      <c r="J140" s="3">
        <v>7.5510000000000002</v>
      </c>
    </row>
    <row r="141" spans="1:10" x14ac:dyDescent="0.25">
      <c r="A141">
        <v>3</v>
      </c>
      <c r="B141" s="1">
        <v>40547</v>
      </c>
      <c r="C141">
        <v>1</v>
      </c>
      <c r="D141">
        <v>2011</v>
      </c>
      <c r="E141" s="2">
        <v>374556.08</v>
      </c>
      <c r="F141">
        <v>0</v>
      </c>
      <c r="G141" s="3">
        <v>68.760000000000005</v>
      </c>
      <c r="H141" s="2">
        <v>3.524</v>
      </c>
      <c r="I141">
        <v>218.21141840000001</v>
      </c>
      <c r="J141" s="3">
        <v>7.5739999999999998</v>
      </c>
    </row>
    <row r="142" spans="1:10" x14ac:dyDescent="0.25">
      <c r="A142">
        <v>3</v>
      </c>
      <c r="B142" s="1">
        <v>40759</v>
      </c>
      <c r="C142">
        <v>8</v>
      </c>
      <c r="D142">
        <v>2011</v>
      </c>
      <c r="E142" s="2">
        <v>384075.31</v>
      </c>
      <c r="F142">
        <v>0</v>
      </c>
      <c r="G142" s="3">
        <v>72.55</v>
      </c>
      <c r="H142" s="2">
        <v>3.6219999999999999</v>
      </c>
      <c r="I142">
        <v>218.45536630000001</v>
      </c>
      <c r="J142" s="3">
        <v>7.5739999999999998</v>
      </c>
    </row>
    <row r="143" spans="1:10" x14ac:dyDescent="0.25">
      <c r="A143">
        <v>3</v>
      </c>
      <c r="B143" s="1">
        <v>40699</v>
      </c>
      <c r="C143">
        <v>6</v>
      </c>
      <c r="D143">
        <v>2011</v>
      </c>
      <c r="E143" s="2">
        <v>413042.12</v>
      </c>
      <c r="F143">
        <v>0</v>
      </c>
      <c r="G143" s="3">
        <v>69.45</v>
      </c>
      <c r="H143" s="2">
        <v>3.9060000000000001</v>
      </c>
      <c r="I143">
        <v>219.1959827</v>
      </c>
      <c r="J143" s="3">
        <v>7.5739999999999998</v>
      </c>
    </row>
    <row r="144" spans="1:10" x14ac:dyDescent="0.25">
      <c r="A144">
        <v>3</v>
      </c>
      <c r="B144" s="1">
        <v>40608</v>
      </c>
      <c r="C144">
        <v>3</v>
      </c>
      <c r="D144">
        <v>2011</v>
      </c>
      <c r="E144" s="2">
        <v>394507.84</v>
      </c>
      <c r="F144">
        <v>0</v>
      </c>
      <c r="G144" s="3">
        <v>84.29</v>
      </c>
      <c r="H144" s="2">
        <v>3.6989999999999998</v>
      </c>
      <c r="I144">
        <v>218.6449369</v>
      </c>
      <c r="J144" s="3">
        <v>7.5739999999999998</v>
      </c>
    </row>
    <row r="145" spans="1:10" x14ac:dyDescent="0.25">
      <c r="A145">
        <v>3</v>
      </c>
      <c r="B145" s="1">
        <v>40822</v>
      </c>
      <c r="C145">
        <v>10</v>
      </c>
      <c r="D145">
        <v>2011</v>
      </c>
      <c r="E145" s="2">
        <v>391638.75</v>
      </c>
      <c r="F145">
        <v>0</v>
      </c>
      <c r="G145" s="3">
        <v>84.84</v>
      </c>
      <c r="H145" s="2">
        <v>3.6480000000000001</v>
      </c>
      <c r="I145">
        <v>218.4037974</v>
      </c>
      <c r="J145" s="3">
        <v>7.5739999999999998</v>
      </c>
    </row>
    <row r="146" spans="1:10" x14ac:dyDescent="0.25">
      <c r="A146">
        <v>3</v>
      </c>
      <c r="B146" s="1">
        <v>40550</v>
      </c>
      <c r="C146">
        <v>1</v>
      </c>
      <c r="D146">
        <v>2011</v>
      </c>
      <c r="E146" s="2">
        <v>368962.72</v>
      </c>
      <c r="F146">
        <v>0</v>
      </c>
      <c r="G146" s="3">
        <v>85.1</v>
      </c>
      <c r="H146" s="2">
        <v>3.524</v>
      </c>
      <c r="I146">
        <v>218.54670519999999</v>
      </c>
      <c r="J146" s="3">
        <v>7.5670000000000002</v>
      </c>
    </row>
    <row r="147" spans="1:10" x14ac:dyDescent="0.25">
      <c r="A147">
        <v>3</v>
      </c>
      <c r="B147" s="1">
        <v>40762</v>
      </c>
      <c r="C147">
        <v>8</v>
      </c>
      <c r="D147">
        <v>2011</v>
      </c>
      <c r="E147" s="2">
        <v>395146.23999999999</v>
      </c>
      <c r="F147">
        <v>0</v>
      </c>
      <c r="G147" s="3">
        <v>85.38</v>
      </c>
      <c r="H147" s="2">
        <v>3.48</v>
      </c>
      <c r="I147">
        <v>218.64247040000001</v>
      </c>
      <c r="J147" s="3">
        <v>7.5670000000000002</v>
      </c>
    </row>
    <row r="148" spans="1:10" x14ac:dyDescent="0.25">
      <c r="A148">
        <v>3</v>
      </c>
      <c r="B148" s="1">
        <v>40671</v>
      </c>
      <c r="C148">
        <v>5</v>
      </c>
      <c r="D148">
        <v>2011</v>
      </c>
      <c r="E148" s="2">
        <v>409981.25</v>
      </c>
      <c r="F148">
        <v>0</v>
      </c>
      <c r="G148" s="3">
        <v>88.45</v>
      </c>
      <c r="H148" s="2">
        <v>3.6840000000000002</v>
      </c>
      <c r="I148">
        <v>218.90232090000001</v>
      </c>
      <c r="J148" s="3">
        <v>7.5670000000000002</v>
      </c>
    </row>
    <row r="149" spans="1:10" x14ac:dyDescent="0.25">
      <c r="A149">
        <v>3</v>
      </c>
      <c r="B149" s="1">
        <v>40885</v>
      </c>
      <c r="C149">
        <v>12</v>
      </c>
      <c r="D149">
        <v>2011</v>
      </c>
      <c r="E149" s="2">
        <v>380376.85</v>
      </c>
      <c r="F149">
        <v>0</v>
      </c>
      <c r="G149" s="3">
        <v>88.88</v>
      </c>
      <c r="H149" s="2">
        <v>3.6379999999999999</v>
      </c>
      <c r="I149">
        <v>218.96058729999999</v>
      </c>
      <c r="J149" s="3">
        <v>7.5670000000000002</v>
      </c>
    </row>
    <row r="150" spans="1:10" x14ac:dyDescent="0.25">
      <c r="A150">
        <v>3</v>
      </c>
      <c r="B150" s="1">
        <v>40583</v>
      </c>
      <c r="C150">
        <v>2</v>
      </c>
      <c r="D150">
        <v>2011</v>
      </c>
      <c r="E150" s="2">
        <v>375988.69</v>
      </c>
      <c r="F150">
        <v>0</v>
      </c>
      <c r="G150" s="3">
        <v>89.12</v>
      </c>
      <c r="H150" s="2">
        <v>3.5329999999999999</v>
      </c>
      <c r="I150">
        <v>219.1501106</v>
      </c>
      <c r="J150" s="3">
        <v>7.5670000000000002</v>
      </c>
    </row>
    <row r="151" spans="1:10" x14ac:dyDescent="0.25">
      <c r="A151">
        <v>3</v>
      </c>
      <c r="B151" s="1">
        <v>40795</v>
      </c>
      <c r="C151">
        <v>9</v>
      </c>
      <c r="D151">
        <v>2011</v>
      </c>
      <c r="E151" s="2">
        <v>377347.49</v>
      </c>
      <c r="F151">
        <v>1</v>
      </c>
      <c r="G151" s="3">
        <v>81.72</v>
      </c>
      <c r="H151" s="2">
        <v>3.5459999999999998</v>
      </c>
      <c r="I151">
        <v>219.21353049999999</v>
      </c>
      <c r="J151" s="3">
        <v>7.5670000000000002</v>
      </c>
    </row>
    <row r="152" spans="1:10" x14ac:dyDescent="0.25">
      <c r="A152">
        <v>3</v>
      </c>
      <c r="B152" s="1">
        <v>40734</v>
      </c>
      <c r="C152">
        <v>7</v>
      </c>
      <c r="D152">
        <v>2011</v>
      </c>
      <c r="E152" s="2">
        <v>403342.4</v>
      </c>
      <c r="F152">
        <v>0</v>
      </c>
      <c r="G152" s="3">
        <v>75.540000000000006</v>
      </c>
      <c r="H152" s="2">
        <v>3.2850000000000001</v>
      </c>
      <c r="I152">
        <v>220.42990069999999</v>
      </c>
      <c r="J152" s="3">
        <v>7.1970000000000001</v>
      </c>
    </row>
    <row r="153" spans="1:10" x14ac:dyDescent="0.25">
      <c r="A153">
        <v>3</v>
      </c>
      <c r="B153" s="1">
        <v>40644</v>
      </c>
      <c r="C153">
        <v>4</v>
      </c>
      <c r="D153">
        <v>2011</v>
      </c>
      <c r="E153" s="2">
        <v>459443.22</v>
      </c>
      <c r="F153">
        <v>0</v>
      </c>
      <c r="G153" s="3">
        <v>59.31</v>
      </c>
      <c r="H153" s="2">
        <v>3.3319999999999999</v>
      </c>
      <c r="I153">
        <v>221.245968</v>
      </c>
      <c r="J153" s="3">
        <v>7.1970000000000001</v>
      </c>
    </row>
    <row r="154" spans="1:10" x14ac:dyDescent="0.25">
      <c r="A154">
        <v>3</v>
      </c>
      <c r="B154" s="1">
        <v>40858</v>
      </c>
      <c r="C154">
        <v>11</v>
      </c>
      <c r="D154">
        <v>2011</v>
      </c>
      <c r="E154" s="2">
        <v>407764.25</v>
      </c>
      <c r="F154">
        <v>0</v>
      </c>
      <c r="G154" s="3">
        <v>61.7</v>
      </c>
      <c r="H154" s="2">
        <v>3.2970000000000002</v>
      </c>
      <c r="I154">
        <v>221.4117517</v>
      </c>
      <c r="J154" s="3">
        <v>7.1970000000000001</v>
      </c>
    </row>
    <row r="155" spans="1:10" x14ac:dyDescent="0.25">
      <c r="A155">
        <v>3</v>
      </c>
      <c r="B155" s="1">
        <v>40586</v>
      </c>
      <c r="C155">
        <v>2</v>
      </c>
      <c r="D155">
        <v>2011</v>
      </c>
      <c r="E155" s="2">
        <v>472511.32</v>
      </c>
      <c r="F155">
        <v>0</v>
      </c>
      <c r="G155" s="3">
        <v>54.97</v>
      </c>
      <c r="H155" s="2">
        <v>3.1720000000000002</v>
      </c>
      <c r="I155">
        <v>222.15895190000001</v>
      </c>
      <c r="J155" s="3">
        <v>7.1970000000000001</v>
      </c>
    </row>
    <row r="156" spans="1:10" x14ac:dyDescent="0.25">
      <c r="A156">
        <v>3</v>
      </c>
      <c r="B156" s="1">
        <v>40798</v>
      </c>
      <c r="C156">
        <v>9</v>
      </c>
      <c r="D156">
        <v>2011</v>
      </c>
      <c r="E156" s="2">
        <v>468772.8</v>
      </c>
      <c r="F156">
        <v>0</v>
      </c>
      <c r="G156" s="3">
        <v>49.26</v>
      </c>
      <c r="H156" s="2">
        <v>3.1579999999999999</v>
      </c>
      <c r="I156">
        <v>222.41678519999999</v>
      </c>
      <c r="J156" s="3">
        <v>7.1970000000000001</v>
      </c>
    </row>
    <row r="157" spans="1:10" x14ac:dyDescent="0.25">
      <c r="A157">
        <v>3</v>
      </c>
      <c r="B157" s="1">
        <v>41061</v>
      </c>
      <c r="C157">
        <v>6</v>
      </c>
      <c r="D157">
        <v>2012</v>
      </c>
      <c r="E157" s="2">
        <v>398178.21</v>
      </c>
      <c r="F157">
        <v>0</v>
      </c>
      <c r="G157" s="3">
        <v>52.42</v>
      </c>
      <c r="H157" s="2">
        <v>3.157</v>
      </c>
      <c r="I157">
        <v>223.19230490000001</v>
      </c>
      <c r="J157" s="3">
        <v>6.8330000000000002</v>
      </c>
    </row>
    <row r="158" spans="1:10" x14ac:dyDescent="0.25">
      <c r="A158">
        <v>3</v>
      </c>
      <c r="B158" s="1">
        <v>40970</v>
      </c>
      <c r="C158">
        <v>3</v>
      </c>
      <c r="D158">
        <v>2012</v>
      </c>
      <c r="E158" s="2">
        <v>424960.66</v>
      </c>
      <c r="F158">
        <v>0</v>
      </c>
      <c r="G158" s="3">
        <v>59.33</v>
      </c>
      <c r="H158" s="2">
        <v>3.36</v>
      </c>
      <c r="I158">
        <v>223.65911370000001</v>
      </c>
      <c r="J158" s="3">
        <v>6.8330000000000002</v>
      </c>
    </row>
    <row r="159" spans="1:10" x14ac:dyDescent="0.25">
      <c r="A159">
        <v>3</v>
      </c>
      <c r="B159" s="1">
        <v>41184</v>
      </c>
      <c r="C159">
        <v>10</v>
      </c>
      <c r="D159">
        <v>2012</v>
      </c>
      <c r="E159" s="2">
        <v>473292.47</v>
      </c>
      <c r="F159">
        <v>1</v>
      </c>
      <c r="G159" s="3">
        <v>51.65</v>
      </c>
      <c r="H159" s="2">
        <v>3.4089999999999998</v>
      </c>
      <c r="I159">
        <v>223.75364300000001</v>
      </c>
      <c r="J159" s="3">
        <v>6.8330000000000002</v>
      </c>
    </row>
    <row r="160" spans="1:10" x14ac:dyDescent="0.25">
      <c r="A160">
        <v>3</v>
      </c>
      <c r="B160" s="1">
        <v>40942</v>
      </c>
      <c r="C160">
        <v>2</v>
      </c>
      <c r="D160">
        <v>2012</v>
      </c>
      <c r="E160" s="2">
        <v>469752.56</v>
      </c>
      <c r="F160">
        <v>0</v>
      </c>
      <c r="G160" s="3">
        <v>61.65</v>
      </c>
      <c r="H160" s="2">
        <v>3.63</v>
      </c>
      <c r="I160">
        <v>224.3470245</v>
      </c>
      <c r="J160" s="3">
        <v>6.8330000000000002</v>
      </c>
    </row>
    <row r="161" spans="1:10" x14ac:dyDescent="0.25">
      <c r="A161">
        <v>3</v>
      </c>
      <c r="B161" s="1">
        <v>41155</v>
      </c>
      <c r="C161">
        <v>9</v>
      </c>
      <c r="D161">
        <v>2012</v>
      </c>
      <c r="E161" s="2">
        <v>445162.05</v>
      </c>
      <c r="F161">
        <v>0</v>
      </c>
      <c r="G161" s="3">
        <v>60.71</v>
      </c>
      <c r="H161" s="2">
        <v>3.669</v>
      </c>
      <c r="I161">
        <v>224.56202909999999</v>
      </c>
      <c r="J161" s="3">
        <v>6.8330000000000002</v>
      </c>
    </row>
    <row r="162" spans="1:10" x14ac:dyDescent="0.25">
      <c r="A162">
        <v>3</v>
      </c>
      <c r="B162" s="1">
        <v>41064</v>
      </c>
      <c r="C162">
        <v>6</v>
      </c>
      <c r="D162">
        <v>2012</v>
      </c>
      <c r="E162" s="2">
        <v>503232.13</v>
      </c>
      <c r="F162">
        <v>0</v>
      </c>
      <c r="G162" s="3">
        <v>73.010000000000005</v>
      </c>
      <c r="H162" s="2">
        <v>3.891</v>
      </c>
      <c r="I162">
        <v>224.93934049999999</v>
      </c>
      <c r="J162" s="3">
        <v>6.6639999999999997</v>
      </c>
    </row>
    <row r="163" spans="1:10" x14ac:dyDescent="0.25">
      <c r="A163">
        <v>3</v>
      </c>
      <c r="B163" s="1">
        <v>41004</v>
      </c>
      <c r="C163">
        <v>4</v>
      </c>
      <c r="D163">
        <v>2012</v>
      </c>
      <c r="E163" s="2">
        <v>439913.57</v>
      </c>
      <c r="F163">
        <v>0</v>
      </c>
      <c r="G163" s="3">
        <v>79.510000000000005</v>
      </c>
      <c r="H163" s="2">
        <v>3.7490000000000001</v>
      </c>
      <c r="I163">
        <v>225.1797511</v>
      </c>
      <c r="J163" s="3">
        <v>6.6639999999999997</v>
      </c>
    </row>
    <row r="164" spans="1:10" x14ac:dyDescent="0.25">
      <c r="A164">
        <v>3</v>
      </c>
      <c r="B164" s="1">
        <v>41218</v>
      </c>
      <c r="C164">
        <v>11</v>
      </c>
      <c r="D164">
        <v>2012</v>
      </c>
      <c r="E164" s="2">
        <v>431985.36</v>
      </c>
      <c r="F164">
        <v>0</v>
      </c>
      <c r="G164" s="3">
        <v>75.19</v>
      </c>
      <c r="H164" s="2">
        <v>3.6880000000000002</v>
      </c>
      <c r="I164">
        <v>225.2351496</v>
      </c>
      <c r="J164" s="3">
        <v>6.6639999999999997</v>
      </c>
    </row>
    <row r="165" spans="1:10" x14ac:dyDescent="0.25">
      <c r="A165">
        <v>3</v>
      </c>
      <c r="B165" s="1">
        <v>40914</v>
      </c>
      <c r="C165">
        <v>1</v>
      </c>
      <c r="D165">
        <v>2012</v>
      </c>
      <c r="E165" s="2">
        <v>432268.53</v>
      </c>
      <c r="F165">
        <v>0</v>
      </c>
      <c r="G165" s="3">
        <v>81.55</v>
      </c>
      <c r="H165" s="2">
        <v>3.5009999999999999</v>
      </c>
      <c r="I165">
        <v>225.25183129999999</v>
      </c>
      <c r="J165" s="3">
        <v>6.6639999999999997</v>
      </c>
    </row>
    <row r="166" spans="1:10" x14ac:dyDescent="0.25">
      <c r="A166">
        <v>3</v>
      </c>
      <c r="B166" s="1">
        <v>41127</v>
      </c>
      <c r="C166">
        <v>8</v>
      </c>
      <c r="D166">
        <v>2012</v>
      </c>
      <c r="E166" s="2">
        <v>446336.8</v>
      </c>
      <c r="F166">
        <v>0</v>
      </c>
      <c r="G166" s="3">
        <v>81.650000000000006</v>
      </c>
      <c r="H166" s="2">
        <v>3.452</v>
      </c>
      <c r="I166">
        <v>225.25214579999999</v>
      </c>
      <c r="J166" s="3">
        <v>6.6639999999999997</v>
      </c>
    </row>
    <row r="167" spans="1:10" x14ac:dyDescent="0.25">
      <c r="A167">
        <v>3</v>
      </c>
      <c r="B167" s="1">
        <v>41067</v>
      </c>
      <c r="C167">
        <v>6</v>
      </c>
      <c r="D167">
        <v>2012</v>
      </c>
      <c r="E167" s="2">
        <v>411206.5</v>
      </c>
      <c r="F167">
        <v>0</v>
      </c>
      <c r="G167" s="3">
        <v>83.14</v>
      </c>
      <c r="H167" s="2">
        <v>3.2269999999999999</v>
      </c>
      <c r="I167">
        <v>225.39162540000001</v>
      </c>
      <c r="J167" s="3">
        <v>6.3339999999999996</v>
      </c>
    </row>
    <row r="168" spans="1:10" x14ac:dyDescent="0.25">
      <c r="A168">
        <v>3</v>
      </c>
      <c r="B168" s="1">
        <v>40976</v>
      </c>
      <c r="C168">
        <v>3</v>
      </c>
      <c r="D168">
        <v>2012</v>
      </c>
      <c r="E168" s="2">
        <v>419990.29</v>
      </c>
      <c r="F168">
        <v>0</v>
      </c>
      <c r="G168" s="3">
        <v>86.55</v>
      </c>
      <c r="H168" s="2">
        <v>3.4169999999999998</v>
      </c>
      <c r="I168">
        <v>225.4636332</v>
      </c>
      <c r="J168" s="3">
        <v>6.3339999999999996</v>
      </c>
    </row>
    <row r="169" spans="1:10" x14ac:dyDescent="0.25">
      <c r="A169">
        <v>3</v>
      </c>
      <c r="B169" s="1">
        <v>41190</v>
      </c>
      <c r="C169">
        <v>10</v>
      </c>
      <c r="D169">
        <v>2012</v>
      </c>
      <c r="E169" s="2">
        <v>391811.6</v>
      </c>
      <c r="F169">
        <v>0</v>
      </c>
      <c r="G169" s="3">
        <v>85.85</v>
      </c>
      <c r="H169" s="2">
        <v>3.4940000000000002</v>
      </c>
      <c r="I169">
        <v>225.47350850000001</v>
      </c>
      <c r="J169" s="3">
        <v>6.3339999999999996</v>
      </c>
    </row>
    <row r="170" spans="1:10" x14ac:dyDescent="0.25">
      <c r="A170">
        <v>3</v>
      </c>
      <c r="B170" s="1">
        <v>41099</v>
      </c>
      <c r="C170">
        <v>7</v>
      </c>
      <c r="D170">
        <v>2012</v>
      </c>
      <c r="E170" s="2">
        <v>408229.73</v>
      </c>
      <c r="F170">
        <v>1</v>
      </c>
      <c r="G170" s="3">
        <v>84.99</v>
      </c>
      <c r="H170" s="2">
        <v>3.73</v>
      </c>
      <c r="I170">
        <v>225.96602630000001</v>
      </c>
      <c r="J170" s="3">
        <v>6.3339999999999996</v>
      </c>
    </row>
    <row r="171" spans="1:10" x14ac:dyDescent="0.25">
      <c r="A171">
        <v>3</v>
      </c>
      <c r="B171" s="1">
        <v>41039</v>
      </c>
      <c r="C171">
        <v>5</v>
      </c>
      <c r="D171">
        <v>2012</v>
      </c>
      <c r="E171" s="2">
        <v>443557.65</v>
      </c>
      <c r="F171">
        <v>0</v>
      </c>
      <c r="G171" s="3">
        <v>72.739999999999995</v>
      </c>
      <c r="H171" s="2">
        <v>3.617</v>
      </c>
      <c r="I171">
        <v>226.72103559999999</v>
      </c>
      <c r="J171" s="3">
        <v>6.0339999999999998</v>
      </c>
    </row>
    <row r="172" spans="1:10" x14ac:dyDescent="0.25">
      <c r="A172">
        <v>3</v>
      </c>
      <c r="B172" s="1">
        <v>41253</v>
      </c>
      <c r="C172">
        <v>12</v>
      </c>
      <c r="D172">
        <v>2012</v>
      </c>
      <c r="E172" s="2">
        <v>410804.39</v>
      </c>
      <c r="F172">
        <v>0</v>
      </c>
      <c r="G172" s="3">
        <v>70.31</v>
      </c>
      <c r="H172" s="2">
        <v>3.601</v>
      </c>
      <c r="I172">
        <v>226.9239785</v>
      </c>
      <c r="J172" s="3">
        <v>6.0339999999999998</v>
      </c>
    </row>
    <row r="173" spans="1:10" x14ac:dyDescent="0.25">
      <c r="A173">
        <v>4</v>
      </c>
      <c r="B173" s="1">
        <v>40300</v>
      </c>
      <c r="C173">
        <v>5</v>
      </c>
      <c r="D173">
        <v>2010</v>
      </c>
      <c r="E173" s="2">
        <v>2135143.87</v>
      </c>
      <c r="F173">
        <v>0</v>
      </c>
      <c r="G173" s="3">
        <v>43.76</v>
      </c>
      <c r="H173" s="2">
        <v>2.5979999999999999</v>
      </c>
      <c r="I173">
        <v>126.4420645</v>
      </c>
      <c r="J173" s="3">
        <v>8.6229999999999993</v>
      </c>
    </row>
    <row r="174" spans="1:10" x14ac:dyDescent="0.25">
      <c r="A174">
        <v>4</v>
      </c>
      <c r="B174" s="1">
        <v>40514</v>
      </c>
      <c r="C174">
        <v>12</v>
      </c>
      <c r="D174">
        <v>2010</v>
      </c>
      <c r="E174" s="2">
        <v>2188307.39</v>
      </c>
      <c r="F174">
        <v>1</v>
      </c>
      <c r="G174" s="3">
        <v>28.84</v>
      </c>
      <c r="H174" s="2">
        <v>2.573</v>
      </c>
      <c r="I174">
        <v>126.49625810000001</v>
      </c>
      <c r="J174" s="3">
        <v>8.6229999999999993</v>
      </c>
    </row>
    <row r="175" spans="1:10" x14ac:dyDescent="0.25">
      <c r="A175">
        <v>4</v>
      </c>
      <c r="B175" s="1">
        <v>40301</v>
      </c>
      <c r="C175">
        <v>5</v>
      </c>
      <c r="D175">
        <v>2010</v>
      </c>
      <c r="E175" s="2">
        <v>1971057.44</v>
      </c>
      <c r="F175">
        <v>0</v>
      </c>
      <c r="G175" s="3">
        <v>43.49</v>
      </c>
      <c r="H175" s="2">
        <v>2.6539999999999999</v>
      </c>
      <c r="I175">
        <v>126.5782857</v>
      </c>
      <c r="J175" s="3">
        <v>8.6229999999999993</v>
      </c>
    </row>
    <row r="176" spans="1:10" x14ac:dyDescent="0.25">
      <c r="A176">
        <v>4</v>
      </c>
      <c r="B176" s="1">
        <v>40515</v>
      </c>
      <c r="C176">
        <v>12</v>
      </c>
      <c r="D176">
        <v>2010</v>
      </c>
      <c r="E176" s="2">
        <v>1894324.09</v>
      </c>
      <c r="F176">
        <v>0</v>
      </c>
      <c r="G176" s="3">
        <v>49.63</v>
      </c>
      <c r="H176" s="2">
        <v>2.7040000000000002</v>
      </c>
      <c r="I176">
        <v>126.60428570000001</v>
      </c>
      <c r="J176" s="3">
        <v>8.6229999999999993</v>
      </c>
    </row>
    <row r="177" spans="1:10" x14ac:dyDescent="0.25">
      <c r="A177">
        <v>4</v>
      </c>
      <c r="B177" s="1">
        <v>40213</v>
      </c>
      <c r="C177">
        <v>2</v>
      </c>
      <c r="D177">
        <v>2010</v>
      </c>
      <c r="E177" s="2">
        <v>1979247.12</v>
      </c>
      <c r="F177">
        <v>0</v>
      </c>
      <c r="G177" s="3">
        <v>48.77</v>
      </c>
      <c r="H177" s="2">
        <v>2.74</v>
      </c>
      <c r="I177">
        <v>126.6034839</v>
      </c>
      <c r="J177" s="3">
        <v>7.8959999999999999</v>
      </c>
    </row>
    <row r="178" spans="1:10" x14ac:dyDescent="0.25">
      <c r="A178">
        <v>4</v>
      </c>
      <c r="B178" s="1">
        <v>40425</v>
      </c>
      <c r="C178">
        <v>9</v>
      </c>
      <c r="D178">
        <v>2010</v>
      </c>
      <c r="E178" s="2">
        <v>1818452.72</v>
      </c>
      <c r="F178">
        <v>0</v>
      </c>
      <c r="G178" s="3">
        <v>54.16</v>
      </c>
      <c r="H178" s="2">
        <v>2.7730000000000001</v>
      </c>
      <c r="I178">
        <v>126.6019032</v>
      </c>
      <c r="J178" s="3">
        <v>7.8959999999999999</v>
      </c>
    </row>
    <row r="179" spans="1:10" x14ac:dyDescent="0.25">
      <c r="A179">
        <v>4</v>
      </c>
      <c r="B179" s="1">
        <v>40364</v>
      </c>
      <c r="C179">
        <v>7</v>
      </c>
      <c r="D179">
        <v>2010</v>
      </c>
      <c r="E179" s="2">
        <v>2000626.14</v>
      </c>
      <c r="F179">
        <v>0</v>
      </c>
      <c r="G179" s="3">
        <v>56.77</v>
      </c>
      <c r="H179" s="2">
        <v>2.8359999999999999</v>
      </c>
      <c r="I179">
        <v>126.2898</v>
      </c>
      <c r="J179" s="3">
        <v>7.8959999999999999</v>
      </c>
    </row>
    <row r="180" spans="1:10" x14ac:dyDescent="0.25">
      <c r="A180">
        <v>4</v>
      </c>
      <c r="B180" s="1">
        <v>40274</v>
      </c>
      <c r="C180">
        <v>4</v>
      </c>
      <c r="D180">
        <v>2010</v>
      </c>
      <c r="E180" s="2">
        <v>1903290.58</v>
      </c>
      <c r="F180">
        <v>0</v>
      </c>
      <c r="G180" s="3">
        <v>70.83</v>
      </c>
      <c r="H180" s="2">
        <v>2.7010000000000001</v>
      </c>
      <c r="I180">
        <v>126.1360645</v>
      </c>
      <c r="J180" s="3">
        <v>7.8959999999999999</v>
      </c>
    </row>
    <row r="181" spans="1:10" x14ac:dyDescent="0.25">
      <c r="A181">
        <v>4</v>
      </c>
      <c r="B181" s="1">
        <v>40488</v>
      </c>
      <c r="C181">
        <v>11</v>
      </c>
      <c r="D181">
        <v>2010</v>
      </c>
      <c r="E181" s="2">
        <v>1870619.23</v>
      </c>
      <c r="F181">
        <v>0</v>
      </c>
      <c r="G181" s="3">
        <v>78.45</v>
      </c>
      <c r="H181" s="2">
        <v>2.6680000000000001</v>
      </c>
      <c r="I181">
        <v>126.1119032</v>
      </c>
      <c r="J181" s="3">
        <v>7.8959999999999999</v>
      </c>
    </row>
    <row r="182" spans="1:10" x14ac:dyDescent="0.25">
      <c r="A182">
        <v>4</v>
      </c>
      <c r="B182" s="1">
        <v>40216</v>
      </c>
      <c r="C182">
        <v>2</v>
      </c>
      <c r="D182">
        <v>2010</v>
      </c>
      <c r="E182" s="2">
        <v>1881337.21</v>
      </c>
      <c r="F182">
        <v>0</v>
      </c>
      <c r="G182" s="3">
        <v>73.66</v>
      </c>
      <c r="H182" s="2">
        <v>2.6680000000000001</v>
      </c>
      <c r="I182">
        <v>126.1392</v>
      </c>
      <c r="J182" s="3">
        <v>7.3719999999999999</v>
      </c>
    </row>
    <row r="183" spans="1:10" x14ac:dyDescent="0.25">
      <c r="A183">
        <v>4</v>
      </c>
      <c r="B183" s="1">
        <v>40428</v>
      </c>
      <c r="C183">
        <v>9</v>
      </c>
      <c r="D183">
        <v>2010</v>
      </c>
      <c r="E183" s="2">
        <v>1812208.22</v>
      </c>
      <c r="F183">
        <v>0</v>
      </c>
      <c r="G183" s="3">
        <v>80.349999999999994</v>
      </c>
      <c r="H183" s="2">
        <v>2.637</v>
      </c>
      <c r="I183">
        <v>126.15179999999999</v>
      </c>
      <c r="J183" s="3">
        <v>7.3719999999999999</v>
      </c>
    </row>
    <row r="184" spans="1:10" x14ac:dyDescent="0.25">
      <c r="A184">
        <v>4</v>
      </c>
      <c r="B184" s="1">
        <v>40337</v>
      </c>
      <c r="C184">
        <v>6</v>
      </c>
      <c r="D184">
        <v>2010</v>
      </c>
      <c r="E184" s="2">
        <v>1907638.58</v>
      </c>
      <c r="F184">
        <v>0</v>
      </c>
      <c r="G184" s="3">
        <v>76.53</v>
      </c>
      <c r="H184" s="2">
        <v>2.64</v>
      </c>
      <c r="I184">
        <v>126.0854516</v>
      </c>
      <c r="J184" s="3">
        <v>7.3719999999999999</v>
      </c>
    </row>
    <row r="185" spans="1:10" x14ac:dyDescent="0.25">
      <c r="A185">
        <v>4</v>
      </c>
      <c r="B185" s="1">
        <v>40246</v>
      </c>
      <c r="C185">
        <v>3</v>
      </c>
      <c r="D185">
        <v>2010</v>
      </c>
      <c r="E185" s="2">
        <v>1935857.58</v>
      </c>
      <c r="F185">
        <v>0</v>
      </c>
      <c r="G185" s="3">
        <v>76.8</v>
      </c>
      <c r="H185" s="2">
        <v>2.5840000000000001</v>
      </c>
      <c r="I185">
        <v>126.1019355</v>
      </c>
      <c r="J185" s="3">
        <v>7.3719999999999999</v>
      </c>
    </row>
    <row r="186" spans="1:10" x14ac:dyDescent="0.25">
      <c r="A186">
        <v>4</v>
      </c>
      <c r="B186" s="1">
        <v>40460</v>
      </c>
      <c r="C186">
        <v>10</v>
      </c>
      <c r="D186">
        <v>2010</v>
      </c>
      <c r="E186" s="2">
        <v>1865820.81</v>
      </c>
      <c r="F186">
        <v>1</v>
      </c>
      <c r="G186" s="3">
        <v>73.540000000000006</v>
      </c>
      <c r="H186" s="2">
        <v>2.5739999999999998</v>
      </c>
      <c r="I186">
        <v>126.1145806</v>
      </c>
      <c r="J186" s="3">
        <v>7.3719999999999999</v>
      </c>
    </row>
    <row r="187" spans="1:10" x14ac:dyDescent="0.25">
      <c r="A187">
        <v>4</v>
      </c>
      <c r="B187" s="1">
        <v>40188</v>
      </c>
      <c r="C187">
        <v>1</v>
      </c>
      <c r="D187">
        <v>2010</v>
      </c>
      <c r="E187" s="2">
        <v>1842821.02</v>
      </c>
      <c r="F187">
        <v>0</v>
      </c>
      <c r="G187" s="3">
        <v>63.96</v>
      </c>
      <c r="H187" s="2">
        <v>2.6190000000000002</v>
      </c>
      <c r="I187">
        <v>126.2346</v>
      </c>
      <c r="J187" s="3">
        <v>7.1269999999999998</v>
      </c>
    </row>
    <row r="188" spans="1:10" x14ac:dyDescent="0.25">
      <c r="A188">
        <v>4</v>
      </c>
      <c r="B188" s="1">
        <v>40400</v>
      </c>
      <c r="C188">
        <v>8</v>
      </c>
      <c r="D188">
        <v>2010</v>
      </c>
      <c r="E188" s="2">
        <v>1951494.85</v>
      </c>
      <c r="F188">
        <v>0</v>
      </c>
      <c r="G188" s="3">
        <v>67.73</v>
      </c>
      <c r="H188" s="2">
        <v>2.645</v>
      </c>
      <c r="I188">
        <v>126.2791667</v>
      </c>
      <c r="J188" s="3">
        <v>7.1269999999999998</v>
      </c>
    </row>
    <row r="189" spans="1:10" x14ac:dyDescent="0.25">
      <c r="A189">
        <v>4</v>
      </c>
      <c r="B189" s="1">
        <v>40309</v>
      </c>
      <c r="C189">
        <v>5</v>
      </c>
      <c r="D189">
        <v>2010</v>
      </c>
      <c r="E189" s="2">
        <v>2013115.79</v>
      </c>
      <c r="F189">
        <v>0</v>
      </c>
      <c r="G189" s="3">
        <v>51.6</v>
      </c>
      <c r="H189" s="2">
        <v>2.6989999999999998</v>
      </c>
      <c r="I189">
        <v>126.4912903</v>
      </c>
      <c r="J189" s="3">
        <v>7.1269999999999998</v>
      </c>
    </row>
    <row r="190" spans="1:10" x14ac:dyDescent="0.25">
      <c r="A190">
        <v>4</v>
      </c>
      <c r="B190" s="1">
        <v>40523</v>
      </c>
      <c r="C190">
        <v>12</v>
      </c>
      <c r="D190">
        <v>2010</v>
      </c>
      <c r="E190" s="2">
        <v>1999794.26</v>
      </c>
      <c r="F190">
        <v>0</v>
      </c>
      <c r="G190" s="3">
        <v>52.65</v>
      </c>
      <c r="H190" s="2">
        <v>2.7410000000000001</v>
      </c>
      <c r="I190">
        <v>126.54616129999999</v>
      </c>
      <c r="J190" s="3">
        <v>7.1269999999999998</v>
      </c>
    </row>
    <row r="191" spans="1:10" x14ac:dyDescent="0.25">
      <c r="A191">
        <v>4</v>
      </c>
      <c r="B191" s="1">
        <v>40249</v>
      </c>
      <c r="C191">
        <v>3</v>
      </c>
      <c r="D191">
        <v>2010</v>
      </c>
      <c r="E191" s="2">
        <v>2102530.17</v>
      </c>
      <c r="F191">
        <v>0</v>
      </c>
      <c r="G191" s="3">
        <v>46.4</v>
      </c>
      <c r="H191" s="2">
        <v>2.7269999999999999</v>
      </c>
      <c r="I191">
        <v>126.7313333</v>
      </c>
      <c r="J191" s="3">
        <v>7.1269999999999998</v>
      </c>
    </row>
    <row r="192" spans="1:10" x14ac:dyDescent="0.25">
      <c r="A192">
        <v>4</v>
      </c>
      <c r="B192" s="1">
        <v>40463</v>
      </c>
      <c r="C192">
        <v>10</v>
      </c>
      <c r="D192">
        <v>2010</v>
      </c>
      <c r="E192" s="2">
        <v>2302504.86</v>
      </c>
      <c r="F192">
        <v>0</v>
      </c>
      <c r="G192" s="3">
        <v>42.4</v>
      </c>
      <c r="H192" s="2">
        <v>2.86</v>
      </c>
      <c r="I192">
        <v>126.79340000000001</v>
      </c>
      <c r="J192" s="3">
        <v>7.1269999999999998</v>
      </c>
    </row>
    <row r="193" spans="1:10" x14ac:dyDescent="0.25">
      <c r="A193">
        <v>4</v>
      </c>
      <c r="B193" s="1">
        <v>40725</v>
      </c>
      <c r="C193">
        <v>7</v>
      </c>
      <c r="D193">
        <v>2011</v>
      </c>
      <c r="E193" s="2">
        <v>1862476.27</v>
      </c>
      <c r="F193">
        <v>0</v>
      </c>
      <c r="G193" s="3">
        <v>39.340000000000003</v>
      </c>
      <c r="H193" s="2">
        <v>2.98</v>
      </c>
      <c r="I193">
        <v>127.1917742</v>
      </c>
      <c r="J193" s="3">
        <v>6.51</v>
      </c>
    </row>
    <row r="194" spans="1:10" x14ac:dyDescent="0.25">
      <c r="A194">
        <v>4</v>
      </c>
      <c r="B194" s="1">
        <v>40635</v>
      </c>
      <c r="C194">
        <v>4</v>
      </c>
      <c r="D194">
        <v>2011</v>
      </c>
      <c r="E194" s="2">
        <v>2119086.04</v>
      </c>
      <c r="F194">
        <v>0</v>
      </c>
      <c r="G194" s="3">
        <v>34.61</v>
      </c>
      <c r="H194" s="2">
        <v>2.996</v>
      </c>
      <c r="I194">
        <v>127.7195806</v>
      </c>
      <c r="J194" s="3">
        <v>6.51</v>
      </c>
    </row>
    <row r="195" spans="1:10" x14ac:dyDescent="0.25">
      <c r="A195">
        <v>4</v>
      </c>
      <c r="B195" s="1">
        <v>40849</v>
      </c>
      <c r="C195">
        <v>11</v>
      </c>
      <c r="D195">
        <v>2011</v>
      </c>
      <c r="E195" s="2">
        <v>2187847.29</v>
      </c>
      <c r="F195">
        <v>1</v>
      </c>
      <c r="G195" s="3">
        <v>33.29</v>
      </c>
      <c r="H195" s="2">
        <v>3.0329999999999999</v>
      </c>
      <c r="I195">
        <v>127.859129</v>
      </c>
      <c r="J195" s="3">
        <v>6.51</v>
      </c>
    </row>
    <row r="196" spans="1:10" x14ac:dyDescent="0.25">
      <c r="A196">
        <v>4</v>
      </c>
      <c r="B196" s="1">
        <v>40636</v>
      </c>
      <c r="C196">
        <v>4</v>
      </c>
      <c r="D196">
        <v>2011</v>
      </c>
      <c r="E196" s="2">
        <v>2103455.75</v>
      </c>
      <c r="F196">
        <v>0</v>
      </c>
      <c r="G196" s="3">
        <v>46.56</v>
      </c>
      <c r="H196" s="2">
        <v>3.3050000000000002</v>
      </c>
      <c r="I196">
        <v>128.26474999999999</v>
      </c>
      <c r="J196" s="3">
        <v>6.51</v>
      </c>
    </row>
    <row r="197" spans="1:10" x14ac:dyDescent="0.25">
      <c r="A197">
        <v>4</v>
      </c>
      <c r="B197" s="1">
        <v>40850</v>
      </c>
      <c r="C197">
        <v>11</v>
      </c>
      <c r="D197">
        <v>2011</v>
      </c>
      <c r="E197" s="2">
        <v>2039818.41</v>
      </c>
      <c r="F197">
        <v>0</v>
      </c>
      <c r="G197" s="3">
        <v>50.93</v>
      </c>
      <c r="H197" s="2">
        <v>3.4609999999999999</v>
      </c>
      <c r="I197">
        <v>128.39949999999999</v>
      </c>
      <c r="J197" s="3">
        <v>6.51</v>
      </c>
    </row>
    <row r="198" spans="1:10" x14ac:dyDescent="0.25">
      <c r="A198">
        <v>4</v>
      </c>
      <c r="B198" s="1">
        <v>40547</v>
      </c>
      <c r="C198">
        <v>1</v>
      </c>
      <c r="D198">
        <v>2011</v>
      </c>
      <c r="E198" s="2">
        <v>1900246.47</v>
      </c>
      <c r="F198">
        <v>0</v>
      </c>
      <c r="G198" s="3">
        <v>56.99</v>
      </c>
      <c r="H198" s="2">
        <v>3.5209999999999999</v>
      </c>
      <c r="I198">
        <v>128.71993549999999</v>
      </c>
      <c r="J198" s="3">
        <v>5.9459999999999997</v>
      </c>
    </row>
    <row r="199" spans="1:10" x14ac:dyDescent="0.25">
      <c r="A199">
        <v>4</v>
      </c>
      <c r="B199" s="1">
        <v>40759</v>
      </c>
      <c r="C199">
        <v>8</v>
      </c>
      <c r="D199">
        <v>2011</v>
      </c>
      <c r="E199" s="2">
        <v>2074953.46</v>
      </c>
      <c r="F199">
        <v>0</v>
      </c>
      <c r="G199" s="3">
        <v>62.61</v>
      </c>
      <c r="H199" s="2">
        <v>3.605</v>
      </c>
      <c r="I199">
        <v>128.82380649999999</v>
      </c>
      <c r="J199" s="3">
        <v>5.9459999999999997</v>
      </c>
    </row>
    <row r="200" spans="1:10" x14ac:dyDescent="0.25">
      <c r="A200">
        <v>4</v>
      </c>
      <c r="B200" s="1">
        <v>40699</v>
      </c>
      <c r="C200">
        <v>6</v>
      </c>
      <c r="D200">
        <v>2011</v>
      </c>
      <c r="E200" s="2">
        <v>2063682.76</v>
      </c>
      <c r="F200">
        <v>0</v>
      </c>
      <c r="G200" s="3">
        <v>63.41</v>
      </c>
      <c r="H200" s="2">
        <v>3.8660000000000001</v>
      </c>
      <c r="I200">
        <v>129.04443330000001</v>
      </c>
      <c r="J200" s="3">
        <v>5.9459999999999997</v>
      </c>
    </row>
    <row r="201" spans="1:10" x14ac:dyDescent="0.25">
      <c r="A201">
        <v>4</v>
      </c>
      <c r="B201" s="1">
        <v>40608</v>
      </c>
      <c r="C201">
        <v>3</v>
      </c>
      <c r="D201">
        <v>2011</v>
      </c>
      <c r="E201" s="2">
        <v>2065377.15</v>
      </c>
      <c r="F201">
        <v>0</v>
      </c>
      <c r="G201" s="3">
        <v>78.260000000000005</v>
      </c>
      <c r="H201" s="2">
        <v>3.6829999999999998</v>
      </c>
      <c r="I201">
        <v>129.04903229999999</v>
      </c>
      <c r="J201" s="3">
        <v>5.9459999999999997</v>
      </c>
    </row>
    <row r="202" spans="1:10" x14ac:dyDescent="0.25">
      <c r="A202">
        <v>4</v>
      </c>
      <c r="B202" s="1">
        <v>40822</v>
      </c>
      <c r="C202">
        <v>10</v>
      </c>
      <c r="D202">
        <v>2011</v>
      </c>
      <c r="E202" s="2">
        <v>2073951.38</v>
      </c>
      <c r="F202">
        <v>0</v>
      </c>
      <c r="G202" s="3">
        <v>80.05</v>
      </c>
      <c r="H202" s="2">
        <v>3.64</v>
      </c>
      <c r="I202">
        <v>129.03570970000001</v>
      </c>
      <c r="J202" s="3">
        <v>5.9459999999999997</v>
      </c>
    </row>
    <row r="203" spans="1:10" x14ac:dyDescent="0.25">
      <c r="A203">
        <v>4</v>
      </c>
      <c r="B203" s="1">
        <v>40550</v>
      </c>
      <c r="C203">
        <v>1</v>
      </c>
      <c r="D203">
        <v>2011</v>
      </c>
      <c r="E203" s="2">
        <v>2051533.53</v>
      </c>
      <c r="F203">
        <v>0</v>
      </c>
      <c r="G203" s="3">
        <v>84.54</v>
      </c>
      <c r="H203" s="2">
        <v>3.504</v>
      </c>
      <c r="I203">
        <v>129.08940000000001</v>
      </c>
      <c r="J203" s="3">
        <v>5.6440000000000001</v>
      </c>
    </row>
    <row r="204" spans="1:10" x14ac:dyDescent="0.25">
      <c r="A204">
        <v>4</v>
      </c>
      <c r="B204" s="1">
        <v>40762</v>
      </c>
      <c r="C204">
        <v>8</v>
      </c>
      <c r="D204">
        <v>2011</v>
      </c>
      <c r="E204" s="2">
        <v>2066541.86</v>
      </c>
      <c r="F204">
        <v>0</v>
      </c>
      <c r="G204" s="3">
        <v>84.59</v>
      </c>
      <c r="H204" s="2">
        <v>3.4689999999999999</v>
      </c>
      <c r="I204">
        <v>129.11250000000001</v>
      </c>
      <c r="J204" s="3">
        <v>5.6440000000000001</v>
      </c>
    </row>
    <row r="205" spans="1:10" x14ac:dyDescent="0.25">
      <c r="A205">
        <v>4</v>
      </c>
      <c r="B205" s="1">
        <v>40671</v>
      </c>
      <c r="C205">
        <v>5</v>
      </c>
      <c r="D205">
        <v>2011</v>
      </c>
      <c r="E205" s="2">
        <v>2160057.39</v>
      </c>
      <c r="F205">
        <v>0</v>
      </c>
      <c r="G205" s="3">
        <v>86.09</v>
      </c>
      <c r="H205" s="2">
        <v>3.6619999999999999</v>
      </c>
      <c r="I205">
        <v>129.18464520000001</v>
      </c>
      <c r="J205" s="3">
        <v>5.6440000000000001</v>
      </c>
    </row>
    <row r="206" spans="1:10" x14ac:dyDescent="0.25">
      <c r="A206">
        <v>4</v>
      </c>
      <c r="B206" s="1">
        <v>40885</v>
      </c>
      <c r="C206">
        <v>12</v>
      </c>
      <c r="D206">
        <v>2011</v>
      </c>
      <c r="E206" s="2">
        <v>2105668.7400000002</v>
      </c>
      <c r="F206">
        <v>0</v>
      </c>
      <c r="G206" s="3">
        <v>82.98</v>
      </c>
      <c r="H206" s="2">
        <v>3.617</v>
      </c>
      <c r="I206">
        <v>129.2015806</v>
      </c>
      <c r="J206" s="3">
        <v>5.6440000000000001</v>
      </c>
    </row>
    <row r="207" spans="1:10" x14ac:dyDescent="0.25">
      <c r="A207">
        <v>4</v>
      </c>
      <c r="B207" s="1">
        <v>40583</v>
      </c>
      <c r="C207">
        <v>2</v>
      </c>
      <c r="D207">
        <v>2011</v>
      </c>
      <c r="E207" s="2">
        <v>2078420.31</v>
      </c>
      <c r="F207">
        <v>0</v>
      </c>
      <c r="G207" s="3">
        <v>77.989999999999995</v>
      </c>
      <c r="H207" s="2">
        <v>3.5329999999999999</v>
      </c>
      <c r="I207">
        <v>129.32593550000001</v>
      </c>
      <c r="J207" s="3">
        <v>5.6440000000000001</v>
      </c>
    </row>
    <row r="208" spans="1:10" x14ac:dyDescent="0.25">
      <c r="A208">
        <v>4</v>
      </c>
      <c r="B208" s="1">
        <v>40795</v>
      </c>
      <c r="C208">
        <v>9</v>
      </c>
      <c r="D208">
        <v>2011</v>
      </c>
      <c r="E208" s="2">
        <v>2093139.01</v>
      </c>
      <c r="F208">
        <v>1</v>
      </c>
      <c r="G208" s="3">
        <v>73.34</v>
      </c>
      <c r="H208" s="2">
        <v>3.5539999999999998</v>
      </c>
      <c r="I208">
        <v>129.36861289999999</v>
      </c>
      <c r="J208" s="3">
        <v>5.6440000000000001</v>
      </c>
    </row>
    <row r="209" spans="1:10" x14ac:dyDescent="0.25">
      <c r="A209">
        <v>4</v>
      </c>
      <c r="B209" s="1">
        <v>40734</v>
      </c>
      <c r="C209">
        <v>7</v>
      </c>
      <c r="D209">
        <v>2011</v>
      </c>
      <c r="E209" s="2">
        <v>2166737.65</v>
      </c>
      <c r="F209">
        <v>0</v>
      </c>
      <c r="G209" s="3">
        <v>65.790000000000006</v>
      </c>
      <c r="H209" s="2">
        <v>3.2989999999999999</v>
      </c>
      <c r="I209">
        <v>129.69380000000001</v>
      </c>
      <c r="J209" s="3">
        <v>5.1429999999999998</v>
      </c>
    </row>
    <row r="210" spans="1:10" x14ac:dyDescent="0.25">
      <c r="A210">
        <v>4</v>
      </c>
      <c r="B210" s="1">
        <v>40644</v>
      </c>
      <c r="C210">
        <v>4</v>
      </c>
      <c r="D210">
        <v>2011</v>
      </c>
      <c r="E210" s="2">
        <v>2281217.31</v>
      </c>
      <c r="F210">
        <v>0</v>
      </c>
      <c r="G210" s="3">
        <v>49.86</v>
      </c>
      <c r="H210" s="2">
        <v>3.3220000000000001</v>
      </c>
      <c r="I210">
        <v>129.8051935</v>
      </c>
      <c r="J210" s="3">
        <v>5.1429999999999998</v>
      </c>
    </row>
    <row r="211" spans="1:10" x14ac:dyDescent="0.25">
      <c r="A211">
        <v>4</v>
      </c>
      <c r="B211" s="1">
        <v>40858</v>
      </c>
      <c r="C211">
        <v>11</v>
      </c>
      <c r="D211">
        <v>2011</v>
      </c>
      <c r="E211" s="2">
        <v>2203028.96</v>
      </c>
      <c r="F211">
        <v>0</v>
      </c>
      <c r="G211" s="3">
        <v>47.12</v>
      </c>
      <c r="H211" s="2">
        <v>3.286</v>
      </c>
      <c r="I211">
        <v>129.81670969999999</v>
      </c>
      <c r="J211" s="3">
        <v>5.1429999999999998</v>
      </c>
    </row>
    <row r="212" spans="1:10" x14ac:dyDescent="0.25">
      <c r="A212">
        <v>4</v>
      </c>
      <c r="B212" s="1">
        <v>40586</v>
      </c>
      <c r="C212">
        <v>2</v>
      </c>
      <c r="D212">
        <v>2011</v>
      </c>
      <c r="E212" s="2">
        <v>2180999.2599999998</v>
      </c>
      <c r="F212">
        <v>0</v>
      </c>
      <c r="G212" s="3">
        <v>38.71</v>
      </c>
      <c r="H212" s="2">
        <v>3.1760000000000002</v>
      </c>
      <c r="I212">
        <v>129.84596669999999</v>
      </c>
      <c r="J212" s="3">
        <v>5.1429999999999998</v>
      </c>
    </row>
    <row r="213" spans="1:10" x14ac:dyDescent="0.25">
      <c r="A213">
        <v>4</v>
      </c>
      <c r="B213" s="1">
        <v>40798</v>
      </c>
      <c r="C213">
        <v>9</v>
      </c>
      <c r="D213">
        <v>2011</v>
      </c>
      <c r="E213" s="2">
        <v>2508955.2400000002</v>
      </c>
      <c r="F213">
        <v>0</v>
      </c>
      <c r="G213" s="3">
        <v>31.64</v>
      </c>
      <c r="H213" s="2">
        <v>3.153</v>
      </c>
      <c r="I213">
        <v>129.85553329999999</v>
      </c>
      <c r="J213" s="3">
        <v>5.1429999999999998</v>
      </c>
    </row>
    <row r="214" spans="1:10" x14ac:dyDescent="0.25">
      <c r="A214">
        <v>4</v>
      </c>
      <c r="B214" s="1">
        <v>41061</v>
      </c>
      <c r="C214">
        <v>6</v>
      </c>
      <c r="D214">
        <v>2012</v>
      </c>
      <c r="E214" s="2">
        <v>2047766.07</v>
      </c>
      <c r="F214">
        <v>0</v>
      </c>
      <c r="G214" s="3">
        <v>38.64</v>
      </c>
      <c r="H214" s="2">
        <v>3.1579999999999999</v>
      </c>
      <c r="I214">
        <v>130.15751610000001</v>
      </c>
      <c r="J214" s="3">
        <v>4.6070000000000002</v>
      </c>
    </row>
    <row r="215" spans="1:10" x14ac:dyDescent="0.25">
      <c r="A215">
        <v>4</v>
      </c>
      <c r="B215" s="1">
        <v>40970</v>
      </c>
      <c r="C215">
        <v>3</v>
      </c>
      <c r="D215">
        <v>2012</v>
      </c>
      <c r="E215" s="2">
        <v>2173373.91</v>
      </c>
      <c r="F215">
        <v>0</v>
      </c>
      <c r="G215" s="3">
        <v>41.81</v>
      </c>
      <c r="H215" s="2">
        <v>3.3540000000000001</v>
      </c>
      <c r="I215">
        <v>130.34967739999999</v>
      </c>
      <c r="J215" s="3">
        <v>4.6070000000000002</v>
      </c>
    </row>
    <row r="216" spans="1:10" x14ac:dyDescent="0.25">
      <c r="A216">
        <v>4</v>
      </c>
      <c r="B216" s="1">
        <v>41184</v>
      </c>
      <c r="C216">
        <v>10</v>
      </c>
      <c r="D216">
        <v>2012</v>
      </c>
      <c r="E216" s="2">
        <v>2374660.64</v>
      </c>
      <c r="F216">
        <v>1</v>
      </c>
      <c r="G216" s="3">
        <v>33</v>
      </c>
      <c r="H216" s="2">
        <v>3.411</v>
      </c>
      <c r="I216">
        <v>130.3849032</v>
      </c>
      <c r="J216" s="3">
        <v>4.6070000000000002</v>
      </c>
    </row>
    <row r="217" spans="1:10" x14ac:dyDescent="0.25">
      <c r="A217">
        <v>4</v>
      </c>
      <c r="B217" s="1">
        <v>40942</v>
      </c>
      <c r="C217">
        <v>2</v>
      </c>
      <c r="D217">
        <v>2012</v>
      </c>
      <c r="E217" s="2">
        <v>2206319.9</v>
      </c>
      <c r="F217">
        <v>0</v>
      </c>
      <c r="G217" s="3">
        <v>50.38</v>
      </c>
      <c r="H217" s="2">
        <v>3.6190000000000002</v>
      </c>
      <c r="I217">
        <v>130.64579309999999</v>
      </c>
      <c r="J217" s="3">
        <v>4.6070000000000002</v>
      </c>
    </row>
    <row r="218" spans="1:10" x14ac:dyDescent="0.25">
      <c r="A218">
        <v>4</v>
      </c>
      <c r="B218" s="1">
        <v>41155</v>
      </c>
      <c r="C218">
        <v>9</v>
      </c>
      <c r="D218">
        <v>2012</v>
      </c>
      <c r="E218" s="2">
        <v>2202450.81</v>
      </c>
      <c r="F218">
        <v>0</v>
      </c>
      <c r="G218" s="3">
        <v>53.63</v>
      </c>
      <c r="H218" s="2">
        <v>3.6669999999999998</v>
      </c>
      <c r="I218">
        <v>130.74137930000001</v>
      </c>
      <c r="J218" s="3">
        <v>4.6070000000000002</v>
      </c>
    </row>
    <row r="219" spans="1:10" x14ac:dyDescent="0.25">
      <c r="A219">
        <v>4</v>
      </c>
      <c r="B219" s="1">
        <v>41064</v>
      </c>
      <c r="C219">
        <v>6</v>
      </c>
      <c r="D219">
        <v>2012</v>
      </c>
      <c r="E219" s="2">
        <v>2470206.13</v>
      </c>
      <c r="F219">
        <v>0</v>
      </c>
      <c r="G219" s="3">
        <v>67.69</v>
      </c>
      <c r="H219" s="2">
        <v>3.8639999999999999</v>
      </c>
      <c r="I219">
        <v>131.03754839999999</v>
      </c>
      <c r="J219" s="3">
        <v>4.3079999999999998</v>
      </c>
    </row>
    <row r="220" spans="1:10" x14ac:dyDescent="0.25">
      <c r="A220">
        <v>4</v>
      </c>
      <c r="B220" s="1">
        <v>41004</v>
      </c>
      <c r="C220">
        <v>4</v>
      </c>
      <c r="D220">
        <v>2012</v>
      </c>
      <c r="E220" s="2">
        <v>2196968.33</v>
      </c>
      <c r="F220">
        <v>0</v>
      </c>
      <c r="G220" s="3">
        <v>80.14</v>
      </c>
      <c r="H220" s="2">
        <v>3.7469999999999999</v>
      </c>
      <c r="I220">
        <v>131.136</v>
      </c>
      <c r="J220" s="3">
        <v>4.3079999999999998</v>
      </c>
    </row>
    <row r="221" spans="1:10" x14ac:dyDescent="0.25">
      <c r="A221">
        <v>4</v>
      </c>
      <c r="B221" s="1">
        <v>41218</v>
      </c>
      <c r="C221">
        <v>11</v>
      </c>
      <c r="D221">
        <v>2012</v>
      </c>
      <c r="E221" s="2">
        <v>2127661.17</v>
      </c>
      <c r="F221">
        <v>0</v>
      </c>
      <c r="G221" s="3">
        <v>67.64</v>
      </c>
      <c r="H221" s="2">
        <v>3.6850000000000001</v>
      </c>
      <c r="I221">
        <v>131.1453333</v>
      </c>
      <c r="J221" s="3">
        <v>4.3079999999999998</v>
      </c>
    </row>
    <row r="222" spans="1:10" x14ac:dyDescent="0.25">
      <c r="A222">
        <v>4</v>
      </c>
      <c r="B222" s="1">
        <v>40914</v>
      </c>
      <c r="C222">
        <v>1</v>
      </c>
      <c r="D222">
        <v>2012</v>
      </c>
      <c r="E222" s="2">
        <v>2179360.94</v>
      </c>
      <c r="F222">
        <v>0</v>
      </c>
      <c r="G222" s="3">
        <v>77.41</v>
      </c>
      <c r="H222" s="2">
        <v>3.4830000000000001</v>
      </c>
      <c r="I222">
        <v>130.95922580000001</v>
      </c>
      <c r="J222" s="3">
        <v>4.3079999999999998</v>
      </c>
    </row>
    <row r="223" spans="1:10" x14ac:dyDescent="0.25">
      <c r="A223">
        <v>4</v>
      </c>
      <c r="B223" s="1">
        <v>41127</v>
      </c>
      <c r="C223">
        <v>8</v>
      </c>
      <c r="D223">
        <v>2012</v>
      </c>
      <c r="E223" s="2">
        <v>2245257.1800000002</v>
      </c>
      <c r="F223">
        <v>0</v>
      </c>
      <c r="G223" s="3">
        <v>78.11</v>
      </c>
      <c r="H223" s="2">
        <v>3.4329999999999998</v>
      </c>
      <c r="I223">
        <v>130.88967740000001</v>
      </c>
      <c r="J223" s="3">
        <v>4.3079999999999998</v>
      </c>
    </row>
    <row r="224" spans="1:10" x14ac:dyDescent="0.25">
      <c r="A224">
        <v>4</v>
      </c>
      <c r="B224" s="1">
        <v>41067</v>
      </c>
      <c r="C224">
        <v>6</v>
      </c>
      <c r="D224">
        <v>2012</v>
      </c>
      <c r="E224" s="2">
        <v>2224499.2799999998</v>
      </c>
      <c r="F224">
        <v>0</v>
      </c>
      <c r="G224" s="3">
        <v>80.37</v>
      </c>
      <c r="H224" s="2">
        <v>3.1869999999999998</v>
      </c>
      <c r="I224">
        <v>130.7196333</v>
      </c>
      <c r="J224" s="3">
        <v>4.077</v>
      </c>
    </row>
    <row r="225" spans="1:10" x14ac:dyDescent="0.25">
      <c r="A225">
        <v>4</v>
      </c>
      <c r="B225" s="1">
        <v>40976</v>
      </c>
      <c r="C225">
        <v>3</v>
      </c>
      <c r="D225">
        <v>2012</v>
      </c>
      <c r="E225" s="2">
        <v>2174514.13</v>
      </c>
      <c r="F225">
        <v>0</v>
      </c>
      <c r="G225" s="3">
        <v>83.86</v>
      </c>
      <c r="H225" s="2">
        <v>3.3740000000000001</v>
      </c>
      <c r="I225">
        <v>130.73787100000001</v>
      </c>
      <c r="J225" s="3">
        <v>4.077</v>
      </c>
    </row>
    <row r="226" spans="1:10" x14ac:dyDescent="0.25">
      <c r="A226">
        <v>4</v>
      </c>
      <c r="B226" s="1">
        <v>41190</v>
      </c>
      <c r="C226">
        <v>10</v>
      </c>
      <c r="D226">
        <v>2012</v>
      </c>
      <c r="E226" s="2">
        <v>2193367.69</v>
      </c>
      <c r="F226">
        <v>0</v>
      </c>
      <c r="G226" s="3">
        <v>83.21</v>
      </c>
      <c r="H226" s="2">
        <v>3.476</v>
      </c>
      <c r="I226">
        <v>130.7561613</v>
      </c>
      <c r="J226" s="3">
        <v>4.077</v>
      </c>
    </row>
    <row r="227" spans="1:10" x14ac:dyDescent="0.25">
      <c r="A227">
        <v>4</v>
      </c>
      <c r="B227" s="1">
        <v>41099</v>
      </c>
      <c r="C227">
        <v>7</v>
      </c>
      <c r="D227">
        <v>2012</v>
      </c>
      <c r="E227" s="2">
        <v>2125104.7200000002</v>
      </c>
      <c r="F227">
        <v>1</v>
      </c>
      <c r="G227" s="3">
        <v>82.09</v>
      </c>
      <c r="H227" s="2">
        <v>3.7090000000000001</v>
      </c>
      <c r="I227">
        <v>130.9325484</v>
      </c>
      <c r="J227" s="3">
        <v>4.077</v>
      </c>
    </row>
    <row r="228" spans="1:10" x14ac:dyDescent="0.25">
      <c r="A228">
        <v>4</v>
      </c>
      <c r="B228" s="1">
        <v>41039</v>
      </c>
      <c r="C228">
        <v>5</v>
      </c>
      <c r="D228">
        <v>2012</v>
      </c>
      <c r="E228" s="2">
        <v>2209835.4300000002</v>
      </c>
      <c r="F228">
        <v>0</v>
      </c>
      <c r="G228" s="3">
        <v>63.07</v>
      </c>
      <c r="H228" s="2">
        <v>3.62</v>
      </c>
      <c r="I228">
        <v>131.0756667</v>
      </c>
      <c r="J228" s="3">
        <v>3.879</v>
      </c>
    </row>
    <row r="229" spans="1:10" x14ac:dyDescent="0.25">
      <c r="A229">
        <v>4</v>
      </c>
      <c r="B229" s="1">
        <v>41253</v>
      </c>
      <c r="C229">
        <v>12</v>
      </c>
      <c r="D229">
        <v>2012</v>
      </c>
      <c r="E229" s="2">
        <v>2133026.0699999998</v>
      </c>
      <c r="F229">
        <v>0</v>
      </c>
      <c r="G229" s="3">
        <v>57.11</v>
      </c>
      <c r="H229" s="2">
        <v>3.6030000000000002</v>
      </c>
      <c r="I229">
        <v>131.1083333</v>
      </c>
      <c r="J229" s="3">
        <v>3.879</v>
      </c>
    </row>
    <row r="230" spans="1:10" x14ac:dyDescent="0.25">
      <c r="A230">
        <v>5</v>
      </c>
      <c r="B230" s="1">
        <v>40300</v>
      </c>
      <c r="C230">
        <v>5</v>
      </c>
      <c r="D230">
        <v>2010</v>
      </c>
      <c r="E230" s="2">
        <v>317173.09999999998</v>
      </c>
      <c r="F230">
        <v>0</v>
      </c>
      <c r="G230" s="3">
        <v>39.700000000000003</v>
      </c>
      <c r="H230" s="2">
        <v>2.5720000000000001</v>
      </c>
      <c r="I230">
        <v>211.65397160000001</v>
      </c>
      <c r="J230" s="3">
        <v>6.5659999999999998</v>
      </c>
    </row>
    <row r="231" spans="1:10" x14ac:dyDescent="0.25">
      <c r="A231">
        <v>5</v>
      </c>
      <c r="B231" s="1">
        <v>40514</v>
      </c>
      <c r="C231">
        <v>12</v>
      </c>
      <c r="D231">
        <v>2010</v>
      </c>
      <c r="E231" s="2">
        <v>311825.7</v>
      </c>
      <c r="F231">
        <v>1</v>
      </c>
      <c r="G231" s="3">
        <v>39.81</v>
      </c>
      <c r="H231" s="2">
        <v>2.548</v>
      </c>
      <c r="I231">
        <v>211.8004698</v>
      </c>
      <c r="J231" s="3">
        <v>6.5659999999999998</v>
      </c>
    </row>
    <row r="232" spans="1:10" x14ac:dyDescent="0.25">
      <c r="A232">
        <v>5</v>
      </c>
      <c r="B232" s="1">
        <v>40301</v>
      </c>
      <c r="C232">
        <v>5</v>
      </c>
      <c r="D232">
        <v>2010</v>
      </c>
      <c r="E232" s="2">
        <v>288855.71000000002</v>
      </c>
      <c r="F232">
        <v>0</v>
      </c>
      <c r="G232" s="3">
        <v>48.89</v>
      </c>
      <c r="H232" s="2">
        <v>2.625</v>
      </c>
      <c r="I232">
        <v>211.9071653</v>
      </c>
      <c r="J232" s="3">
        <v>6.5659999999999998</v>
      </c>
    </row>
    <row r="233" spans="1:10" x14ac:dyDescent="0.25">
      <c r="A233">
        <v>5</v>
      </c>
      <c r="B233" s="1">
        <v>40515</v>
      </c>
      <c r="C233">
        <v>12</v>
      </c>
      <c r="D233">
        <v>2010</v>
      </c>
      <c r="E233" s="2">
        <v>297293.59000000003</v>
      </c>
      <c r="F233">
        <v>0</v>
      </c>
      <c r="G233" s="3">
        <v>58.5</v>
      </c>
      <c r="H233" s="2">
        <v>2.6669999999999998</v>
      </c>
      <c r="I233">
        <v>211.93718390000001</v>
      </c>
      <c r="J233" s="3">
        <v>6.5659999999999998</v>
      </c>
    </row>
    <row r="234" spans="1:10" x14ac:dyDescent="0.25">
      <c r="A234">
        <v>5</v>
      </c>
      <c r="B234" s="1">
        <v>40213</v>
      </c>
      <c r="C234">
        <v>2</v>
      </c>
      <c r="D234">
        <v>2010</v>
      </c>
      <c r="E234" s="2">
        <v>331406</v>
      </c>
      <c r="F234">
        <v>0</v>
      </c>
      <c r="G234" s="3">
        <v>63.18</v>
      </c>
      <c r="H234" s="2">
        <v>2.7189999999999999</v>
      </c>
      <c r="I234">
        <v>211.37288799999999</v>
      </c>
      <c r="J234" s="3">
        <v>6.4649999999999999</v>
      </c>
    </row>
    <row r="235" spans="1:10" x14ac:dyDescent="0.25">
      <c r="A235">
        <v>5</v>
      </c>
      <c r="B235" s="1">
        <v>40425</v>
      </c>
      <c r="C235">
        <v>9</v>
      </c>
      <c r="D235">
        <v>2010</v>
      </c>
      <c r="E235" s="2">
        <v>328020.49</v>
      </c>
      <c r="F235">
        <v>0</v>
      </c>
      <c r="G235" s="3">
        <v>65.19</v>
      </c>
      <c r="H235" s="2">
        <v>2.77</v>
      </c>
      <c r="I235">
        <v>211.17388349999999</v>
      </c>
      <c r="J235" s="3">
        <v>6.4649999999999999</v>
      </c>
    </row>
    <row r="236" spans="1:10" x14ac:dyDescent="0.25">
      <c r="A236">
        <v>5</v>
      </c>
      <c r="B236" s="1">
        <v>40364</v>
      </c>
      <c r="C236">
        <v>7</v>
      </c>
      <c r="D236">
        <v>2010</v>
      </c>
      <c r="E236" s="2">
        <v>333522.59999999998</v>
      </c>
      <c r="F236">
        <v>0</v>
      </c>
      <c r="G236" s="3">
        <v>71.53</v>
      </c>
      <c r="H236" s="2">
        <v>2.835</v>
      </c>
      <c r="I236">
        <v>210.8896556</v>
      </c>
      <c r="J236" s="3">
        <v>6.4649999999999999</v>
      </c>
    </row>
    <row r="237" spans="1:10" x14ac:dyDescent="0.25">
      <c r="A237">
        <v>5</v>
      </c>
      <c r="B237" s="1">
        <v>40274</v>
      </c>
      <c r="C237">
        <v>4</v>
      </c>
      <c r="D237">
        <v>2010</v>
      </c>
      <c r="E237" s="2">
        <v>337825.89</v>
      </c>
      <c r="F237">
        <v>0</v>
      </c>
      <c r="G237" s="3">
        <v>79.540000000000006</v>
      </c>
      <c r="H237" s="2">
        <v>2.7050000000000001</v>
      </c>
      <c r="I237">
        <v>211.7325146</v>
      </c>
      <c r="J237" s="3">
        <v>6.4649999999999999</v>
      </c>
    </row>
    <row r="238" spans="1:10" x14ac:dyDescent="0.25">
      <c r="A238">
        <v>5</v>
      </c>
      <c r="B238" s="1">
        <v>40488</v>
      </c>
      <c r="C238">
        <v>11</v>
      </c>
      <c r="D238">
        <v>2010</v>
      </c>
      <c r="E238" s="2">
        <v>296641.90999999997</v>
      </c>
      <c r="F238">
        <v>0</v>
      </c>
      <c r="G238" s="3">
        <v>80.7</v>
      </c>
      <c r="H238" s="2">
        <v>2.6680000000000001</v>
      </c>
      <c r="I238">
        <v>212.01426050000001</v>
      </c>
      <c r="J238" s="3">
        <v>6.4649999999999999</v>
      </c>
    </row>
    <row r="239" spans="1:10" x14ac:dyDescent="0.25">
      <c r="A239">
        <v>5</v>
      </c>
      <c r="B239" s="1">
        <v>40216</v>
      </c>
      <c r="C239">
        <v>2</v>
      </c>
      <c r="D239">
        <v>2010</v>
      </c>
      <c r="E239" s="2">
        <v>305993.27</v>
      </c>
      <c r="F239">
        <v>0</v>
      </c>
      <c r="G239" s="3">
        <v>81.25</v>
      </c>
      <c r="H239" s="2">
        <v>2.669</v>
      </c>
      <c r="I239">
        <v>211.78018610000001</v>
      </c>
      <c r="J239" s="3">
        <v>6.4960000000000004</v>
      </c>
    </row>
    <row r="240" spans="1:10" x14ac:dyDescent="0.25">
      <c r="A240">
        <v>5</v>
      </c>
      <c r="B240" s="1">
        <v>40428</v>
      </c>
      <c r="C240">
        <v>9</v>
      </c>
      <c r="D240">
        <v>2010</v>
      </c>
      <c r="E240" s="2">
        <v>291808.87</v>
      </c>
      <c r="F240">
        <v>0</v>
      </c>
      <c r="G240" s="3">
        <v>81.14</v>
      </c>
      <c r="H240" s="2">
        <v>2.6419999999999999</v>
      </c>
      <c r="I240">
        <v>211.66429070000001</v>
      </c>
      <c r="J240" s="3">
        <v>6.4960000000000004</v>
      </c>
    </row>
    <row r="241" spans="1:10" x14ac:dyDescent="0.25">
      <c r="A241">
        <v>5</v>
      </c>
      <c r="B241" s="1">
        <v>40337</v>
      </c>
      <c r="C241">
        <v>6</v>
      </c>
      <c r="D241">
        <v>2010</v>
      </c>
      <c r="E241" s="2">
        <v>303043.02</v>
      </c>
      <c r="F241">
        <v>0</v>
      </c>
      <c r="G241" s="3">
        <v>86.1</v>
      </c>
      <c r="H241" s="2">
        <v>2.6269999999999998</v>
      </c>
      <c r="I241">
        <v>212.06244469999999</v>
      </c>
      <c r="J241" s="3">
        <v>6.4960000000000004</v>
      </c>
    </row>
    <row r="242" spans="1:10" x14ac:dyDescent="0.25">
      <c r="A242">
        <v>5</v>
      </c>
      <c r="B242" s="1">
        <v>40246</v>
      </c>
      <c r="C242">
        <v>3</v>
      </c>
      <c r="D242">
        <v>2010</v>
      </c>
      <c r="E242" s="2">
        <v>323798</v>
      </c>
      <c r="F242">
        <v>0</v>
      </c>
      <c r="G242" s="3">
        <v>84.06</v>
      </c>
      <c r="H242" s="2">
        <v>2.577</v>
      </c>
      <c r="I242">
        <v>212.08691759999999</v>
      </c>
      <c r="J242" s="3">
        <v>6.4960000000000004</v>
      </c>
    </row>
    <row r="243" spans="1:10" x14ac:dyDescent="0.25">
      <c r="A243">
        <v>5</v>
      </c>
      <c r="B243" s="1">
        <v>40460</v>
      </c>
      <c r="C243">
        <v>10</v>
      </c>
      <c r="D243">
        <v>2010</v>
      </c>
      <c r="E243" s="2">
        <v>306533.08</v>
      </c>
      <c r="F243">
        <v>1</v>
      </c>
      <c r="G243" s="3">
        <v>79.86</v>
      </c>
      <c r="H243" s="2">
        <v>2.5649999999999999</v>
      </c>
      <c r="I243">
        <v>212.04992709999999</v>
      </c>
      <c r="J243" s="3">
        <v>6.4960000000000004</v>
      </c>
    </row>
    <row r="244" spans="1:10" x14ac:dyDescent="0.25">
      <c r="A244">
        <v>5</v>
      </c>
      <c r="B244" s="1">
        <v>40188</v>
      </c>
      <c r="C244">
        <v>1</v>
      </c>
      <c r="D244">
        <v>2010</v>
      </c>
      <c r="E244" s="2">
        <v>283178.12</v>
      </c>
      <c r="F244">
        <v>0</v>
      </c>
      <c r="G244" s="3">
        <v>71.099999999999994</v>
      </c>
      <c r="H244" s="2">
        <v>2.6030000000000002</v>
      </c>
      <c r="I244">
        <v>212.22694630000001</v>
      </c>
      <c r="J244" s="3">
        <v>6.7679999999999998</v>
      </c>
    </row>
    <row r="245" spans="1:10" x14ac:dyDescent="0.25">
      <c r="A245">
        <v>5</v>
      </c>
      <c r="B245" s="1">
        <v>40400</v>
      </c>
      <c r="C245">
        <v>8</v>
      </c>
      <c r="D245">
        <v>2010</v>
      </c>
      <c r="E245" s="2">
        <v>290494.84999999998</v>
      </c>
      <c r="F245">
        <v>0</v>
      </c>
      <c r="G245" s="3">
        <v>64.989999999999995</v>
      </c>
      <c r="H245" s="2">
        <v>2.633</v>
      </c>
      <c r="I245">
        <v>212.30195219999999</v>
      </c>
      <c r="J245" s="3">
        <v>6.7679999999999998</v>
      </c>
    </row>
    <row r="246" spans="1:10" x14ac:dyDescent="0.25">
      <c r="A246">
        <v>5</v>
      </c>
      <c r="B246" s="1">
        <v>40309</v>
      </c>
      <c r="C246">
        <v>5</v>
      </c>
      <c r="D246">
        <v>2010</v>
      </c>
      <c r="E246" s="2">
        <v>325310.3</v>
      </c>
      <c r="F246">
        <v>0</v>
      </c>
      <c r="G246" s="3">
        <v>58.88</v>
      </c>
      <c r="H246" s="2">
        <v>2.6890000000000001</v>
      </c>
      <c r="I246">
        <v>212.5126051</v>
      </c>
      <c r="J246" s="3">
        <v>6.7679999999999998</v>
      </c>
    </row>
    <row r="247" spans="1:10" x14ac:dyDescent="0.25">
      <c r="A247">
        <v>5</v>
      </c>
      <c r="B247" s="1">
        <v>40523</v>
      </c>
      <c r="C247">
        <v>12</v>
      </c>
      <c r="D247">
        <v>2010</v>
      </c>
      <c r="E247" s="2">
        <v>301827.36</v>
      </c>
      <c r="F247">
        <v>0</v>
      </c>
      <c r="G247" s="3">
        <v>62.37</v>
      </c>
      <c r="H247" s="2">
        <v>2.7280000000000002</v>
      </c>
      <c r="I247">
        <v>212.5604113</v>
      </c>
      <c r="J247" s="3">
        <v>6.7679999999999998</v>
      </c>
    </row>
    <row r="248" spans="1:10" x14ac:dyDescent="0.25">
      <c r="A248">
        <v>5</v>
      </c>
      <c r="B248" s="1">
        <v>40249</v>
      </c>
      <c r="C248">
        <v>3</v>
      </c>
      <c r="D248">
        <v>2010</v>
      </c>
      <c r="E248" s="2">
        <v>344490.88</v>
      </c>
      <c r="F248">
        <v>0</v>
      </c>
      <c r="G248" s="3">
        <v>51.31</v>
      </c>
      <c r="H248" s="2">
        <v>2.7080000000000002</v>
      </c>
      <c r="I248">
        <v>212.16139509999999</v>
      </c>
      <c r="J248" s="3">
        <v>6.7679999999999998</v>
      </c>
    </row>
    <row r="249" spans="1:10" x14ac:dyDescent="0.25">
      <c r="A249">
        <v>5</v>
      </c>
      <c r="B249" s="1">
        <v>40463</v>
      </c>
      <c r="C249">
        <v>10</v>
      </c>
      <c r="D249">
        <v>2010</v>
      </c>
      <c r="E249" s="2">
        <v>352811.53</v>
      </c>
      <c r="F249">
        <v>0</v>
      </c>
      <c r="G249" s="3">
        <v>48.27</v>
      </c>
      <c r="H249" s="2">
        <v>2.843</v>
      </c>
      <c r="I249">
        <v>212.0193491</v>
      </c>
      <c r="J249" s="3">
        <v>6.7679999999999998</v>
      </c>
    </row>
    <row r="250" spans="1:10" x14ac:dyDescent="0.25">
      <c r="A250">
        <v>5</v>
      </c>
      <c r="B250" s="1">
        <v>40725</v>
      </c>
      <c r="C250">
        <v>7</v>
      </c>
      <c r="D250">
        <v>2011</v>
      </c>
      <c r="E250" s="2">
        <v>286347.26</v>
      </c>
      <c r="F250">
        <v>0</v>
      </c>
      <c r="G250" s="3">
        <v>48.3</v>
      </c>
      <c r="H250" s="2">
        <v>2.976</v>
      </c>
      <c r="I250">
        <v>211.9560305</v>
      </c>
      <c r="J250" s="3">
        <v>6.6340000000000003</v>
      </c>
    </row>
    <row r="251" spans="1:10" x14ac:dyDescent="0.25">
      <c r="A251">
        <v>5</v>
      </c>
      <c r="B251" s="1">
        <v>40635</v>
      </c>
      <c r="C251">
        <v>4</v>
      </c>
      <c r="D251">
        <v>2011</v>
      </c>
      <c r="E251" s="2">
        <v>329613.2</v>
      </c>
      <c r="F251">
        <v>0</v>
      </c>
      <c r="G251" s="3">
        <v>41.67</v>
      </c>
      <c r="H251" s="2">
        <v>2.9889999999999999</v>
      </c>
      <c r="I251">
        <v>213.1229755</v>
      </c>
      <c r="J251" s="3">
        <v>6.6340000000000003</v>
      </c>
    </row>
    <row r="252" spans="1:10" x14ac:dyDescent="0.25">
      <c r="A252">
        <v>5</v>
      </c>
      <c r="B252" s="1">
        <v>40849</v>
      </c>
      <c r="C252">
        <v>11</v>
      </c>
      <c r="D252">
        <v>2011</v>
      </c>
      <c r="E252" s="2">
        <v>311590.53999999998</v>
      </c>
      <c r="F252">
        <v>1</v>
      </c>
      <c r="G252" s="3">
        <v>38.25</v>
      </c>
      <c r="H252" s="2">
        <v>3.0219999999999998</v>
      </c>
      <c r="I252">
        <v>213.49446270000001</v>
      </c>
      <c r="J252" s="3">
        <v>6.6340000000000003</v>
      </c>
    </row>
    <row r="253" spans="1:10" x14ac:dyDescent="0.25">
      <c r="A253">
        <v>5</v>
      </c>
      <c r="B253" s="1">
        <v>40636</v>
      </c>
      <c r="C253">
        <v>4</v>
      </c>
      <c r="D253">
        <v>2011</v>
      </c>
      <c r="E253" s="2">
        <v>329033.65999999997</v>
      </c>
      <c r="F253">
        <v>0</v>
      </c>
      <c r="G253" s="3">
        <v>60.35</v>
      </c>
      <c r="H253" s="2">
        <v>3.2879999999999998</v>
      </c>
      <c r="I253">
        <v>214.3842702</v>
      </c>
      <c r="J253" s="3">
        <v>6.6340000000000003</v>
      </c>
    </row>
    <row r="254" spans="1:10" x14ac:dyDescent="0.25">
      <c r="A254">
        <v>5</v>
      </c>
      <c r="B254" s="1">
        <v>40850</v>
      </c>
      <c r="C254">
        <v>11</v>
      </c>
      <c r="D254">
        <v>2011</v>
      </c>
      <c r="E254" s="2">
        <v>293098.09999999998</v>
      </c>
      <c r="F254">
        <v>0</v>
      </c>
      <c r="G254" s="3">
        <v>55.74</v>
      </c>
      <c r="H254" s="2">
        <v>3.4590000000000001</v>
      </c>
      <c r="I254">
        <v>214.67299009999999</v>
      </c>
      <c r="J254" s="3">
        <v>6.6340000000000003</v>
      </c>
    </row>
    <row r="255" spans="1:10" x14ac:dyDescent="0.25">
      <c r="A255">
        <v>5</v>
      </c>
      <c r="B255" s="1">
        <v>40547</v>
      </c>
      <c r="C255">
        <v>1</v>
      </c>
      <c r="D255">
        <v>2011</v>
      </c>
      <c r="E255" s="2">
        <v>314316.55</v>
      </c>
      <c r="F255">
        <v>0</v>
      </c>
      <c r="G255" s="3">
        <v>61.5</v>
      </c>
      <c r="H255" s="2">
        <v>3.524</v>
      </c>
      <c r="I255">
        <v>215.40244060000001</v>
      </c>
      <c r="J255" s="3">
        <v>6.4889999999999999</v>
      </c>
    </row>
    <row r="256" spans="1:10" x14ac:dyDescent="0.25">
      <c r="A256">
        <v>5</v>
      </c>
      <c r="B256" s="1">
        <v>40759</v>
      </c>
      <c r="C256">
        <v>8</v>
      </c>
      <c r="D256">
        <v>2011</v>
      </c>
      <c r="E256" s="2">
        <v>307333.62</v>
      </c>
      <c r="F256">
        <v>0</v>
      </c>
      <c r="G256" s="3">
        <v>69.64</v>
      </c>
      <c r="H256" s="2">
        <v>3.6219999999999999</v>
      </c>
      <c r="I256">
        <v>215.64079390000001</v>
      </c>
      <c r="J256" s="3">
        <v>6.4889999999999999</v>
      </c>
    </row>
    <row r="257" spans="1:10" x14ac:dyDescent="0.25">
      <c r="A257">
        <v>5</v>
      </c>
      <c r="B257" s="1">
        <v>40699</v>
      </c>
      <c r="C257">
        <v>6</v>
      </c>
      <c r="D257">
        <v>2011</v>
      </c>
      <c r="E257" s="2">
        <v>322904.68</v>
      </c>
      <c r="F257">
        <v>0</v>
      </c>
      <c r="G257" s="3">
        <v>66.27</v>
      </c>
      <c r="H257" s="2">
        <v>3.9060000000000001</v>
      </c>
      <c r="I257">
        <v>216.36558769999999</v>
      </c>
      <c r="J257" s="3">
        <v>6.4889999999999999</v>
      </c>
    </row>
    <row r="258" spans="1:10" x14ac:dyDescent="0.25">
      <c r="A258">
        <v>5</v>
      </c>
      <c r="B258" s="1">
        <v>40608</v>
      </c>
      <c r="C258">
        <v>3</v>
      </c>
      <c r="D258">
        <v>2011</v>
      </c>
      <c r="E258" s="2">
        <v>329183.92</v>
      </c>
      <c r="F258">
        <v>0</v>
      </c>
      <c r="G258" s="3">
        <v>83.81</v>
      </c>
      <c r="H258" s="2">
        <v>3.6989999999999998</v>
      </c>
      <c r="I258">
        <v>215.83843189999999</v>
      </c>
      <c r="J258" s="3">
        <v>6.4889999999999999</v>
      </c>
    </row>
    <row r="259" spans="1:10" x14ac:dyDescent="0.25">
      <c r="A259">
        <v>5</v>
      </c>
      <c r="B259" s="1">
        <v>40822</v>
      </c>
      <c r="C259">
        <v>10</v>
      </c>
      <c r="D259">
        <v>2011</v>
      </c>
      <c r="E259" s="2">
        <v>304984.14</v>
      </c>
      <c r="F259">
        <v>0</v>
      </c>
      <c r="G259" s="3">
        <v>83.61</v>
      </c>
      <c r="H259" s="2">
        <v>3.6480000000000001</v>
      </c>
      <c r="I259">
        <v>215.60645550000001</v>
      </c>
      <c r="J259" s="3">
        <v>6.4889999999999999</v>
      </c>
    </row>
    <row r="260" spans="1:10" x14ac:dyDescent="0.25">
      <c r="A260">
        <v>5</v>
      </c>
      <c r="B260" s="1">
        <v>40550</v>
      </c>
      <c r="C260">
        <v>1</v>
      </c>
      <c r="D260">
        <v>2011</v>
      </c>
      <c r="E260" s="2">
        <v>327093.89</v>
      </c>
      <c r="F260">
        <v>0</v>
      </c>
      <c r="G260" s="3">
        <v>85.81</v>
      </c>
      <c r="H260" s="2">
        <v>3.524</v>
      </c>
      <c r="I260">
        <v>215.74745369999999</v>
      </c>
      <c r="J260" s="3">
        <v>6.5289999999999999</v>
      </c>
    </row>
    <row r="261" spans="1:10" x14ac:dyDescent="0.25">
      <c r="A261">
        <v>5</v>
      </c>
      <c r="B261" s="1">
        <v>40762</v>
      </c>
      <c r="C261">
        <v>8</v>
      </c>
      <c r="D261">
        <v>2011</v>
      </c>
      <c r="E261" s="2">
        <v>310804.93</v>
      </c>
      <c r="F261">
        <v>0</v>
      </c>
      <c r="G261" s="3">
        <v>86.64</v>
      </c>
      <c r="H261" s="2">
        <v>3.48</v>
      </c>
      <c r="I261">
        <v>215.84094909999999</v>
      </c>
      <c r="J261" s="3">
        <v>6.5289999999999999</v>
      </c>
    </row>
    <row r="262" spans="1:10" x14ac:dyDescent="0.25">
      <c r="A262">
        <v>5</v>
      </c>
      <c r="B262" s="1">
        <v>40671</v>
      </c>
      <c r="C262">
        <v>5</v>
      </c>
      <c r="D262">
        <v>2011</v>
      </c>
      <c r="E262" s="2">
        <v>317738.56</v>
      </c>
      <c r="F262">
        <v>0</v>
      </c>
      <c r="G262" s="3">
        <v>91.07</v>
      </c>
      <c r="H262" s="2">
        <v>3.6840000000000002</v>
      </c>
      <c r="I262">
        <v>216.10711979999999</v>
      </c>
      <c r="J262" s="3">
        <v>6.5289999999999999</v>
      </c>
    </row>
    <row r="263" spans="1:10" x14ac:dyDescent="0.25">
      <c r="A263">
        <v>5</v>
      </c>
      <c r="B263" s="1">
        <v>40885</v>
      </c>
      <c r="C263">
        <v>12</v>
      </c>
      <c r="D263">
        <v>2011</v>
      </c>
      <c r="E263" s="2">
        <v>289886.15999999997</v>
      </c>
      <c r="F263">
        <v>0</v>
      </c>
      <c r="G263" s="3">
        <v>90.16</v>
      </c>
      <c r="H263" s="2">
        <v>3.6379999999999999</v>
      </c>
      <c r="I263">
        <v>216.16780320000001</v>
      </c>
      <c r="J263" s="3">
        <v>6.5289999999999999</v>
      </c>
    </row>
    <row r="264" spans="1:10" x14ac:dyDescent="0.25">
      <c r="A264">
        <v>5</v>
      </c>
      <c r="B264" s="1">
        <v>40583</v>
      </c>
      <c r="C264">
        <v>2</v>
      </c>
      <c r="D264">
        <v>2011</v>
      </c>
      <c r="E264" s="2">
        <v>315645.53000000003</v>
      </c>
      <c r="F264">
        <v>0</v>
      </c>
      <c r="G264" s="3">
        <v>90.38</v>
      </c>
      <c r="H264" s="2">
        <v>3.5329999999999999</v>
      </c>
      <c r="I264">
        <v>216.3588498</v>
      </c>
      <c r="J264" s="3">
        <v>6.5289999999999999</v>
      </c>
    </row>
    <row r="265" spans="1:10" x14ac:dyDescent="0.25">
      <c r="A265">
        <v>5</v>
      </c>
      <c r="B265" s="1">
        <v>40795</v>
      </c>
      <c r="C265">
        <v>9</v>
      </c>
      <c r="D265">
        <v>2011</v>
      </c>
      <c r="E265" s="2">
        <v>321110.21999999997</v>
      </c>
      <c r="F265">
        <v>1</v>
      </c>
      <c r="G265" s="3">
        <v>79.040000000000006</v>
      </c>
      <c r="H265" s="2">
        <v>3.5459999999999998</v>
      </c>
      <c r="I265">
        <v>216.42268189999999</v>
      </c>
      <c r="J265" s="3">
        <v>6.5289999999999999</v>
      </c>
    </row>
    <row r="266" spans="1:10" x14ac:dyDescent="0.25">
      <c r="A266">
        <v>5</v>
      </c>
      <c r="B266" s="1">
        <v>40734</v>
      </c>
      <c r="C266">
        <v>7</v>
      </c>
      <c r="D266">
        <v>2011</v>
      </c>
      <c r="E266" s="2">
        <v>309111.46999999997</v>
      </c>
      <c r="F266">
        <v>0</v>
      </c>
      <c r="G266" s="3">
        <v>71.64</v>
      </c>
      <c r="H266" s="2">
        <v>3.2850000000000001</v>
      </c>
      <c r="I266">
        <v>217.61236479999999</v>
      </c>
      <c r="J266" s="3">
        <v>6.3</v>
      </c>
    </row>
    <row r="267" spans="1:10" x14ac:dyDescent="0.25">
      <c r="A267">
        <v>5</v>
      </c>
      <c r="B267" s="1">
        <v>40644</v>
      </c>
      <c r="C267">
        <v>4</v>
      </c>
      <c r="D267">
        <v>2011</v>
      </c>
      <c r="E267" s="2">
        <v>353652.23</v>
      </c>
      <c r="F267">
        <v>0</v>
      </c>
      <c r="G267" s="3">
        <v>56.71</v>
      </c>
      <c r="H267" s="2">
        <v>3.3319999999999999</v>
      </c>
      <c r="I267">
        <v>218.40840800000001</v>
      </c>
      <c r="J267" s="3">
        <v>6.3</v>
      </c>
    </row>
    <row r="268" spans="1:10" x14ac:dyDescent="0.25">
      <c r="A268">
        <v>5</v>
      </c>
      <c r="B268" s="1">
        <v>40858</v>
      </c>
      <c r="C268">
        <v>11</v>
      </c>
      <c r="D268">
        <v>2011</v>
      </c>
      <c r="E268" s="2">
        <v>311906.7</v>
      </c>
      <c r="F268">
        <v>0</v>
      </c>
      <c r="G268" s="3">
        <v>60.71</v>
      </c>
      <c r="H268" s="2">
        <v>3.2970000000000002</v>
      </c>
      <c r="I268">
        <v>218.5699621</v>
      </c>
      <c r="J268" s="3">
        <v>6.3</v>
      </c>
    </row>
    <row r="269" spans="1:10" x14ac:dyDescent="0.25">
      <c r="A269">
        <v>5</v>
      </c>
      <c r="B269" s="1">
        <v>40586</v>
      </c>
      <c r="C269">
        <v>2</v>
      </c>
      <c r="D269">
        <v>2011</v>
      </c>
      <c r="E269" s="2">
        <v>376225.61</v>
      </c>
      <c r="F269">
        <v>0</v>
      </c>
      <c r="G269" s="3">
        <v>51.14</v>
      </c>
      <c r="H269" s="2">
        <v>3.1720000000000002</v>
      </c>
      <c r="I269">
        <v>219.29172869999999</v>
      </c>
      <c r="J269" s="3">
        <v>6.3</v>
      </c>
    </row>
    <row r="270" spans="1:10" x14ac:dyDescent="0.25">
      <c r="A270">
        <v>5</v>
      </c>
      <c r="B270" s="1">
        <v>40798</v>
      </c>
      <c r="C270">
        <v>9</v>
      </c>
      <c r="D270">
        <v>2011</v>
      </c>
      <c r="E270" s="2">
        <v>367433.77</v>
      </c>
      <c r="F270">
        <v>0</v>
      </c>
      <c r="G270" s="3">
        <v>44.12</v>
      </c>
      <c r="H270" s="2">
        <v>3.1579999999999999</v>
      </c>
      <c r="I270">
        <v>219.540637</v>
      </c>
      <c r="J270" s="3">
        <v>6.3</v>
      </c>
    </row>
    <row r="271" spans="1:10" x14ac:dyDescent="0.25">
      <c r="A271">
        <v>5</v>
      </c>
      <c r="B271" s="1">
        <v>41061</v>
      </c>
      <c r="C271">
        <v>6</v>
      </c>
      <c r="D271">
        <v>2012</v>
      </c>
      <c r="E271" s="2">
        <v>312078.71000000002</v>
      </c>
      <c r="F271">
        <v>0</v>
      </c>
      <c r="G271" s="3">
        <v>50.21</v>
      </c>
      <c r="H271" s="2">
        <v>3.157</v>
      </c>
      <c r="I271">
        <v>220.2969205</v>
      </c>
      <c r="J271" s="3">
        <v>5.9429999999999996</v>
      </c>
    </row>
    <row r="272" spans="1:10" x14ac:dyDescent="0.25">
      <c r="A272">
        <v>5</v>
      </c>
      <c r="B272" s="1">
        <v>40970</v>
      </c>
      <c r="C272">
        <v>3</v>
      </c>
      <c r="D272">
        <v>2012</v>
      </c>
      <c r="E272" s="2">
        <v>333948</v>
      </c>
      <c r="F272">
        <v>0</v>
      </c>
      <c r="G272" s="3">
        <v>57.35</v>
      </c>
      <c r="H272" s="2">
        <v>3.36</v>
      </c>
      <c r="I272">
        <v>220.75619409999999</v>
      </c>
      <c r="J272" s="3">
        <v>5.9429999999999996</v>
      </c>
    </row>
    <row r="273" spans="1:10" x14ac:dyDescent="0.25">
      <c r="A273">
        <v>5</v>
      </c>
      <c r="B273" s="1">
        <v>41184</v>
      </c>
      <c r="C273">
        <v>10</v>
      </c>
      <c r="D273">
        <v>2012</v>
      </c>
      <c r="E273" s="2">
        <v>349239.88</v>
      </c>
      <c r="F273">
        <v>1</v>
      </c>
      <c r="G273" s="3">
        <v>48.57</v>
      </c>
      <c r="H273" s="2">
        <v>3.4089999999999998</v>
      </c>
      <c r="I273">
        <v>220.84958599999999</v>
      </c>
      <c r="J273" s="3">
        <v>5.9429999999999996</v>
      </c>
    </row>
    <row r="274" spans="1:10" x14ac:dyDescent="0.25">
      <c r="A274">
        <v>5</v>
      </c>
      <c r="B274" s="1">
        <v>40942</v>
      </c>
      <c r="C274">
        <v>2</v>
      </c>
      <c r="D274">
        <v>2012</v>
      </c>
      <c r="E274" s="2">
        <v>359206.21</v>
      </c>
      <c r="F274">
        <v>0</v>
      </c>
      <c r="G274" s="3">
        <v>60.66</v>
      </c>
      <c r="H274" s="2">
        <v>3.63</v>
      </c>
      <c r="I274">
        <v>221.43421459999999</v>
      </c>
      <c r="J274" s="3">
        <v>5.9429999999999996</v>
      </c>
    </row>
    <row r="275" spans="1:10" x14ac:dyDescent="0.25">
      <c r="A275">
        <v>5</v>
      </c>
      <c r="B275" s="1">
        <v>41155</v>
      </c>
      <c r="C275">
        <v>9</v>
      </c>
      <c r="D275">
        <v>2012</v>
      </c>
      <c r="E275" s="2">
        <v>347295.6</v>
      </c>
      <c r="F275">
        <v>0</v>
      </c>
      <c r="G275" s="3">
        <v>57.69</v>
      </c>
      <c r="H275" s="2">
        <v>3.669</v>
      </c>
      <c r="I275">
        <v>221.64600479999999</v>
      </c>
      <c r="J275" s="3">
        <v>5.9429999999999996</v>
      </c>
    </row>
    <row r="276" spans="1:10" x14ac:dyDescent="0.25">
      <c r="A276">
        <v>5</v>
      </c>
      <c r="B276" s="1">
        <v>41064</v>
      </c>
      <c r="C276">
        <v>6</v>
      </c>
      <c r="D276">
        <v>2012</v>
      </c>
      <c r="E276" s="2">
        <v>402985.7</v>
      </c>
      <c r="F276">
        <v>0</v>
      </c>
      <c r="G276" s="3">
        <v>70.400000000000006</v>
      </c>
      <c r="H276" s="2">
        <v>3.891</v>
      </c>
      <c r="I276">
        <v>222.0225762</v>
      </c>
      <c r="J276" s="3">
        <v>5.8010000000000002</v>
      </c>
    </row>
    <row r="277" spans="1:10" x14ac:dyDescent="0.25">
      <c r="A277">
        <v>5</v>
      </c>
      <c r="B277" s="1">
        <v>41004</v>
      </c>
      <c r="C277">
        <v>4</v>
      </c>
      <c r="D277">
        <v>2012</v>
      </c>
      <c r="E277" s="2">
        <v>360932.69</v>
      </c>
      <c r="F277">
        <v>0</v>
      </c>
      <c r="G277" s="3">
        <v>77.099999999999994</v>
      </c>
      <c r="H277" s="2">
        <v>3.7490000000000001</v>
      </c>
      <c r="I277">
        <v>222.2594722</v>
      </c>
      <c r="J277" s="3">
        <v>5.8010000000000002</v>
      </c>
    </row>
    <row r="278" spans="1:10" x14ac:dyDescent="0.25">
      <c r="A278">
        <v>5</v>
      </c>
      <c r="B278" s="1">
        <v>41218</v>
      </c>
      <c r="C278">
        <v>11</v>
      </c>
      <c r="D278">
        <v>2012</v>
      </c>
      <c r="E278" s="2">
        <v>333870.52</v>
      </c>
      <c r="F278">
        <v>0</v>
      </c>
      <c r="G278" s="3">
        <v>73.45</v>
      </c>
      <c r="H278" s="2">
        <v>3.6880000000000002</v>
      </c>
      <c r="I278">
        <v>222.31359259999999</v>
      </c>
      <c r="J278" s="3">
        <v>5.8010000000000002</v>
      </c>
    </row>
    <row r="279" spans="1:10" x14ac:dyDescent="0.25">
      <c r="A279">
        <v>5</v>
      </c>
      <c r="B279" s="1">
        <v>40914</v>
      </c>
      <c r="C279">
        <v>1</v>
      </c>
      <c r="D279">
        <v>2012</v>
      </c>
      <c r="E279" s="2">
        <v>359867.8</v>
      </c>
      <c r="F279">
        <v>0</v>
      </c>
      <c r="G279" s="3">
        <v>79.72</v>
      </c>
      <c r="H279" s="2">
        <v>3.5009999999999999</v>
      </c>
      <c r="I279">
        <v>222.33432769999999</v>
      </c>
      <c r="J279" s="3">
        <v>5.8010000000000002</v>
      </c>
    </row>
    <row r="280" spans="1:10" x14ac:dyDescent="0.25">
      <c r="A280">
        <v>5</v>
      </c>
      <c r="B280" s="1">
        <v>41127</v>
      </c>
      <c r="C280">
        <v>8</v>
      </c>
      <c r="D280">
        <v>2012</v>
      </c>
      <c r="E280" s="2">
        <v>341704.59</v>
      </c>
      <c r="F280">
        <v>0</v>
      </c>
      <c r="G280" s="3">
        <v>81.02</v>
      </c>
      <c r="H280" s="2">
        <v>3.452</v>
      </c>
      <c r="I280">
        <v>222.33627000000001</v>
      </c>
      <c r="J280" s="3">
        <v>5.8010000000000002</v>
      </c>
    </row>
    <row r="281" spans="1:10" x14ac:dyDescent="0.25">
      <c r="A281">
        <v>5</v>
      </c>
      <c r="B281" s="1">
        <v>41067</v>
      </c>
      <c r="C281">
        <v>6</v>
      </c>
      <c r="D281">
        <v>2012</v>
      </c>
      <c r="E281" s="2">
        <v>341214.43</v>
      </c>
      <c r="F281">
        <v>0</v>
      </c>
      <c r="G281" s="3">
        <v>82.35</v>
      </c>
      <c r="H281" s="2">
        <v>3.2269999999999999</v>
      </c>
      <c r="I281">
        <v>222.47143360000001</v>
      </c>
      <c r="J281" s="3">
        <v>5.6029999999999998</v>
      </c>
    </row>
    <row r="282" spans="1:10" x14ac:dyDescent="0.25">
      <c r="A282">
        <v>5</v>
      </c>
      <c r="B282" s="1">
        <v>40976</v>
      </c>
      <c r="C282">
        <v>3</v>
      </c>
      <c r="D282">
        <v>2012</v>
      </c>
      <c r="E282" s="2">
        <v>324195.17</v>
      </c>
      <c r="F282">
        <v>0</v>
      </c>
      <c r="G282" s="3">
        <v>86.91</v>
      </c>
      <c r="H282" s="2">
        <v>3.4169999999999998</v>
      </c>
      <c r="I282">
        <v>222.53851109999999</v>
      </c>
      <c r="J282" s="3">
        <v>5.6029999999999998</v>
      </c>
    </row>
    <row r="283" spans="1:10" x14ac:dyDescent="0.25">
      <c r="A283">
        <v>5</v>
      </c>
      <c r="B283" s="1">
        <v>41190</v>
      </c>
      <c r="C283">
        <v>10</v>
      </c>
      <c r="D283">
        <v>2012</v>
      </c>
      <c r="E283" s="2">
        <v>306759.7</v>
      </c>
      <c r="F283">
        <v>0</v>
      </c>
      <c r="G283" s="3">
        <v>86.96</v>
      </c>
      <c r="H283" s="2">
        <v>3.4940000000000002</v>
      </c>
      <c r="I283">
        <v>222.5472987</v>
      </c>
      <c r="J283" s="3">
        <v>5.6029999999999998</v>
      </c>
    </row>
    <row r="284" spans="1:10" x14ac:dyDescent="0.25">
      <c r="A284">
        <v>5</v>
      </c>
      <c r="B284" s="1">
        <v>41099</v>
      </c>
      <c r="C284">
        <v>7</v>
      </c>
      <c r="D284">
        <v>2012</v>
      </c>
      <c r="E284" s="2">
        <v>350648.91</v>
      </c>
      <c r="F284">
        <v>1</v>
      </c>
      <c r="G284" s="3">
        <v>86.3</v>
      </c>
      <c r="H284" s="2">
        <v>3.73</v>
      </c>
      <c r="I284">
        <v>223.02988049999999</v>
      </c>
      <c r="J284" s="3">
        <v>5.6029999999999998</v>
      </c>
    </row>
    <row r="285" spans="1:10" x14ac:dyDescent="0.25">
      <c r="A285">
        <v>5</v>
      </c>
      <c r="B285" s="1">
        <v>41039</v>
      </c>
      <c r="C285">
        <v>5</v>
      </c>
      <c r="D285">
        <v>2012</v>
      </c>
      <c r="E285" s="2">
        <v>343048.29</v>
      </c>
      <c r="F285">
        <v>0</v>
      </c>
      <c r="G285" s="3">
        <v>71.17</v>
      </c>
      <c r="H285" s="2">
        <v>3.617</v>
      </c>
      <c r="I285">
        <v>223.77444439999999</v>
      </c>
      <c r="J285" s="3">
        <v>5.4219999999999997</v>
      </c>
    </row>
    <row r="286" spans="1:10" x14ac:dyDescent="0.25">
      <c r="A286">
        <v>5</v>
      </c>
      <c r="B286" s="1">
        <v>41253</v>
      </c>
      <c r="C286">
        <v>12</v>
      </c>
      <c r="D286">
        <v>2012</v>
      </c>
      <c r="E286" s="2">
        <v>325345.40999999997</v>
      </c>
      <c r="F286">
        <v>0</v>
      </c>
      <c r="G286" s="3">
        <v>66.239999999999995</v>
      </c>
      <c r="H286" s="2">
        <v>3.601</v>
      </c>
      <c r="I286">
        <v>223.97478699999999</v>
      </c>
      <c r="J286" s="3">
        <v>5.4219999999999997</v>
      </c>
    </row>
    <row r="287" spans="1:10" x14ac:dyDescent="0.25">
      <c r="A287">
        <v>6</v>
      </c>
      <c r="B287" s="1">
        <v>40300</v>
      </c>
      <c r="C287">
        <v>5</v>
      </c>
      <c r="D287">
        <v>2010</v>
      </c>
      <c r="E287" s="2">
        <v>1652635.1</v>
      </c>
      <c r="F287">
        <v>0</v>
      </c>
      <c r="G287" s="3">
        <v>40.43</v>
      </c>
      <c r="H287" s="2">
        <v>2.5720000000000001</v>
      </c>
      <c r="I287">
        <v>212.62235179999999</v>
      </c>
      <c r="J287" s="3">
        <v>7.2590000000000003</v>
      </c>
    </row>
    <row r="288" spans="1:10" x14ac:dyDescent="0.25">
      <c r="A288">
        <v>6</v>
      </c>
      <c r="B288" s="1">
        <v>40514</v>
      </c>
      <c r="C288">
        <v>12</v>
      </c>
      <c r="D288">
        <v>2010</v>
      </c>
      <c r="E288" s="2">
        <v>1606283.86</v>
      </c>
      <c r="F288">
        <v>1</v>
      </c>
      <c r="G288" s="3">
        <v>40.57</v>
      </c>
      <c r="H288" s="2">
        <v>2.548</v>
      </c>
      <c r="I288">
        <v>212.77004249999999</v>
      </c>
      <c r="J288" s="3">
        <v>7.2590000000000003</v>
      </c>
    </row>
    <row r="289" spans="1:15" x14ac:dyDescent="0.25">
      <c r="A289">
        <v>6</v>
      </c>
      <c r="B289" s="1">
        <v>40301</v>
      </c>
      <c r="C289">
        <v>5</v>
      </c>
      <c r="D289">
        <v>2010</v>
      </c>
      <c r="E289" s="2">
        <v>1601348.82</v>
      </c>
      <c r="F289">
        <v>0</v>
      </c>
      <c r="G289" s="3">
        <v>49.63</v>
      </c>
      <c r="H289" s="2">
        <v>2.625</v>
      </c>
      <c r="I289">
        <v>212.8745193</v>
      </c>
      <c r="J289" s="3">
        <v>7.2590000000000003</v>
      </c>
    </row>
    <row r="290" spans="1:15" x14ac:dyDescent="0.25">
      <c r="A290">
        <v>6</v>
      </c>
      <c r="B290" s="1">
        <v>40515</v>
      </c>
      <c r="C290">
        <v>12</v>
      </c>
      <c r="D290">
        <v>2010</v>
      </c>
      <c r="E290" s="2">
        <v>1558621.36</v>
      </c>
      <c r="F290">
        <v>0</v>
      </c>
      <c r="G290" s="3">
        <v>58.82</v>
      </c>
      <c r="H290" s="2">
        <v>2.6669999999999998</v>
      </c>
      <c r="I290">
        <v>212.9037017</v>
      </c>
      <c r="J290" s="3">
        <v>7.2590000000000003</v>
      </c>
    </row>
    <row r="291" spans="1:15" x14ac:dyDescent="0.25">
      <c r="A291">
        <v>6</v>
      </c>
      <c r="B291" s="1">
        <v>40213</v>
      </c>
      <c r="C291">
        <v>2</v>
      </c>
      <c r="D291">
        <v>2010</v>
      </c>
      <c r="E291" s="2">
        <v>1770333.9</v>
      </c>
      <c r="F291">
        <v>0</v>
      </c>
      <c r="G291" s="3">
        <v>64.94</v>
      </c>
      <c r="H291" s="2">
        <v>2.7189999999999999</v>
      </c>
      <c r="I291">
        <v>212.3322805</v>
      </c>
      <c r="J291" s="3">
        <v>7.0919999999999996</v>
      </c>
    </row>
    <row r="292" spans="1:15" x14ac:dyDescent="0.25">
      <c r="A292">
        <v>6</v>
      </c>
      <c r="B292" s="1">
        <v>40425</v>
      </c>
      <c r="C292">
        <v>9</v>
      </c>
      <c r="D292">
        <v>2010</v>
      </c>
      <c r="E292" s="2">
        <v>1667181.82</v>
      </c>
      <c r="F292">
        <v>0</v>
      </c>
      <c r="G292" s="3">
        <v>66.150000000000006</v>
      </c>
      <c r="H292" s="2">
        <v>2.77</v>
      </c>
      <c r="I292">
        <v>212.1308239</v>
      </c>
      <c r="J292" s="3">
        <v>7.0919999999999996</v>
      </c>
    </row>
    <row r="293" spans="1:15" x14ac:dyDescent="0.25">
      <c r="A293">
        <v>6</v>
      </c>
      <c r="B293" s="1">
        <v>40364</v>
      </c>
      <c r="C293">
        <v>7</v>
      </c>
      <c r="D293">
        <v>2010</v>
      </c>
      <c r="E293" s="2">
        <v>1619920.04</v>
      </c>
      <c r="F293">
        <v>0</v>
      </c>
      <c r="G293" s="3">
        <v>73.680000000000007</v>
      </c>
      <c r="H293" s="2">
        <v>2.835</v>
      </c>
      <c r="I293">
        <v>211.84427059999999</v>
      </c>
      <c r="J293" s="3">
        <v>7.0919999999999996</v>
      </c>
    </row>
    <row r="294" spans="1:15" x14ac:dyDescent="0.25">
      <c r="A294">
        <v>6</v>
      </c>
      <c r="B294" s="1">
        <v>40274</v>
      </c>
      <c r="C294">
        <v>4</v>
      </c>
      <c r="D294">
        <v>2010</v>
      </c>
      <c r="E294" s="2">
        <v>1857380.09</v>
      </c>
      <c r="F294">
        <v>0</v>
      </c>
      <c r="G294" s="3">
        <v>79.44</v>
      </c>
      <c r="H294" s="2">
        <v>2.7050000000000001</v>
      </c>
      <c r="I294">
        <v>212.69824360000001</v>
      </c>
      <c r="J294" s="3">
        <v>7.0919999999999996</v>
      </c>
    </row>
    <row r="295" spans="1:15" x14ac:dyDescent="0.25">
      <c r="A295">
        <v>6</v>
      </c>
      <c r="B295" s="1">
        <v>40488</v>
      </c>
      <c r="C295">
        <v>11</v>
      </c>
      <c r="D295">
        <v>2010</v>
      </c>
      <c r="E295" s="2">
        <v>1685652.35</v>
      </c>
      <c r="F295">
        <v>0</v>
      </c>
      <c r="G295" s="3">
        <v>81.81</v>
      </c>
      <c r="H295" s="2">
        <v>2.6680000000000001</v>
      </c>
      <c r="I295">
        <v>212.98359919999999</v>
      </c>
      <c r="J295" s="3">
        <v>7.0919999999999996</v>
      </c>
    </row>
    <row r="296" spans="1:15" x14ac:dyDescent="0.25">
      <c r="A296">
        <v>6</v>
      </c>
      <c r="B296" s="1">
        <v>40216</v>
      </c>
      <c r="C296">
        <v>2</v>
      </c>
      <c r="D296">
        <v>2010</v>
      </c>
      <c r="E296" s="2">
        <v>1759777.25</v>
      </c>
      <c r="F296">
        <v>0</v>
      </c>
      <c r="G296" s="3">
        <v>80.34</v>
      </c>
      <c r="H296" s="2">
        <v>2.669</v>
      </c>
      <c r="I296">
        <v>212.74689799999999</v>
      </c>
      <c r="J296" s="3">
        <v>6.9729999999999999</v>
      </c>
    </row>
    <row r="297" spans="1:15" x14ac:dyDescent="0.25">
      <c r="A297">
        <v>6</v>
      </c>
      <c r="B297" s="1">
        <v>40428</v>
      </c>
      <c r="C297">
        <v>9</v>
      </c>
      <c r="D297">
        <v>2010</v>
      </c>
      <c r="E297" s="2">
        <v>1690317.99</v>
      </c>
      <c r="F297">
        <v>0</v>
      </c>
      <c r="G297" s="3">
        <v>80.930000000000007</v>
      </c>
      <c r="H297" s="2">
        <v>2.6419999999999999</v>
      </c>
      <c r="I297">
        <v>212.62965489999999</v>
      </c>
      <c r="J297" s="3">
        <v>6.9729999999999999</v>
      </c>
    </row>
    <row r="298" spans="1:15" x14ac:dyDescent="0.25">
      <c r="A298">
        <v>6</v>
      </c>
      <c r="B298" s="1">
        <v>40337</v>
      </c>
      <c r="C298">
        <v>6</v>
      </c>
      <c r="D298">
        <v>2010</v>
      </c>
      <c r="E298" s="2">
        <v>1633241.59</v>
      </c>
      <c r="F298">
        <v>0</v>
      </c>
      <c r="G298" s="3">
        <v>86.61</v>
      </c>
      <c r="H298" s="2">
        <v>2.6269999999999998</v>
      </c>
      <c r="I298">
        <v>213.0311188</v>
      </c>
      <c r="J298" s="3">
        <v>6.9729999999999999</v>
      </c>
      <c r="O298" s="2"/>
    </row>
    <row r="299" spans="1:15" x14ac:dyDescent="0.25">
      <c r="A299">
        <v>6</v>
      </c>
      <c r="B299" s="1">
        <v>40246</v>
      </c>
      <c r="C299">
        <v>3</v>
      </c>
      <c r="D299">
        <v>2010</v>
      </c>
      <c r="E299" s="2">
        <v>1510925.32</v>
      </c>
      <c r="F299">
        <v>0</v>
      </c>
      <c r="G299" s="3">
        <v>82.15</v>
      </c>
      <c r="H299" s="2">
        <v>2.577</v>
      </c>
      <c r="I299">
        <v>213.05192220000001</v>
      </c>
      <c r="J299" s="3">
        <v>6.9729999999999999</v>
      </c>
    </row>
    <row r="300" spans="1:15" x14ac:dyDescent="0.25">
      <c r="A300">
        <v>6</v>
      </c>
      <c r="B300" s="1">
        <v>40460</v>
      </c>
      <c r="C300">
        <v>10</v>
      </c>
      <c r="D300">
        <v>2010</v>
      </c>
      <c r="E300" s="2">
        <v>1424225.44</v>
      </c>
      <c r="F300">
        <v>1</v>
      </c>
      <c r="G300" s="3">
        <v>78.78</v>
      </c>
      <c r="H300" s="2">
        <v>2.5649999999999999</v>
      </c>
      <c r="I300">
        <v>213.01331200000001</v>
      </c>
      <c r="J300" s="3">
        <v>6.9729999999999999</v>
      </c>
    </row>
    <row r="301" spans="1:15" x14ac:dyDescent="0.25">
      <c r="A301">
        <v>6</v>
      </c>
      <c r="B301" s="1">
        <v>40188</v>
      </c>
      <c r="C301">
        <v>1</v>
      </c>
      <c r="D301">
        <v>2010</v>
      </c>
      <c r="E301" s="2">
        <v>1328468.8899999999</v>
      </c>
      <c r="F301">
        <v>0</v>
      </c>
      <c r="G301" s="3">
        <v>70.69</v>
      </c>
      <c r="H301" s="2">
        <v>2.6030000000000002</v>
      </c>
      <c r="I301">
        <v>213.19071289999999</v>
      </c>
      <c r="J301" s="3">
        <v>7.0069999999999997</v>
      </c>
    </row>
    <row r="302" spans="1:15" x14ac:dyDescent="0.25">
      <c r="A302">
        <v>6</v>
      </c>
      <c r="B302" s="1">
        <v>40400</v>
      </c>
      <c r="C302">
        <v>8</v>
      </c>
      <c r="D302">
        <v>2010</v>
      </c>
      <c r="E302" s="2">
        <v>1360317.9</v>
      </c>
      <c r="F302">
        <v>0</v>
      </c>
      <c r="G302" s="3">
        <v>65.209999999999994</v>
      </c>
      <c r="H302" s="2">
        <v>2.633</v>
      </c>
      <c r="I302">
        <v>213.2661373</v>
      </c>
      <c r="J302" s="3">
        <v>7.0069999999999997</v>
      </c>
    </row>
    <row r="303" spans="1:15" x14ac:dyDescent="0.25">
      <c r="A303">
        <v>6</v>
      </c>
      <c r="B303" s="1">
        <v>40309</v>
      </c>
      <c r="C303">
        <v>5</v>
      </c>
      <c r="D303">
        <v>2010</v>
      </c>
      <c r="E303" s="2">
        <v>1505442.15</v>
      </c>
      <c r="F303">
        <v>0</v>
      </c>
      <c r="G303" s="3">
        <v>59.9</v>
      </c>
      <c r="H303" s="2">
        <v>2.6890000000000001</v>
      </c>
      <c r="I303">
        <v>213.47855029999999</v>
      </c>
      <c r="J303" s="3">
        <v>7.0069999999999997</v>
      </c>
    </row>
    <row r="304" spans="1:15" x14ac:dyDescent="0.25">
      <c r="A304">
        <v>6</v>
      </c>
      <c r="B304" s="1">
        <v>40523</v>
      </c>
      <c r="C304">
        <v>12</v>
      </c>
      <c r="D304">
        <v>2010</v>
      </c>
      <c r="E304" s="2">
        <v>1495536.46</v>
      </c>
      <c r="F304">
        <v>0</v>
      </c>
      <c r="G304" s="3">
        <v>62.11</v>
      </c>
      <c r="H304" s="2">
        <v>2.7280000000000002</v>
      </c>
      <c r="I304">
        <v>213.5268011</v>
      </c>
      <c r="J304" s="3">
        <v>7.0069999999999997</v>
      </c>
    </row>
    <row r="305" spans="1:10" x14ac:dyDescent="0.25">
      <c r="A305">
        <v>6</v>
      </c>
      <c r="B305" s="1">
        <v>40249</v>
      </c>
      <c r="C305">
        <v>3</v>
      </c>
      <c r="D305">
        <v>2010</v>
      </c>
      <c r="E305" s="2">
        <v>1677067.24</v>
      </c>
      <c r="F305">
        <v>0</v>
      </c>
      <c r="G305" s="3">
        <v>52.3</v>
      </c>
      <c r="H305" s="2">
        <v>2.7080000000000002</v>
      </c>
      <c r="I305">
        <v>213.123851</v>
      </c>
      <c r="J305" s="3">
        <v>7.0069999999999997</v>
      </c>
    </row>
    <row r="306" spans="1:10" x14ac:dyDescent="0.25">
      <c r="A306">
        <v>6</v>
      </c>
      <c r="B306" s="1">
        <v>40463</v>
      </c>
      <c r="C306">
        <v>10</v>
      </c>
      <c r="D306">
        <v>2010</v>
      </c>
      <c r="E306" s="2">
        <v>1834737.58</v>
      </c>
      <c r="F306">
        <v>0</v>
      </c>
      <c r="G306" s="3">
        <v>48.46</v>
      </c>
      <c r="H306" s="2">
        <v>2.843</v>
      </c>
      <c r="I306">
        <v>212.98040589999999</v>
      </c>
      <c r="J306" s="3">
        <v>7.0069999999999997</v>
      </c>
    </row>
    <row r="307" spans="1:10" x14ac:dyDescent="0.25">
      <c r="A307">
        <v>6</v>
      </c>
      <c r="B307" s="1">
        <v>40725</v>
      </c>
      <c r="C307">
        <v>7</v>
      </c>
      <c r="D307">
        <v>2011</v>
      </c>
      <c r="E307" s="2">
        <v>1350441.68</v>
      </c>
      <c r="F307">
        <v>0</v>
      </c>
      <c r="G307" s="3">
        <v>47.78</v>
      </c>
      <c r="H307" s="2">
        <v>2.976</v>
      </c>
      <c r="I307">
        <v>212.91342660000001</v>
      </c>
      <c r="J307" s="3">
        <v>6.8579999999999997</v>
      </c>
    </row>
    <row r="308" spans="1:10" x14ac:dyDescent="0.25">
      <c r="A308">
        <v>6</v>
      </c>
      <c r="B308" s="1">
        <v>40635</v>
      </c>
      <c r="C308">
        <v>4</v>
      </c>
      <c r="D308">
        <v>2011</v>
      </c>
      <c r="E308" s="2">
        <v>1514999.17</v>
      </c>
      <c r="F308">
        <v>0</v>
      </c>
      <c r="G308" s="3">
        <v>40.590000000000003</v>
      </c>
      <c r="H308" s="2">
        <v>2.9889999999999999</v>
      </c>
      <c r="I308">
        <v>214.0887176</v>
      </c>
      <c r="J308" s="3">
        <v>6.8579999999999997</v>
      </c>
    </row>
    <row r="309" spans="1:10" x14ac:dyDescent="0.25">
      <c r="A309">
        <v>6</v>
      </c>
      <c r="B309" s="1">
        <v>40849</v>
      </c>
      <c r="C309">
        <v>11</v>
      </c>
      <c r="D309">
        <v>2011</v>
      </c>
      <c r="E309" s="2">
        <v>1486920.17</v>
      </c>
      <c r="F309">
        <v>1</v>
      </c>
      <c r="G309" s="3">
        <v>39.380000000000003</v>
      </c>
      <c r="H309" s="2">
        <v>3.0219999999999998</v>
      </c>
      <c r="I309">
        <v>214.46309410000001</v>
      </c>
      <c r="J309" s="3">
        <v>6.8579999999999997</v>
      </c>
    </row>
    <row r="310" spans="1:10" x14ac:dyDescent="0.25">
      <c r="A310">
        <v>6</v>
      </c>
      <c r="B310" s="1">
        <v>40636</v>
      </c>
      <c r="C310">
        <v>4</v>
      </c>
      <c r="D310">
        <v>2011</v>
      </c>
      <c r="E310" s="2">
        <v>1502617.99</v>
      </c>
      <c r="F310">
        <v>0</v>
      </c>
      <c r="G310" s="3">
        <v>60.45</v>
      </c>
      <c r="H310" s="2">
        <v>3.2879999999999998</v>
      </c>
      <c r="I310">
        <v>215.35842310000001</v>
      </c>
      <c r="J310" s="3">
        <v>6.8579999999999997</v>
      </c>
    </row>
    <row r="311" spans="1:10" x14ac:dyDescent="0.25">
      <c r="A311">
        <v>6</v>
      </c>
      <c r="B311" s="1">
        <v>40850</v>
      </c>
      <c r="C311">
        <v>11</v>
      </c>
      <c r="D311">
        <v>2011</v>
      </c>
      <c r="E311" s="2">
        <v>1494497.39</v>
      </c>
      <c r="F311">
        <v>0</v>
      </c>
      <c r="G311" s="3">
        <v>57.71</v>
      </c>
      <c r="H311" s="2">
        <v>3.4590000000000001</v>
      </c>
      <c r="I311">
        <v>215.6488731</v>
      </c>
      <c r="J311" s="3">
        <v>6.8579999999999997</v>
      </c>
    </row>
    <row r="312" spans="1:10" x14ac:dyDescent="0.25">
      <c r="A312">
        <v>6</v>
      </c>
      <c r="B312" s="1">
        <v>40547</v>
      </c>
      <c r="C312">
        <v>1</v>
      </c>
      <c r="D312">
        <v>2011</v>
      </c>
      <c r="E312" s="2">
        <v>1459276.77</v>
      </c>
      <c r="F312">
        <v>0</v>
      </c>
      <c r="G312" s="3">
        <v>62.25</v>
      </c>
      <c r="H312" s="2">
        <v>3.524</v>
      </c>
      <c r="I312">
        <v>216.38412489999999</v>
      </c>
      <c r="J312" s="3">
        <v>6.8550000000000004</v>
      </c>
    </row>
    <row r="313" spans="1:10" x14ac:dyDescent="0.25">
      <c r="A313">
        <v>6</v>
      </c>
      <c r="B313" s="1">
        <v>40759</v>
      </c>
      <c r="C313">
        <v>8</v>
      </c>
      <c r="D313">
        <v>2011</v>
      </c>
      <c r="E313" s="2">
        <v>1534594</v>
      </c>
      <c r="F313">
        <v>0</v>
      </c>
      <c r="G313" s="3">
        <v>70.349999999999994</v>
      </c>
      <c r="H313" s="2">
        <v>3.6219999999999999</v>
      </c>
      <c r="I313">
        <v>216.62443339999999</v>
      </c>
      <c r="J313" s="3">
        <v>6.8550000000000004</v>
      </c>
    </row>
    <row r="314" spans="1:10" x14ac:dyDescent="0.25">
      <c r="A314">
        <v>6</v>
      </c>
      <c r="B314" s="1">
        <v>40699</v>
      </c>
      <c r="C314">
        <v>6</v>
      </c>
      <c r="D314">
        <v>2011</v>
      </c>
      <c r="E314" s="2">
        <v>1504651.57</v>
      </c>
      <c r="F314">
        <v>0</v>
      </c>
      <c r="G314" s="3">
        <v>65.42</v>
      </c>
      <c r="H314" s="2">
        <v>3.9060000000000001</v>
      </c>
      <c r="I314">
        <v>217.35475690000001</v>
      </c>
      <c r="J314" s="3">
        <v>6.8550000000000004</v>
      </c>
    </row>
    <row r="315" spans="1:10" x14ac:dyDescent="0.25">
      <c r="A315">
        <v>6</v>
      </c>
      <c r="B315" s="1">
        <v>40608</v>
      </c>
      <c r="C315">
        <v>3</v>
      </c>
      <c r="D315">
        <v>2011</v>
      </c>
      <c r="E315" s="2">
        <v>1705506.29</v>
      </c>
      <c r="F315">
        <v>0</v>
      </c>
      <c r="G315" s="3">
        <v>84.01</v>
      </c>
      <c r="H315" s="2">
        <v>3.6989999999999998</v>
      </c>
      <c r="I315">
        <v>216.81925200000001</v>
      </c>
      <c r="J315" s="3">
        <v>6.8550000000000004</v>
      </c>
    </row>
    <row r="316" spans="1:10" x14ac:dyDescent="0.25">
      <c r="A316">
        <v>6</v>
      </c>
      <c r="B316" s="1">
        <v>40822</v>
      </c>
      <c r="C316">
        <v>10</v>
      </c>
      <c r="D316">
        <v>2011</v>
      </c>
      <c r="E316" s="2">
        <v>1598643.65</v>
      </c>
      <c r="F316">
        <v>0</v>
      </c>
      <c r="G316" s="3">
        <v>84.49</v>
      </c>
      <c r="H316" s="2">
        <v>3.6480000000000001</v>
      </c>
      <c r="I316">
        <v>216.58407320000001</v>
      </c>
      <c r="J316" s="3">
        <v>6.8550000000000004</v>
      </c>
    </row>
    <row r="317" spans="1:10" x14ac:dyDescent="0.25">
      <c r="A317">
        <v>6</v>
      </c>
      <c r="B317" s="1">
        <v>40550</v>
      </c>
      <c r="C317">
        <v>1</v>
      </c>
      <c r="D317">
        <v>2011</v>
      </c>
      <c r="E317" s="2">
        <v>1694551.15</v>
      </c>
      <c r="F317">
        <v>0</v>
      </c>
      <c r="G317" s="3">
        <v>87</v>
      </c>
      <c r="H317" s="2">
        <v>3.524</v>
      </c>
      <c r="I317">
        <v>216.72573879999999</v>
      </c>
      <c r="J317" s="3">
        <v>6.9249999999999998</v>
      </c>
    </row>
    <row r="318" spans="1:10" x14ac:dyDescent="0.25">
      <c r="A318">
        <v>6</v>
      </c>
      <c r="B318" s="1">
        <v>40762</v>
      </c>
      <c r="C318">
        <v>8</v>
      </c>
      <c r="D318">
        <v>2011</v>
      </c>
      <c r="E318" s="2">
        <v>1709373.62</v>
      </c>
      <c r="F318">
        <v>0</v>
      </c>
      <c r="G318" s="3">
        <v>88.36</v>
      </c>
      <c r="H318" s="2">
        <v>3.48</v>
      </c>
      <c r="I318">
        <v>216.82002750000001</v>
      </c>
      <c r="J318" s="3">
        <v>6.9249999999999998</v>
      </c>
    </row>
    <row r="319" spans="1:10" x14ac:dyDescent="0.25">
      <c r="A319">
        <v>6</v>
      </c>
      <c r="B319" s="1">
        <v>40671</v>
      </c>
      <c r="C319">
        <v>5</v>
      </c>
      <c r="D319">
        <v>2011</v>
      </c>
      <c r="E319" s="2">
        <v>1601584.57</v>
      </c>
      <c r="F319">
        <v>0</v>
      </c>
      <c r="G319" s="3">
        <v>91.46</v>
      </c>
      <c r="H319" s="2">
        <v>3.6840000000000002</v>
      </c>
      <c r="I319">
        <v>217.08398940000001</v>
      </c>
      <c r="J319" s="3">
        <v>6.9249999999999998</v>
      </c>
    </row>
    <row r="320" spans="1:10" x14ac:dyDescent="0.25">
      <c r="A320">
        <v>6</v>
      </c>
      <c r="B320" s="1">
        <v>40885</v>
      </c>
      <c r="C320">
        <v>12</v>
      </c>
      <c r="D320">
        <v>2011</v>
      </c>
      <c r="E320" s="2">
        <v>1484995.38</v>
      </c>
      <c r="F320">
        <v>0</v>
      </c>
      <c r="G320" s="3">
        <v>90.49</v>
      </c>
      <c r="H320" s="2">
        <v>3.6379999999999999</v>
      </c>
      <c r="I320">
        <v>217.14382810000001</v>
      </c>
      <c r="J320" s="3">
        <v>6.9249999999999998</v>
      </c>
    </row>
    <row r="321" spans="1:10" x14ac:dyDescent="0.25">
      <c r="A321">
        <v>6</v>
      </c>
      <c r="B321" s="1">
        <v>40583</v>
      </c>
      <c r="C321">
        <v>2</v>
      </c>
      <c r="D321">
        <v>2011</v>
      </c>
      <c r="E321" s="2">
        <v>1481618.74</v>
      </c>
      <c r="F321">
        <v>0</v>
      </c>
      <c r="G321" s="3">
        <v>91.22</v>
      </c>
      <c r="H321" s="2">
        <v>3.5329999999999999</v>
      </c>
      <c r="I321">
        <v>217.3343423</v>
      </c>
      <c r="J321" s="3">
        <v>6.9249999999999998</v>
      </c>
    </row>
    <row r="322" spans="1:10" x14ac:dyDescent="0.25">
      <c r="A322">
        <v>6</v>
      </c>
      <c r="B322" s="1">
        <v>40795</v>
      </c>
      <c r="C322">
        <v>9</v>
      </c>
      <c r="D322">
        <v>2011</v>
      </c>
      <c r="E322" s="2">
        <v>1483574.38</v>
      </c>
      <c r="F322">
        <v>1</v>
      </c>
      <c r="G322" s="3">
        <v>80.209999999999994</v>
      </c>
      <c r="H322" s="2">
        <v>3.5459999999999998</v>
      </c>
      <c r="I322">
        <v>217.39803040000001</v>
      </c>
      <c r="J322" s="3">
        <v>6.9249999999999998</v>
      </c>
    </row>
    <row r="323" spans="1:10" x14ac:dyDescent="0.25">
      <c r="A323">
        <v>6</v>
      </c>
      <c r="B323" s="1">
        <v>40734</v>
      </c>
      <c r="C323">
        <v>7</v>
      </c>
      <c r="D323">
        <v>2011</v>
      </c>
      <c r="E323" s="2">
        <v>1481739.2</v>
      </c>
      <c r="F323">
        <v>0</v>
      </c>
      <c r="G323" s="3">
        <v>74.099999999999994</v>
      </c>
      <c r="H323" s="2">
        <v>3.2850000000000001</v>
      </c>
      <c r="I323">
        <v>218.59703999999999</v>
      </c>
      <c r="J323" s="3">
        <v>6.5510000000000002</v>
      </c>
    </row>
    <row r="324" spans="1:10" x14ac:dyDescent="0.25">
      <c r="A324">
        <v>6</v>
      </c>
      <c r="B324" s="1">
        <v>40644</v>
      </c>
      <c r="C324">
        <v>4</v>
      </c>
      <c r="D324">
        <v>2011</v>
      </c>
      <c r="E324" s="2">
        <v>1523420.38</v>
      </c>
      <c r="F324">
        <v>0</v>
      </c>
      <c r="G324" s="3">
        <v>58.54</v>
      </c>
      <c r="H324" s="2">
        <v>3.3319999999999999</v>
      </c>
      <c r="I324">
        <v>219.40008119999999</v>
      </c>
      <c r="J324" s="3">
        <v>6.5510000000000002</v>
      </c>
    </row>
    <row r="325" spans="1:10" x14ac:dyDescent="0.25">
      <c r="A325">
        <v>6</v>
      </c>
      <c r="B325" s="1">
        <v>40858</v>
      </c>
      <c r="C325">
        <v>11</v>
      </c>
      <c r="D325">
        <v>2011</v>
      </c>
      <c r="E325" s="2">
        <v>1536176.54</v>
      </c>
      <c r="F325">
        <v>0</v>
      </c>
      <c r="G325" s="3">
        <v>61.33</v>
      </c>
      <c r="H325" s="2">
        <v>3.2970000000000002</v>
      </c>
      <c r="I325">
        <v>219.56311349999999</v>
      </c>
      <c r="J325" s="3">
        <v>6.5510000000000002</v>
      </c>
    </row>
    <row r="326" spans="1:10" x14ac:dyDescent="0.25">
      <c r="A326">
        <v>6</v>
      </c>
      <c r="B326" s="1">
        <v>40586</v>
      </c>
      <c r="C326">
        <v>2</v>
      </c>
      <c r="D326">
        <v>2011</v>
      </c>
      <c r="E326" s="2">
        <v>1688531.34</v>
      </c>
      <c r="F326">
        <v>0</v>
      </c>
      <c r="G326" s="3">
        <v>51.18</v>
      </c>
      <c r="H326" s="2">
        <v>3.1720000000000002</v>
      </c>
      <c r="I326">
        <v>220.29376859999999</v>
      </c>
      <c r="J326" s="3">
        <v>6.5510000000000002</v>
      </c>
    </row>
    <row r="327" spans="1:10" x14ac:dyDescent="0.25">
      <c r="A327">
        <v>6</v>
      </c>
      <c r="B327" s="1">
        <v>40798</v>
      </c>
      <c r="C327">
        <v>9</v>
      </c>
      <c r="D327">
        <v>2011</v>
      </c>
      <c r="E327" s="2">
        <v>1903385.14</v>
      </c>
      <c r="F327">
        <v>0</v>
      </c>
      <c r="G327" s="3">
        <v>43.64</v>
      </c>
      <c r="H327" s="2">
        <v>3.1579999999999999</v>
      </c>
      <c r="I327">
        <v>220.54579609999999</v>
      </c>
      <c r="J327" s="3">
        <v>6.5510000000000002</v>
      </c>
    </row>
    <row r="328" spans="1:10" x14ac:dyDescent="0.25">
      <c r="A328">
        <v>6</v>
      </c>
      <c r="B328" s="1">
        <v>41061</v>
      </c>
      <c r="C328">
        <v>6</v>
      </c>
      <c r="D328">
        <v>2012</v>
      </c>
      <c r="E328" s="2">
        <v>1395339.71</v>
      </c>
      <c r="F328">
        <v>0</v>
      </c>
      <c r="G328" s="3">
        <v>50.82</v>
      </c>
      <c r="H328" s="2">
        <v>3.157</v>
      </c>
      <c r="I328">
        <v>221.3088023</v>
      </c>
      <c r="J328" s="3">
        <v>6.1319999999999997</v>
      </c>
    </row>
    <row r="329" spans="1:10" x14ac:dyDescent="0.25">
      <c r="A329">
        <v>6</v>
      </c>
      <c r="B329" s="1">
        <v>40970</v>
      </c>
      <c r="C329">
        <v>3</v>
      </c>
      <c r="D329">
        <v>2012</v>
      </c>
      <c r="E329" s="2">
        <v>1496305.78</v>
      </c>
      <c r="F329">
        <v>0</v>
      </c>
      <c r="G329" s="3">
        <v>57.45</v>
      </c>
      <c r="H329" s="2">
        <v>3.36</v>
      </c>
      <c r="I329">
        <v>221.77070929999999</v>
      </c>
      <c r="J329" s="3">
        <v>6.1319999999999997</v>
      </c>
    </row>
    <row r="330" spans="1:10" x14ac:dyDescent="0.25">
      <c r="A330">
        <v>6</v>
      </c>
      <c r="B330" s="1">
        <v>41184</v>
      </c>
      <c r="C330">
        <v>10</v>
      </c>
      <c r="D330">
        <v>2012</v>
      </c>
      <c r="E330" s="2">
        <v>1620603.92</v>
      </c>
      <c r="F330">
        <v>1</v>
      </c>
      <c r="G330" s="3">
        <v>48.58</v>
      </c>
      <c r="H330" s="2">
        <v>3.4089999999999998</v>
      </c>
      <c r="I330">
        <v>221.86449870000001</v>
      </c>
      <c r="J330" s="3">
        <v>6.1319999999999997</v>
      </c>
    </row>
    <row r="331" spans="1:10" x14ac:dyDescent="0.25">
      <c r="A331">
        <v>6</v>
      </c>
      <c r="B331" s="1">
        <v>40942</v>
      </c>
      <c r="C331">
        <v>2</v>
      </c>
      <c r="D331">
        <v>2012</v>
      </c>
      <c r="E331" s="2">
        <v>1550385.65</v>
      </c>
      <c r="F331">
        <v>0</v>
      </c>
      <c r="G331" s="3">
        <v>60.32</v>
      </c>
      <c r="H331" s="2">
        <v>3.63</v>
      </c>
      <c r="I331">
        <v>222.4521862</v>
      </c>
      <c r="J331" s="3">
        <v>6.1319999999999997</v>
      </c>
    </row>
    <row r="332" spans="1:10" x14ac:dyDescent="0.25">
      <c r="A332">
        <v>6</v>
      </c>
      <c r="B332" s="1">
        <v>41155</v>
      </c>
      <c r="C332">
        <v>9</v>
      </c>
      <c r="D332">
        <v>2012</v>
      </c>
      <c r="E332" s="2">
        <v>1569304.4</v>
      </c>
      <c r="F332">
        <v>0</v>
      </c>
      <c r="G332" s="3">
        <v>57.89</v>
      </c>
      <c r="H332" s="2">
        <v>3.669</v>
      </c>
      <c r="I332">
        <v>222.66509980000001</v>
      </c>
      <c r="J332" s="3">
        <v>6.1319999999999997</v>
      </c>
    </row>
    <row r="333" spans="1:10" x14ac:dyDescent="0.25">
      <c r="A333">
        <v>6</v>
      </c>
      <c r="B333" s="1">
        <v>41064</v>
      </c>
      <c r="C333">
        <v>6</v>
      </c>
      <c r="D333">
        <v>2012</v>
      </c>
      <c r="E333" s="2">
        <v>1840131.19</v>
      </c>
      <c r="F333">
        <v>0</v>
      </c>
      <c r="G333" s="3">
        <v>71.599999999999994</v>
      </c>
      <c r="H333" s="2">
        <v>3.891</v>
      </c>
      <c r="I333">
        <v>223.04192979999999</v>
      </c>
      <c r="J333" s="3">
        <v>5.9640000000000004</v>
      </c>
    </row>
    <row r="334" spans="1:10" x14ac:dyDescent="0.25">
      <c r="A334">
        <v>6</v>
      </c>
      <c r="B334" s="1">
        <v>41004</v>
      </c>
      <c r="C334">
        <v>4</v>
      </c>
      <c r="D334">
        <v>2012</v>
      </c>
      <c r="E334" s="2">
        <v>1543461.12</v>
      </c>
      <c r="F334">
        <v>0</v>
      </c>
      <c r="G334" s="3">
        <v>77.66</v>
      </c>
      <c r="H334" s="2">
        <v>3.7490000000000001</v>
      </c>
      <c r="I334">
        <v>223.2800541</v>
      </c>
      <c r="J334" s="3">
        <v>5.9640000000000004</v>
      </c>
    </row>
    <row r="335" spans="1:10" x14ac:dyDescent="0.25">
      <c r="A335">
        <v>6</v>
      </c>
      <c r="B335" s="1">
        <v>41218</v>
      </c>
      <c r="C335">
        <v>11</v>
      </c>
      <c r="D335">
        <v>2012</v>
      </c>
      <c r="E335" s="2">
        <v>1517075.67</v>
      </c>
      <c r="F335">
        <v>0</v>
      </c>
      <c r="G335" s="3">
        <v>72.66</v>
      </c>
      <c r="H335" s="2">
        <v>3.6880000000000002</v>
      </c>
      <c r="I335">
        <v>223.33462119999999</v>
      </c>
      <c r="J335" s="3">
        <v>5.9640000000000004</v>
      </c>
    </row>
    <row r="336" spans="1:10" x14ac:dyDescent="0.25">
      <c r="A336">
        <v>6</v>
      </c>
      <c r="B336" s="1">
        <v>40914</v>
      </c>
      <c r="C336">
        <v>1</v>
      </c>
      <c r="D336">
        <v>2012</v>
      </c>
      <c r="E336" s="2">
        <v>1681121.38</v>
      </c>
      <c r="F336">
        <v>0</v>
      </c>
      <c r="G336" s="3">
        <v>80.39</v>
      </c>
      <c r="H336" s="2">
        <v>3.5009999999999999</v>
      </c>
      <c r="I336">
        <v>223.35393970000001</v>
      </c>
      <c r="J336" s="3">
        <v>5.9640000000000004</v>
      </c>
    </row>
    <row r="337" spans="1:10" x14ac:dyDescent="0.25">
      <c r="A337">
        <v>6</v>
      </c>
      <c r="B337" s="1">
        <v>41127</v>
      </c>
      <c r="C337">
        <v>8</v>
      </c>
      <c r="D337">
        <v>2012</v>
      </c>
      <c r="E337" s="2">
        <v>1696619.52</v>
      </c>
      <c r="F337">
        <v>0</v>
      </c>
      <c r="G337" s="3">
        <v>80.5</v>
      </c>
      <c r="H337" s="2">
        <v>3.452</v>
      </c>
      <c r="I337">
        <v>223.35531309999999</v>
      </c>
      <c r="J337" s="3">
        <v>5.9640000000000004</v>
      </c>
    </row>
    <row r="338" spans="1:10" x14ac:dyDescent="0.25">
      <c r="A338">
        <v>6</v>
      </c>
      <c r="B338" s="1">
        <v>41067</v>
      </c>
      <c r="C338">
        <v>6</v>
      </c>
      <c r="D338">
        <v>2012</v>
      </c>
      <c r="E338" s="2">
        <v>1876359.39</v>
      </c>
      <c r="F338">
        <v>0</v>
      </c>
      <c r="G338" s="3">
        <v>82.95</v>
      </c>
      <c r="H338" s="2">
        <v>3.2269999999999999</v>
      </c>
      <c r="I338">
        <v>223.49198509999999</v>
      </c>
      <c r="J338" s="3">
        <v>5.6680000000000001</v>
      </c>
    </row>
    <row r="339" spans="1:10" x14ac:dyDescent="0.25">
      <c r="A339">
        <v>6</v>
      </c>
      <c r="B339" s="1">
        <v>40976</v>
      </c>
      <c r="C339">
        <v>3</v>
      </c>
      <c r="D339">
        <v>2012</v>
      </c>
      <c r="E339" s="2">
        <v>1627274.93</v>
      </c>
      <c r="F339">
        <v>0</v>
      </c>
      <c r="G339" s="3">
        <v>87.55</v>
      </c>
      <c r="H339" s="2">
        <v>3.4169999999999998</v>
      </c>
      <c r="I339">
        <v>223.5607856</v>
      </c>
      <c r="J339" s="3">
        <v>5.6680000000000001</v>
      </c>
    </row>
    <row r="340" spans="1:10" x14ac:dyDescent="0.25">
      <c r="A340">
        <v>6</v>
      </c>
      <c r="B340" s="1">
        <v>41190</v>
      </c>
      <c r="C340">
        <v>10</v>
      </c>
      <c r="D340">
        <v>2012</v>
      </c>
      <c r="E340" s="2">
        <v>1588380.73</v>
      </c>
      <c r="F340">
        <v>0</v>
      </c>
      <c r="G340" s="3">
        <v>87.04</v>
      </c>
      <c r="H340" s="2">
        <v>3.4940000000000002</v>
      </c>
      <c r="I340">
        <v>223.56995330000001</v>
      </c>
      <c r="J340" s="3">
        <v>5.6680000000000001</v>
      </c>
    </row>
    <row r="341" spans="1:10" x14ac:dyDescent="0.25">
      <c r="A341">
        <v>6</v>
      </c>
      <c r="B341" s="1">
        <v>41099</v>
      </c>
      <c r="C341">
        <v>7</v>
      </c>
      <c r="D341">
        <v>2012</v>
      </c>
      <c r="E341" s="2">
        <v>1608077.01</v>
      </c>
      <c r="F341">
        <v>1</v>
      </c>
      <c r="G341" s="3">
        <v>86.33</v>
      </c>
      <c r="H341" s="2">
        <v>3.73</v>
      </c>
      <c r="I341">
        <v>224.05600759999999</v>
      </c>
      <c r="J341" s="3">
        <v>5.6680000000000001</v>
      </c>
    </row>
    <row r="342" spans="1:10" x14ac:dyDescent="0.25">
      <c r="A342">
        <v>6</v>
      </c>
      <c r="B342" s="1">
        <v>41039</v>
      </c>
      <c r="C342">
        <v>5</v>
      </c>
      <c r="D342">
        <v>2012</v>
      </c>
      <c r="E342" s="2">
        <v>1518177.71</v>
      </c>
      <c r="F342">
        <v>0</v>
      </c>
      <c r="G342" s="3">
        <v>70.84</v>
      </c>
      <c r="H342" s="2">
        <v>3.617</v>
      </c>
      <c r="I342">
        <v>224.80422200000001</v>
      </c>
      <c r="J342" s="3">
        <v>5.3289999999999997</v>
      </c>
    </row>
    <row r="343" spans="1:10" x14ac:dyDescent="0.25">
      <c r="A343">
        <v>6</v>
      </c>
      <c r="B343" s="1">
        <v>41253</v>
      </c>
      <c r="C343">
        <v>12</v>
      </c>
      <c r="D343">
        <v>2012</v>
      </c>
      <c r="E343" s="2">
        <v>1459396.84</v>
      </c>
      <c r="F343">
        <v>0</v>
      </c>
      <c r="G343" s="3">
        <v>65.430000000000007</v>
      </c>
      <c r="H343" s="2">
        <v>3.601</v>
      </c>
      <c r="I343">
        <v>225.00547330000001</v>
      </c>
      <c r="J343" s="3">
        <v>5.3289999999999997</v>
      </c>
    </row>
    <row r="344" spans="1:10" x14ac:dyDescent="0.25">
      <c r="A344">
        <v>7</v>
      </c>
      <c r="B344" s="1">
        <v>40300</v>
      </c>
      <c r="C344">
        <v>5</v>
      </c>
      <c r="D344">
        <v>2010</v>
      </c>
      <c r="E344" s="2">
        <v>496725.44</v>
      </c>
      <c r="F344">
        <v>0</v>
      </c>
      <c r="G344" s="3">
        <v>10.53</v>
      </c>
      <c r="H344" s="2">
        <v>2.58</v>
      </c>
      <c r="I344">
        <v>189.38169740000001</v>
      </c>
      <c r="J344" s="3">
        <v>9.0139999999999993</v>
      </c>
    </row>
    <row r="345" spans="1:10" x14ac:dyDescent="0.25">
      <c r="A345">
        <v>7</v>
      </c>
      <c r="B345" s="1">
        <v>40514</v>
      </c>
      <c r="C345">
        <v>12</v>
      </c>
      <c r="D345">
        <v>2010</v>
      </c>
      <c r="E345" s="2">
        <v>524104.92</v>
      </c>
      <c r="F345">
        <v>1</v>
      </c>
      <c r="G345" s="3">
        <v>25.9</v>
      </c>
      <c r="H345" s="2">
        <v>2.5720000000000001</v>
      </c>
      <c r="I345">
        <v>189.46427249999999</v>
      </c>
      <c r="J345" s="3">
        <v>9.0139999999999993</v>
      </c>
    </row>
    <row r="346" spans="1:10" x14ac:dyDescent="0.25">
      <c r="A346">
        <v>7</v>
      </c>
      <c r="B346" s="1">
        <v>40301</v>
      </c>
      <c r="C346">
        <v>5</v>
      </c>
      <c r="D346">
        <v>2010</v>
      </c>
      <c r="E346" s="2">
        <v>491419.55</v>
      </c>
      <c r="F346">
        <v>0</v>
      </c>
      <c r="G346" s="3">
        <v>35.86</v>
      </c>
      <c r="H346" s="2">
        <v>2.62</v>
      </c>
      <c r="I346">
        <v>189.66950489999999</v>
      </c>
      <c r="J346" s="3">
        <v>9.0139999999999993</v>
      </c>
    </row>
    <row r="347" spans="1:10" x14ac:dyDescent="0.25">
      <c r="A347">
        <v>7</v>
      </c>
      <c r="B347" s="1">
        <v>40515</v>
      </c>
      <c r="C347">
        <v>12</v>
      </c>
      <c r="D347">
        <v>2010</v>
      </c>
      <c r="E347" s="2">
        <v>480452.1</v>
      </c>
      <c r="F347">
        <v>0</v>
      </c>
      <c r="G347" s="3">
        <v>27.25</v>
      </c>
      <c r="H347" s="2">
        <v>2.6840000000000002</v>
      </c>
      <c r="I347">
        <v>189.73720750000001</v>
      </c>
      <c r="J347" s="3">
        <v>9.0139999999999993</v>
      </c>
    </row>
    <row r="348" spans="1:10" x14ac:dyDescent="0.25">
      <c r="A348">
        <v>7</v>
      </c>
      <c r="B348" s="1">
        <v>40213</v>
      </c>
      <c r="C348">
        <v>2</v>
      </c>
      <c r="D348">
        <v>2010</v>
      </c>
      <c r="E348" s="2">
        <v>561145.14</v>
      </c>
      <c r="F348">
        <v>0</v>
      </c>
      <c r="G348" s="3">
        <v>38.26</v>
      </c>
      <c r="H348" s="2">
        <v>2.7250000000000001</v>
      </c>
      <c r="I348">
        <v>189.70482150000001</v>
      </c>
      <c r="J348" s="3">
        <v>8.9629999999999992</v>
      </c>
    </row>
    <row r="349" spans="1:10" x14ac:dyDescent="0.25">
      <c r="A349">
        <v>7</v>
      </c>
      <c r="B349" s="1">
        <v>40425</v>
      </c>
      <c r="C349">
        <v>9</v>
      </c>
      <c r="D349">
        <v>2010</v>
      </c>
      <c r="E349" s="2">
        <v>484263.25</v>
      </c>
      <c r="F349">
        <v>0</v>
      </c>
      <c r="G349" s="3">
        <v>33.79</v>
      </c>
      <c r="H349" s="2">
        <v>2.75</v>
      </c>
      <c r="I349">
        <v>189.69010119999999</v>
      </c>
      <c r="J349" s="3">
        <v>8.9629999999999992</v>
      </c>
    </row>
    <row r="350" spans="1:10" x14ac:dyDescent="0.25">
      <c r="A350">
        <v>7</v>
      </c>
      <c r="B350" s="1">
        <v>40364</v>
      </c>
      <c r="C350">
        <v>7</v>
      </c>
      <c r="D350">
        <v>2010</v>
      </c>
      <c r="E350" s="2">
        <v>395453.83</v>
      </c>
      <c r="F350">
        <v>0</v>
      </c>
      <c r="G350" s="3">
        <v>40.07</v>
      </c>
      <c r="H350" s="2">
        <v>2.7709999999999999</v>
      </c>
      <c r="I350">
        <v>189.53124829999999</v>
      </c>
      <c r="J350" s="3">
        <v>8.9629999999999992</v>
      </c>
    </row>
    <row r="351" spans="1:10" x14ac:dyDescent="0.25">
      <c r="A351">
        <v>7</v>
      </c>
      <c r="B351" s="1">
        <v>40274</v>
      </c>
      <c r="C351">
        <v>4</v>
      </c>
      <c r="D351">
        <v>2010</v>
      </c>
      <c r="E351" s="2">
        <v>509183.22</v>
      </c>
      <c r="F351">
        <v>0</v>
      </c>
      <c r="G351" s="3">
        <v>53.63</v>
      </c>
      <c r="H351" s="2">
        <v>2.7</v>
      </c>
      <c r="I351">
        <v>189.42265800000001</v>
      </c>
      <c r="J351" s="3">
        <v>8.9629999999999992</v>
      </c>
    </row>
    <row r="352" spans="1:10" x14ac:dyDescent="0.25">
      <c r="A352">
        <v>7</v>
      </c>
      <c r="B352" s="1">
        <v>40488</v>
      </c>
      <c r="C352">
        <v>11</v>
      </c>
      <c r="D352">
        <v>2010</v>
      </c>
      <c r="E352" s="2">
        <v>498580.87</v>
      </c>
      <c r="F352">
        <v>0</v>
      </c>
      <c r="G352" s="3">
        <v>63.59</v>
      </c>
      <c r="H352" s="2">
        <v>2.6840000000000002</v>
      </c>
      <c r="I352">
        <v>189.4000734</v>
      </c>
      <c r="J352" s="3">
        <v>8.9629999999999992</v>
      </c>
    </row>
    <row r="353" spans="1:10" x14ac:dyDescent="0.25">
      <c r="A353">
        <v>7</v>
      </c>
      <c r="B353" s="1">
        <v>40216</v>
      </c>
      <c r="C353">
        <v>2</v>
      </c>
      <c r="D353">
        <v>2010</v>
      </c>
      <c r="E353" s="2">
        <v>575570.77</v>
      </c>
      <c r="F353">
        <v>0</v>
      </c>
      <c r="G353" s="3">
        <v>61.31</v>
      </c>
      <c r="H353" s="2">
        <v>2.7280000000000002</v>
      </c>
      <c r="I353">
        <v>189.48826030000001</v>
      </c>
      <c r="J353" s="3">
        <v>9.0169999999999995</v>
      </c>
    </row>
    <row r="354" spans="1:10" x14ac:dyDescent="0.25">
      <c r="A354">
        <v>7</v>
      </c>
      <c r="B354" s="1">
        <v>40428</v>
      </c>
      <c r="C354">
        <v>9</v>
      </c>
      <c r="D354">
        <v>2010</v>
      </c>
      <c r="E354" s="2">
        <v>593462.34</v>
      </c>
      <c r="F354">
        <v>0</v>
      </c>
      <c r="G354" s="3">
        <v>58</v>
      </c>
      <c r="H354" s="2">
        <v>2.7109999999999999</v>
      </c>
      <c r="I354">
        <v>189.52312760000001</v>
      </c>
      <c r="J354" s="3">
        <v>9.0169999999999995</v>
      </c>
    </row>
    <row r="355" spans="1:10" x14ac:dyDescent="0.25">
      <c r="A355">
        <v>7</v>
      </c>
      <c r="B355" s="1">
        <v>40337</v>
      </c>
      <c r="C355">
        <v>6</v>
      </c>
      <c r="D355">
        <v>2010</v>
      </c>
      <c r="E355" s="2">
        <v>643854.17000000004</v>
      </c>
      <c r="F355">
        <v>0</v>
      </c>
      <c r="G355" s="3">
        <v>61.7</v>
      </c>
      <c r="H355" s="2">
        <v>2.69</v>
      </c>
      <c r="I355">
        <v>190.09900279999999</v>
      </c>
      <c r="J355" s="3">
        <v>9.0169999999999995</v>
      </c>
    </row>
    <row r="356" spans="1:10" x14ac:dyDescent="0.25">
      <c r="A356">
        <v>7</v>
      </c>
      <c r="B356" s="1">
        <v>40246</v>
      </c>
      <c r="C356">
        <v>3</v>
      </c>
      <c r="D356">
        <v>2010</v>
      </c>
      <c r="E356" s="2">
        <v>532765.05000000005</v>
      </c>
      <c r="F356">
        <v>0</v>
      </c>
      <c r="G356" s="3">
        <v>49.84</v>
      </c>
      <c r="H356" s="2">
        <v>2.7730000000000001</v>
      </c>
      <c r="I356">
        <v>190.3621607</v>
      </c>
      <c r="J356" s="3">
        <v>9.0169999999999995</v>
      </c>
    </row>
    <row r="357" spans="1:10" x14ac:dyDescent="0.25">
      <c r="A357">
        <v>7</v>
      </c>
      <c r="B357" s="1">
        <v>40460</v>
      </c>
      <c r="C357">
        <v>10</v>
      </c>
      <c r="D357">
        <v>2010</v>
      </c>
      <c r="E357" s="2">
        <v>535769.31999999995</v>
      </c>
      <c r="F357">
        <v>1</v>
      </c>
      <c r="G357" s="3">
        <v>48.5</v>
      </c>
      <c r="H357" s="2">
        <v>2.78</v>
      </c>
      <c r="I357">
        <v>190.3958293</v>
      </c>
      <c r="J357" s="3">
        <v>9.0169999999999995</v>
      </c>
    </row>
    <row r="358" spans="1:10" x14ac:dyDescent="0.25">
      <c r="A358">
        <v>7</v>
      </c>
      <c r="B358" s="1">
        <v>40188</v>
      </c>
      <c r="C358">
        <v>1</v>
      </c>
      <c r="D358">
        <v>2010</v>
      </c>
      <c r="E358" s="2">
        <v>448998.73</v>
      </c>
      <c r="F358">
        <v>0</v>
      </c>
      <c r="G358" s="3">
        <v>49.99</v>
      </c>
      <c r="H358" s="2">
        <v>2.7589999999999999</v>
      </c>
      <c r="I358">
        <v>190.67382409999999</v>
      </c>
      <c r="J358" s="3">
        <v>9.1370000000000005</v>
      </c>
    </row>
    <row r="359" spans="1:10" x14ac:dyDescent="0.25">
      <c r="A359">
        <v>7</v>
      </c>
      <c r="B359" s="1">
        <v>40400</v>
      </c>
      <c r="C359">
        <v>8</v>
      </c>
      <c r="D359">
        <v>2010</v>
      </c>
      <c r="E359" s="2">
        <v>480239.88</v>
      </c>
      <c r="F359">
        <v>0</v>
      </c>
      <c r="G359" s="3">
        <v>44.13</v>
      </c>
      <c r="H359" s="2">
        <v>2.7450000000000001</v>
      </c>
      <c r="I359">
        <v>190.77632180000001</v>
      </c>
      <c r="J359" s="3">
        <v>9.1370000000000005</v>
      </c>
    </row>
    <row r="360" spans="1:10" x14ac:dyDescent="0.25">
      <c r="A360">
        <v>7</v>
      </c>
      <c r="B360" s="1">
        <v>40309</v>
      </c>
      <c r="C360">
        <v>5</v>
      </c>
      <c r="D360">
        <v>2010</v>
      </c>
      <c r="E360" s="2">
        <v>480512.44</v>
      </c>
      <c r="F360">
        <v>0</v>
      </c>
      <c r="G360" s="3">
        <v>49.44</v>
      </c>
      <c r="H360" s="2">
        <v>2.7290000000000001</v>
      </c>
      <c r="I360">
        <v>190.9964377</v>
      </c>
      <c r="J360" s="3">
        <v>9.1370000000000005</v>
      </c>
    </row>
    <row r="361" spans="1:10" x14ac:dyDescent="0.25">
      <c r="A361">
        <v>7</v>
      </c>
      <c r="B361" s="1">
        <v>40523</v>
      </c>
      <c r="C361">
        <v>12</v>
      </c>
      <c r="D361">
        <v>2010</v>
      </c>
      <c r="E361" s="2">
        <v>507584.29</v>
      </c>
      <c r="F361">
        <v>0</v>
      </c>
      <c r="G361" s="3">
        <v>22.12</v>
      </c>
      <c r="H361" s="2">
        <v>2.7370000000000001</v>
      </c>
      <c r="I361">
        <v>191.0411474</v>
      </c>
      <c r="J361" s="3">
        <v>9.1370000000000005</v>
      </c>
    </row>
    <row r="362" spans="1:10" x14ac:dyDescent="0.25">
      <c r="A362">
        <v>7</v>
      </c>
      <c r="B362" s="1">
        <v>40249</v>
      </c>
      <c r="C362">
        <v>3</v>
      </c>
      <c r="D362">
        <v>2010</v>
      </c>
      <c r="E362" s="2">
        <v>552811.62</v>
      </c>
      <c r="F362">
        <v>0</v>
      </c>
      <c r="G362" s="3">
        <v>21.88</v>
      </c>
      <c r="H362" s="2">
        <v>2.7120000000000002</v>
      </c>
      <c r="I362">
        <v>190.99314369999999</v>
      </c>
      <c r="J362" s="3">
        <v>9.1370000000000005</v>
      </c>
    </row>
    <row r="363" spans="1:10" x14ac:dyDescent="0.25">
      <c r="A363">
        <v>7</v>
      </c>
      <c r="B363" s="1">
        <v>40463</v>
      </c>
      <c r="C363">
        <v>10</v>
      </c>
      <c r="D363">
        <v>2010</v>
      </c>
      <c r="E363" s="2">
        <v>599730.06999999995</v>
      </c>
      <c r="F363">
        <v>0</v>
      </c>
      <c r="G363" s="3">
        <v>24.24</v>
      </c>
      <c r="H363" s="2">
        <v>2.7280000000000002</v>
      </c>
      <c r="I363">
        <v>190.97410690000001</v>
      </c>
      <c r="J363" s="3">
        <v>9.1370000000000005</v>
      </c>
    </row>
    <row r="364" spans="1:10" x14ac:dyDescent="0.25">
      <c r="A364">
        <v>7</v>
      </c>
      <c r="B364" s="1">
        <v>40725</v>
      </c>
      <c r="C364">
        <v>7</v>
      </c>
      <c r="D364">
        <v>2011</v>
      </c>
      <c r="E364" s="2">
        <v>661163.93999999994</v>
      </c>
      <c r="F364">
        <v>0</v>
      </c>
      <c r="G364" s="3">
        <v>10.09</v>
      </c>
      <c r="H364" s="2">
        <v>2.8820000000000001</v>
      </c>
      <c r="I364">
        <v>191.3683815</v>
      </c>
      <c r="J364" s="3">
        <v>8.8179999999999996</v>
      </c>
    </row>
    <row r="365" spans="1:10" x14ac:dyDescent="0.25">
      <c r="A365">
        <v>7</v>
      </c>
      <c r="B365" s="1">
        <v>40635</v>
      </c>
      <c r="C365">
        <v>4</v>
      </c>
      <c r="D365">
        <v>2011</v>
      </c>
      <c r="E365" s="2">
        <v>558027.77</v>
      </c>
      <c r="F365">
        <v>0</v>
      </c>
      <c r="G365" s="3">
        <v>-2.06</v>
      </c>
      <c r="H365" s="2">
        <v>3.0110000000000001</v>
      </c>
      <c r="I365">
        <v>191.76258949999999</v>
      </c>
      <c r="J365" s="3">
        <v>8.8179999999999996</v>
      </c>
    </row>
    <row r="366" spans="1:10" x14ac:dyDescent="0.25">
      <c r="A366">
        <v>7</v>
      </c>
      <c r="B366" s="1">
        <v>40849</v>
      </c>
      <c r="C366">
        <v>11</v>
      </c>
      <c r="D366">
        <v>2011</v>
      </c>
      <c r="E366" s="2">
        <v>559903.13</v>
      </c>
      <c r="F366">
        <v>1</v>
      </c>
      <c r="G366" s="3">
        <v>10.24</v>
      </c>
      <c r="H366" s="2">
        <v>3.0369999999999999</v>
      </c>
      <c r="I366">
        <v>191.85728810000001</v>
      </c>
      <c r="J366" s="3">
        <v>8.8179999999999996</v>
      </c>
    </row>
    <row r="367" spans="1:10" x14ac:dyDescent="0.25">
      <c r="A367">
        <v>7</v>
      </c>
      <c r="B367" s="1">
        <v>40636</v>
      </c>
      <c r="C367">
        <v>4</v>
      </c>
      <c r="D367">
        <v>2011</v>
      </c>
      <c r="E367" s="2">
        <v>551378.39</v>
      </c>
      <c r="F367">
        <v>0</v>
      </c>
      <c r="G367" s="3">
        <v>21.84</v>
      </c>
      <c r="H367" s="2">
        <v>3.2320000000000002</v>
      </c>
      <c r="I367">
        <v>192.01160039999999</v>
      </c>
      <c r="J367" s="3">
        <v>8.8179999999999996</v>
      </c>
    </row>
    <row r="368" spans="1:10" x14ac:dyDescent="0.25">
      <c r="A368">
        <v>7</v>
      </c>
      <c r="B368" s="1">
        <v>40850</v>
      </c>
      <c r="C368">
        <v>11</v>
      </c>
      <c r="D368">
        <v>2011</v>
      </c>
      <c r="E368" s="2">
        <v>558963.82999999996</v>
      </c>
      <c r="F368">
        <v>0</v>
      </c>
      <c r="G368" s="3">
        <v>20.7</v>
      </c>
      <c r="H368" s="2">
        <v>3.3719999999999999</v>
      </c>
      <c r="I368">
        <v>192.05848399999999</v>
      </c>
      <c r="J368" s="3">
        <v>8.8179999999999996</v>
      </c>
    </row>
    <row r="369" spans="1:10" x14ac:dyDescent="0.25">
      <c r="A369">
        <v>7</v>
      </c>
      <c r="B369" s="1">
        <v>40547</v>
      </c>
      <c r="C369">
        <v>1</v>
      </c>
      <c r="D369">
        <v>2011</v>
      </c>
      <c r="E369" s="2">
        <v>513409.67</v>
      </c>
      <c r="F369">
        <v>0</v>
      </c>
      <c r="G369" s="3">
        <v>24.83</v>
      </c>
      <c r="H369" s="2">
        <v>3.4609999999999999</v>
      </c>
      <c r="I369">
        <v>192.26917069999999</v>
      </c>
      <c r="J369" s="3">
        <v>8.5950000000000006</v>
      </c>
    </row>
    <row r="370" spans="1:10" x14ac:dyDescent="0.25">
      <c r="A370">
        <v>7</v>
      </c>
      <c r="B370" s="1">
        <v>40759</v>
      </c>
      <c r="C370">
        <v>8</v>
      </c>
      <c r="D370">
        <v>2011</v>
      </c>
      <c r="E370" s="2">
        <v>500552.16</v>
      </c>
      <c r="F370">
        <v>0</v>
      </c>
      <c r="G370" s="3">
        <v>30.64</v>
      </c>
      <c r="H370" s="2">
        <v>3.532</v>
      </c>
      <c r="I370">
        <v>192.3418571</v>
      </c>
      <c r="J370" s="3">
        <v>8.5950000000000006</v>
      </c>
    </row>
    <row r="371" spans="1:10" x14ac:dyDescent="0.25">
      <c r="A371">
        <v>7</v>
      </c>
      <c r="B371" s="1">
        <v>40699</v>
      </c>
      <c r="C371">
        <v>6</v>
      </c>
      <c r="D371">
        <v>2011</v>
      </c>
      <c r="E371" s="2">
        <v>407012.47</v>
      </c>
      <c r="F371">
        <v>0</v>
      </c>
      <c r="G371" s="3">
        <v>26.54</v>
      </c>
      <c r="H371" s="2">
        <v>3.7349999999999999</v>
      </c>
      <c r="I371">
        <v>192.72520059999999</v>
      </c>
      <c r="J371" s="3">
        <v>8.5950000000000006</v>
      </c>
    </row>
    <row r="372" spans="1:10" x14ac:dyDescent="0.25">
      <c r="A372">
        <v>7</v>
      </c>
      <c r="B372" s="1">
        <v>40608</v>
      </c>
      <c r="C372">
        <v>3</v>
      </c>
      <c r="D372">
        <v>2011</v>
      </c>
      <c r="E372" s="2">
        <v>542295.37</v>
      </c>
      <c r="F372">
        <v>0</v>
      </c>
      <c r="G372" s="3">
        <v>45.77</v>
      </c>
      <c r="H372" s="2">
        <v>3.7629999999999999</v>
      </c>
      <c r="I372">
        <v>192.8418131</v>
      </c>
      <c r="J372" s="3">
        <v>8.5950000000000006</v>
      </c>
    </row>
    <row r="373" spans="1:10" x14ac:dyDescent="0.25">
      <c r="A373">
        <v>7</v>
      </c>
      <c r="B373" s="1">
        <v>40822</v>
      </c>
      <c r="C373">
        <v>10</v>
      </c>
      <c r="D373">
        <v>2011</v>
      </c>
      <c r="E373" s="2">
        <v>621099.94999999995</v>
      </c>
      <c r="F373">
        <v>0</v>
      </c>
      <c r="G373" s="3">
        <v>53.3</v>
      </c>
      <c r="H373" s="2">
        <v>3.7349999999999999</v>
      </c>
      <c r="I373">
        <v>192.84706120000001</v>
      </c>
      <c r="J373" s="3">
        <v>8.5950000000000006</v>
      </c>
    </row>
    <row r="374" spans="1:10" x14ac:dyDescent="0.25">
      <c r="A374">
        <v>7</v>
      </c>
      <c r="B374" s="1">
        <v>40550</v>
      </c>
      <c r="C374">
        <v>1</v>
      </c>
      <c r="D374">
        <v>2011</v>
      </c>
      <c r="E374" s="2">
        <v>704344.21</v>
      </c>
      <c r="F374">
        <v>0</v>
      </c>
      <c r="G374" s="3">
        <v>58.54</v>
      </c>
      <c r="H374" s="2">
        <v>3.597</v>
      </c>
      <c r="I374">
        <v>193.09305520000001</v>
      </c>
      <c r="J374" s="3">
        <v>8.6219999999999999</v>
      </c>
    </row>
    <row r="375" spans="1:10" x14ac:dyDescent="0.25">
      <c r="A375">
        <v>7</v>
      </c>
      <c r="B375" s="1">
        <v>40762</v>
      </c>
      <c r="C375">
        <v>8</v>
      </c>
      <c r="D375">
        <v>2011</v>
      </c>
      <c r="E375" s="2">
        <v>761793.94</v>
      </c>
      <c r="F375">
        <v>0</v>
      </c>
      <c r="G375" s="3">
        <v>59.08</v>
      </c>
      <c r="H375" s="2">
        <v>3.54</v>
      </c>
      <c r="I375">
        <v>193.18784479999999</v>
      </c>
      <c r="J375" s="3">
        <v>8.6219999999999999</v>
      </c>
    </row>
    <row r="376" spans="1:10" x14ac:dyDescent="0.25">
      <c r="A376">
        <v>7</v>
      </c>
      <c r="B376" s="1">
        <v>40671</v>
      </c>
      <c r="C376">
        <v>5</v>
      </c>
      <c r="D376">
        <v>2011</v>
      </c>
      <c r="E376" s="2">
        <v>695392.84</v>
      </c>
      <c r="F376">
        <v>0</v>
      </c>
      <c r="G376" s="3">
        <v>55.91</v>
      </c>
      <c r="H376" s="2">
        <v>3.5539999999999998</v>
      </c>
      <c r="I376">
        <v>193.91101330000001</v>
      </c>
      <c r="J376" s="3">
        <v>8.6219999999999999</v>
      </c>
    </row>
    <row r="377" spans="1:10" x14ac:dyDescent="0.25">
      <c r="A377">
        <v>7</v>
      </c>
      <c r="B377" s="1">
        <v>40885</v>
      </c>
      <c r="C377">
        <v>12</v>
      </c>
      <c r="D377">
        <v>2011</v>
      </c>
      <c r="E377" s="2">
        <v>670670.46</v>
      </c>
      <c r="F377">
        <v>0</v>
      </c>
      <c r="G377" s="3">
        <v>54.56</v>
      </c>
      <c r="H377" s="2">
        <v>3.5419999999999998</v>
      </c>
      <c r="I377">
        <v>194.11050169999999</v>
      </c>
      <c r="J377" s="3">
        <v>8.6219999999999999</v>
      </c>
    </row>
    <row r="378" spans="1:10" x14ac:dyDescent="0.25">
      <c r="A378">
        <v>7</v>
      </c>
      <c r="B378" s="1">
        <v>40583</v>
      </c>
      <c r="C378">
        <v>2</v>
      </c>
      <c r="D378">
        <v>2011</v>
      </c>
      <c r="E378" s="2">
        <v>592355.24</v>
      </c>
      <c r="F378">
        <v>0</v>
      </c>
      <c r="G378" s="3">
        <v>53.4</v>
      </c>
      <c r="H378" s="2">
        <v>3.5110000000000001</v>
      </c>
      <c r="I378">
        <v>194.5092113</v>
      </c>
      <c r="J378" s="3">
        <v>8.6219999999999999</v>
      </c>
    </row>
    <row r="379" spans="1:10" x14ac:dyDescent="0.25">
      <c r="A379">
        <v>7</v>
      </c>
      <c r="B379" s="1">
        <v>40795</v>
      </c>
      <c r="C379">
        <v>9</v>
      </c>
      <c r="D379">
        <v>2011</v>
      </c>
      <c r="E379" s="2">
        <v>613135.23</v>
      </c>
      <c r="F379">
        <v>1</v>
      </c>
      <c r="G379" s="3">
        <v>45.61</v>
      </c>
      <c r="H379" s="2">
        <v>3.5659999999999998</v>
      </c>
      <c r="I379">
        <v>194.6387853</v>
      </c>
      <c r="J379" s="3">
        <v>8.6219999999999999</v>
      </c>
    </row>
    <row r="380" spans="1:10" x14ac:dyDescent="0.25">
      <c r="A380">
        <v>7</v>
      </c>
      <c r="B380" s="1">
        <v>40734</v>
      </c>
      <c r="C380">
        <v>7</v>
      </c>
      <c r="D380">
        <v>2011</v>
      </c>
      <c r="E380" s="2">
        <v>525866.36</v>
      </c>
      <c r="F380">
        <v>0</v>
      </c>
      <c r="G380" s="3">
        <v>40.65</v>
      </c>
      <c r="H380" s="2">
        <v>3.4980000000000002</v>
      </c>
      <c r="I380">
        <v>194.94597239999999</v>
      </c>
      <c r="J380" s="3">
        <v>8.5129999999999999</v>
      </c>
    </row>
    <row r="381" spans="1:10" x14ac:dyDescent="0.25">
      <c r="A381">
        <v>7</v>
      </c>
      <c r="B381" s="1">
        <v>40644</v>
      </c>
      <c r="C381">
        <v>4</v>
      </c>
      <c r="D381">
        <v>2011</v>
      </c>
      <c r="E381" s="2">
        <v>564536.01</v>
      </c>
      <c r="F381">
        <v>0</v>
      </c>
      <c r="G381" s="3">
        <v>23.41</v>
      </c>
      <c r="H381" s="2">
        <v>3.5270000000000001</v>
      </c>
      <c r="I381">
        <v>195.48479589999999</v>
      </c>
      <c r="J381" s="3">
        <v>8.5129999999999999</v>
      </c>
    </row>
    <row r="382" spans="1:10" x14ac:dyDescent="0.25">
      <c r="A382">
        <v>7</v>
      </c>
      <c r="B382" s="1">
        <v>40858</v>
      </c>
      <c r="C382">
        <v>11</v>
      </c>
      <c r="D382">
        <v>2011</v>
      </c>
      <c r="E382" s="2">
        <v>556015.59</v>
      </c>
      <c r="F382">
        <v>0</v>
      </c>
      <c r="G382" s="3">
        <v>19.53</v>
      </c>
      <c r="H382" s="2">
        <v>3.5049999999999999</v>
      </c>
      <c r="I382">
        <v>195.6376941</v>
      </c>
      <c r="J382" s="3">
        <v>8.5129999999999999</v>
      </c>
    </row>
    <row r="383" spans="1:10" x14ac:dyDescent="0.25">
      <c r="A383">
        <v>7</v>
      </c>
      <c r="B383" s="1">
        <v>40586</v>
      </c>
      <c r="C383">
        <v>2</v>
      </c>
      <c r="D383">
        <v>2011</v>
      </c>
      <c r="E383" s="2">
        <v>591907.88</v>
      </c>
      <c r="F383">
        <v>0</v>
      </c>
      <c r="G383" s="3">
        <v>20.38</v>
      </c>
      <c r="H383" s="2">
        <v>3.3780000000000001</v>
      </c>
      <c r="I383">
        <v>195.82232870000001</v>
      </c>
      <c r="J383" s="3">
        <v>8.5129999999999999</v>
      </c>
    </row>
    <row r="384" spans="1:10" x14ac:dyDescent="0.25">
      <c r="A384">
        <v>7</v>
      </c>
      <c r="B384" s="1">
        <v>40798</v>
      </c>
      <c r="C384">
        <v>9</v>
      </c>
      <c r="D384">
        <v>2011</v>
      </c>
      <c r="E384" s="2">
        <v>653845.44999999995</v>
      </c>
      <c r="F384">
        <v>0</v>
      </c>
      <c r="G384" s="3">
        <v>11.17</v>
      </c>
      <c r="H384" s="2">
        <v>3.331</v>
      </c>
      <c r="I384">
        <v>195.8742575</v>
      </c>
      <c r="J384" s="3">
        <v>8.5129999999999999</v>
      </c>
    </row>
    <row r="385" spans="1:10" x14ac:dyDescent="0.25">
      <c r="A385">
        <v>7</v>
      </c>
      <c r="B385" s="1">
        <v>41061</v>
      </c>
      <c r="C385">
        <v>6</v>
      </c>
      <c r="D385">
        <v>2012</v>
      </c>
      <c r="E385" s="2">
        <v>713117.66</v>
      </c>
      <c r="F385">
        <v>0</v>
      </c>
      <c r="G385" s="3">
        <v>18.670000000000002</v>
      </c>
      <c r="H385" s="2">
        <v>3.0950000000000002</v>
      </c>
      <c r="I385">
        <v>196.5458309</v>
      </c>
      <c r="J385" s="3">
        <v>8.2560000000000002</v>
      </c>
    </row>
    <row r="386" spans="1:10" x14ac:dyDescent="0.25">
      <c r="A386">
        <v>7</v>
      </c>
      <c r="B386" s="1">
        <v>40970</v>
      </c>
      <c r="C386">
        <v>3</v>
      </c>
      <c r="D386">
        <v>2012</v>
      </c>
      <c r="E386" s="2">
        <v>580453.31999999995</v>
      </c>
      <c r="F386">
        <v>0</v>
      </c>
      <c r="G386" s="3">
        <v>22.2</v>
      </c>
      <c r="H386" s="2">
        <v>3.0310000000000001</v>
      </c>
      <c r="I386">
        <v>196.8728921</v>
      </c>
      <c r="J386" s="3">
        <v>8.2560000000000002</v>
      </c>
    </row>
    <row r="387" spans="1:10" x14ac:dyDescent="0.25">
      <c r="A387">
        <v>7</v>
      </c>
      <c r="B387" s="1">
        <v>41184</v>
      </c>
      <c r="C387">
        <v>10</v>
      </c>
      <c r="D387">
        <v>2012</v>
      </c>
      <c r="E387" s="2">
        <v>563460.77</v>
      </c>
      <c r="F387">
        <v>1</v>
      </c>
      <c r="G387" s="3">
        <v>18.79</v>
      </c>
      <c r="H387" s="2">
        <v>3.1030000000000002</v>
      </c>
      <c r="I387">
        <v>196.91950560000001</v>
      </c>
      <c r="J387" s="3">
        <v>8.2560000000000002</v>
      </c>
    </row>
    <row r="388" spans="1:10" x14ac:dyDescent="0.25">
      <c r="A388">
        <v>7</v>
      </c>
      <c r="B388" s="1">
        <v>40942</v>
      </c>
      <c r="C388">
        <v>2</v>
      </c>
      <c r="D388">
        <v>2012</v>
      </c>
      <c r="E388" s="2">
        <v>551058.13</v>
      </c>
      <c r="F388">
        <v>0</v>
      </c>
      <c r="G388" s="3">
        <v>21.64</v>
      </c>
      <c r="H388" s="2">
        <v>3.1909999999999998</v>
      </c>
      <c r="I388">
        <v>196.9565303</v>
      </c>
      <c r="J388" s="3">
        <v>8.2560000000000002</v>
      </c>
    </row>
    <row r="389" spans="1:10" x14ac:dyDescent="0.25">
      <c r="A389">
        <v>7</v>
      </c>
      <c r="B389" s="1">
        <v>41155</v>
      </c>
      <c r="C389">
        <v>9</v>
      </c>
      <c r="D389">
        <v>2012</v>
      </c>
      <c r="E389" s="2">
        <v>579166.5</v>
      </c>
      <c r="F389">
        <v>0</v>
      </c>
      <c r="G389" s="3">
        <v>30.1</v>
      </c>
      <c r="H389" s="2">
        <v>3.286</v>
      </c>
      <c r="I389">
        <v>196.96315989999999</v>
      </c>
      <c r="J389" s="3">
        <v>8.2560000000000002</v>
      </c>
    </row>
    <row r="390" spans="1:10" x14ac:dyDescent="0.25">
      <c r="A390">
        <v>7</v>
      </c>
      <c r="B390" s="1">
        <v>41064</v>
      </c>
      <c r="C390">
        <v>6</v>
      </c>
      <c r="D390">
        <v>2012</v>
      </c>
      <c r="E390" s="2">
        <v>621425.98</v>
      </c>
      <c r="F390">
        <v>0</v>
      </c>
      <c r="G390" s="3">
        <v>44.29</v>
      </c>
      <c r="H390" s="2">
        <v>3.8540000000000001</v>
      </c>
      <c r="I390">
        <v>197.5971285</v>
      </c>
      <c r="J390" s="3">
        <v>8.09</v>
      </c>
    </row>
    <row r="391" spans="1:10" x14ac:dyDescent="0.25">
      <c r="A391">
        <v>7</v>
      </c>
      <c r="B391" s="1">
        <v>41004</v>
      </c>
      <c r="C391">
        <v>4</v>
      </c>
      <c r="D391">
        <v>2012</v>
      </c>
      <c r="E391" s="2">
        <v>465198.89</v>
      </c>
      <c r="F391">
        <v>0</v>
      </c>
      <c r="G391" s="3">
        <v>45.38</v>
      </c>
      <c r="H391" s="2">
        <v>3.903</v>
      </c>
      <c r="I391">
        <v>197.60635339999999</v>
      </c>
      <c r="J391" s="3">
        <v>8.09</v>
      </c>
    </row>
    <row r="392" spans="1:10" x14ac:dyDescent="0.25">
      <c r="A392">
        <v>7</v>
      </c>
      <c r="B392" s="1">
        <v>41218</v>
      </c>
      <c r="C392">
        <v>11</v>
      </c>
      <c r="D392">
        <v>2012</v>
      </c>
      <c r="E392" s="2">
        <v>460397.41</v>
      </c>
      <c r="F392">
        <v>0</v>
      </c>
      <c r="G392" s="3">
        <v>48.54</v>
      </c>
      <c r="H392" s="2">
        <v>3.87</v>
      </c>
      <c r="I392">
        <v>197.5481609</v>
      </c>
      <c r="J392" s="3">
        <v>8.09</v>
      </c>
    </row>
    <row r="393" spans="1:10" x14ac:dyDescent="0.25">
      <c r="A393">
        <v>7</v>
      </c>
      <c r="B393" s="1">
        <v>40914</v>
      </c>
      <c r="C393">
        <v>1</v>
      </c>
      <c r="D393">
        <v>2012</v>
      </c>
      <c r="E393" s="2">
        <v>598495.02</v>
      </c>
      <c r="F393">
        <v>0</v>
      </c>
      <c r="G393" s="3">
        <v>55.06</v>
      </c>
      <c r="H393" s="2">
        <v>3.7639999999999998</v>
      </c>
      <c r="I393">
        <v>197.6218954</v>
      </c>
      <c r="J393" s="3">
        <v>8.09</v>
      </c>
    </row>
    <row r="394" spans="1:10" x14ac:dyDescent="0.25">
      <c r="A394">
        <v>7</v>
      </c>
      <c r="B394" s="1">
        <v>41127</v>
      </c>
      <c r="C394">
        <v>8</v>
      </c>
      <c r="D394">
        <v>2012</v>
      </c>
      <c r="E394" s="2">
        <v>642963.75</v>
      </c>
      <c r="F394">
        <v>0</v>
      </c>
      <c r="G394" s="3">
        <v>63.07</v>
      </c>
      <c r="H394" s="2">
        <v>3.7410000000000001</v>
      </c>
      <c r="I394">
        <v>197.6551863</v>
      </c>
      <c r="J394" s="3">
        <v>8.09</v>
      </c>
    </row>
    <row r="395" spans="1:10" x14ac:dyDescent="0.25">
      <c r="A395">
        <v>7</v>
      </c>
      <c r="B395" s="1">
        <v>41067</v>
      </c>
      <c r="C395">
        <v>6</v>
      </c>
      <c r="D395">
        <v>2012</v>
      </c>
      <c r="E395" s="2">
        <v>805642.61</v>
      </c>
      <c r="F395">
        <v>0</v>
      </c>
      <c r="G395" s="3">
        <v>64.67</v>
      </c>
      <c r="H395" s="2">
        <v>3.6459999999999999</v>
      </c>
      <c r="I395">
        <v>197.83221950000001</v>
      </c>
      <c r="J395" s="3">
        <v>7.8719999999999999</v>
      </c>
    </row>
    <row r="396" spans="1:10" x14ac:dyDescent="0.25">
      <c r="A396">
        <v>7</v>
      </c>
      <c r="B396" s="1">
        <v>40976</v>
      </c>
      <c r="C396">
        <v>3</v>
      </c>
      <c r="D396">
        <v>2012</v>
      </c>
      <c r="E396" s="2">
        <v>680954.81</v>
      </c>
      <c r="F396">
        <v>0</v>
      </c>
      <c r="G396" s="3">
        <v>61.83</v>
      </c>
      <c r="H396" s="2">
        <v>3.528</v>
      </c>
      <c r="I396">
        <v>198.02938929999999</v>
      </c>
      <c r="J396" s="3">
        <v>7.8719999999999999</v>
      </c>
    </row>
    <row r="397" spans="1:10" x14ac:dyDescent="0.25">
      <c r="A397">
        <v>7</v>
      </c>
      <c r="B397" s="1">
        <v>41190</v>
      </c>
      <c r="C397">
        <v>10</v>
      </c>
      <c r="D397">
        <v>2012</v>
      </c>
      <c r="E397" s="2">
        <v>675926.3</v>
      </c>
      <c r="F397">
        <v>0</v>
      </c>
      <c r="G397" s="3">
        <v>63.41</v>
      </c>
      <c r="H397" s="2">
        <v>3.5089999999999999</v>
      </c>
      <c r="I397">
        <v>198.0795651</v>
      </c>
      <c r="J397" s="3">
        <v>7.8719999999999999</v>
      </c>
    </row>
    <row r="398" spans="1:10" x14ac:dyDescent="0.25">
      <c r="A398">
        <v>7</v>
      </c>
      <c r="B398" s="1">
        <v>41099</v>
      </c>
      <c r="C398">
        <v>7</v>
      </c>
      <c r="D398">
        <v>2012</v>
      </c>
      <c r="E398" s="2">
        <v>597876.55000000005</v>
      </c>
      <c r="F398">
        <v>1</v>
      </c>
      <c r="G398" s="3">
        <v>57.84</v>
      </c>
      <c r="H398" s="2">
        <v>3.5960000000000001</v>
      </c>
      <c r="I398">
        <v>198.0950484</v>
      </c>
      <c r="J398" s="3">
        <v>7.8719999999999999</v>
      </c>
    </row>
    <row r="399" spans="1:10" x14ac:dyDescent="0.25">
      <c r="A399">
        <v>7</v>
      </c>
      <c r="B399" s="1">
        <v>41039</v>
      </c>
      <c r="C399">
        <v>5</v>
      </c>
      <c r="D399">
        <v>2012</v>
      </c>
      <c r="E399" s="2">
        <v>505830.56</v>
      </c>
      <c r="F399">
        <v>0</v>
      </c>
      <c r="G399" s="3">
        <v>48.43</v>
      </c>
      <c r="H399" s="2">
        <v>3.7789999999999999</v>
      </c>
      <c r="I399">
        <v>198.8221322</v>
      </c>
      <c r="J399" s="3">
        <v>7.5570000000000004</v>
      </c>
    </row>
    <row r="400" spans="1:10" x14ac:dyDescent="0.25">
      <c r="A400">
        <v>7</v>
      </c>
      <c r="B400" s="1">
        <v>41253</v>
      </c>
      <c r="C400">
        <v>12</v>
      </c>
      <c r="D400">
        <v>2012</v>
      </c>
      <c r="E400" s="2">
        <v>503463.93</v>
      </c>
      <c r="F400">
        <v>0</v>
      </c>
      <c r="G400" s="3">
        <v>41.43</v>
      </c>
      <c r="H400" s="2">
        <v>3.76</v>
      </c>
      <c r="I400">
        <v>199.0539368</v>
      </c>
      <c r="J400" s="3">
        <v>7.5570000000000004</v>
      </c>
    </row>
    <row r="401" spans="1:10" x14ac:dyDescent="0.25">
      <c r="A401">
        <v>8</v>
      </c>
      <c r="B401" s="1">
        <v>40300</v>
      </c>
      <c r="C401">
        <v>5</v>
      </c>
      <c r="D401">
        <v>2010</v>
      </c>
      <c r="E401" s="2">
        <v>1004137.09</v>
      </c>
      <c r="F401">
        <v>0</v>
      </c>
      <c r="G401" s="3">
        <v>34.14</v>
      </c>
      <c r="H401" s="2">
        <v>2.5720000000000001</v>
      </c>
      <c r="I401">
        <v>214.47145119999999</v>
      </c>
      <c r="J401" s="3">
        <v>6.2990000000000004</v>
      </c>
    </row>
    <row r="402" spans="1:10" x14ac:dyDescent="0.25">
      <c r="A402">
        <v>8</v>
      </c>
      <c r="B402" s="1">
        <v>40514</v>
      </c>
      <c r="C402">
        <v>12</v>
      </c>
      <c r="D402">
        <v>2010</v>
      </c>
      <c r="E402" s="2">
        <v>994801.4</v>
      </c>
      <c r="F402">
        <v>1</v>
      </c>
      <c r="G402" s="3">
        <v>33.340000000000003</v>
      </c>
      <c r="H402" s="2">
        <v>2.548</v>
      </c>
      <c r="I402">
        <v>214.62141890000001</v>
      </c>
      <c r="J402" s="3">
        <v>6.2990000000000004</v>
      </c>
    </row>
    <row r="403" spans="1:10" x14ac:dyDescent="0.25">
      <c r="A403">
        <v>8</v>
      </c>
      <c r="B403" s="1">
        <v>40301</v>
      </c>
      <c r="C403">
        <v>5</v>
      </c>
      <c r="D403">
        <v>2010</v>
      </c>
      <c r="E403" s="2">
        <v>881503.95</v>
      </c>
      <c r="F403">
        <v>0</v>
      </c>
      <c r="G403" s="3">
        <v>45.64</v>
      </c>
      <c r="H403" s="2">
        <v>2.625</v>
      </c>
      <c r="I403">
        <v>214.7216592</v>
      </c>
      <c r="J403" s="3">
        <v>6.2990000000000004</v>
      </c>
    </row>
    <row r="404" spans="1:10" x14ac:dyDescent="0.25">
      <c r="A404">
        <v>8</v>
      </c>
      <c r="B404" s="1">
        <v>40515</v>
      </c>
      <c r="C404">
        <v>12</v>
      </c>
      <c r="D404">
        <v>2010</v>
      </c>
      <c r="E404" s="2">
        <v>860336.16</v>
      </c>
      <c r="F404">
        <v>0</v>
      </c>
      <c r="G404" s="3">
        <v>49.76</v>
      </c>
      <c r="H404" s="2">
        <v>2.6669999999999998</v>
      </c>
      <c r="I404">
        <v>214.74924490000001</v>
      </c>
      <c r="J404" s="3">
        <v>6.2990000000000004</v>
      </c>
    </row>
    <row r="405" spans="1:10" x14ac:dyDescent="0.25">
      <c r="A405">
        <v>8</v>
      </c>
      <c r="B405" s="1">
        <v>40213</v>
      </c>
      <c r="C405">
        <v>2</v>
      </c>
      <c r="D405">
        <v>2010</v>
      </c>
      <c r="E405" s="2">
        <v>914500.91</v>
      </c>
      <c r="F405">
        <v>0</v>
      </c>
      <c r="G405" s="3">
        <v>60.18</v>
      </c>
      <c r="H405" s="2">
        <v>2.7189999999999999</v>
      </c>
      <c r="I405">
        <v>214.16421800000001</v>
      </c>
      <c r="J405" s="3">
        <v>6.29</v>
      </c>
    </row>
    <row r="406" spans="1:10" x14ac:dyDescent="0.25">
      <c r="A406">
        <v>8</v>
      </c>
      <c r="B406" s="1">
        <v>40425</v>
      </c>
      <c r="C406">
        <v>9</v>
      </c>
      <c r="D406">
        <v>2010</v>
      </c>
      <c r="E406" s="2">
        <v>916033.92</v>
      </c>
      <c r="F406">
        <v>0</v>
      </c>
      <c r="G406" s="3">
        <v>59.25</v>
      </c>
      <c r="H406" s="2">
        <v>2.77</v>
      </c>
      <c r="I406">
        <v>213.95807930000001</v>
      </c>
      <c r="J406" s="3">
        <v>6.29</v>
      </c>
    </row>
    <row r="407" spans="1:10" x14ac:dyDescent="0.25">
      <c r="A407">
        <v>8</v>
      </c>
      <c r="B407" s="1">
        <v>40364</v>
      </c>
      <c r="C407">
        <v>7</v>
      </c>
      <c r="D407">
        <v>2010</v>
      </c>
      <c r="E407" s="2">
        <v>916820.96</v>
      </c>
      <c r="F407">
        <v>0</v>
      </c>
      <c r="G407" s="3">
        <v>62.68</v>
      </c>
      <c r="H407" s="2">
        <v>2.835</v>
      </c>
      <c r="I407">
        <v>213.6670857</v>
      </c>
      <c r="J407" s="3">
        <v>6.29</v>
      </c>
    </row>
    <row r="408" spans="1:10" x14ac:dyDescent="0.25">
      <c r="A408">
        <v>8</v>
      </c>
      <c r="B408" s="1">
        <v>40274</v>
      </c>
      <c r="C408">
        <v>4</v>
      </c>
      <c r="D408">
        <v>2010</v>
      </c>
      <c r="E408" s="2">
        <v>958225.41</v>
      </c>
      <c r="F408">
        <v>0</v>
      </c>
      <c r="G408" s="3">
        <v>75.709999999999994</v>
      </c>
      <c r="H408" s="2">
        <v>2.7050000000000001</v>
      </c>
      <c r="I408">
        <v>214.5422806</v>
      </c>
      <c r="J408" s="3">
        <v>6.29</v>
      </c>
    </row>
    <row r="409" spans="1:10" x14ac:dyDescent="0.25">
      <c r="A409">
        <v>8</v>
      </c>
      <c r="B409" s="1">
        <v>40488</v>
      </c>
      <c r="C409">
        <v>11</v>
      </c>
      <c r="D409">
        <v>2010</v>
      </c>
      <c r="E409" s="2">
        <v>914835.86</v>
      </c>
      <c r="F409">
        <v>0</v>
      </c>
      <c r="G409" s="3">
        <v>82.21</v>
      </c>
      <c r="H409" s="2">
        <v>2.6680000000000001</v>
      </c>
      <c r="I409">
        <v>214.834529</v>
      </c>
      <c r="J409" s="3">
        <v>6.29</v>
      </c>
    </row>
    <row r="410" spans="1:10" x14ac:dyDescent="0.25">
      <c r="A410">
        <v>8</v>
      </c>
      <c r="B410" s="1">
        <v>40216</v>
      </c>
      <c r="C410">
        <v>2</v>
      </c>
      <c r="D410">
        <v>2010</v>
      </c>
      <c r="E410" s="2">
        <v>852333.75</v>
      </c>
      <c r="F410">
        <v>0</v>
      </c>
      <c r="G410" s="3">
        <v>74.78</v>
      </c>
      <c r="H410" s="2">
        <v>2.669</v>
      </c>
      <c r="I410">
        <v>214.59281189999999</v>
      </c>
      <c r="J410" s="3">
        <v>6.3150000000000004</v>
      </c>
    </row>
    <row r="411" spans="1:10" x14ac:dyDescent="0.25">
      <c r="A411">
        <v>8</v>
      </c>
      <c r="B411" s="1">
        <v>40428</v>
      </c>
      <c r="C411">
        <v>9</v>
      </c>
      <c r="D411">
        <v>2010</v>
      </c>
      <c r="E411" s="2">
        <v>845289.77</v>
      </c>
      <c r="F411">
        <v>0</v>
      </c>
      <c r="G411" s="3">
        <v>72.489999999999995</v>
      </c>
      <c r="H411" s="2">
        <v>2.6419999999999999</v>
      </c>
      <c r="I411">
        <v>214.47299520000001</v>
      </c>
      <c r="J411" s="3">
        <v>6.3150000000000004</v>
      </c>
    </row>
    <row r="412" spans="1:10" x14ac:dyDescent="0.25">
      <c r="A412">
        <v>8</v>
      </c>
      <c r="B412" s="1">
        <v>40337</v>
      </c>
      <c r="C412">
        <v>6</v>
      </c>
      <c r="D412">
        <v>2010</v>
      </c>
      <c r="E412" s="2">
        <v>893399.77</v>
      </c>
      <c r="F412">
        <v>0</v>
      </c>
      <c r="G412" s="3">
        <v>80.37</v>
      </c>
      <c r="H412" s="2">
        <v>2.6269999999999998</v>
      </c>
      <c r="I412">
        <v>214.8807793</v>
      </c>
      <c r="J412" s="3">
        <v>6.3150000000000004</v>
      </c>
    </row>
    <row r="413" spans="1:10" x14ac:dyDescent="0.25">
      <c r="A413">
        <v>8</v>
      </c>
      <c r="B413" s="1">
        <v>40246</v>
      </c>
      <c r="C413">
        <v>3</v>
      </c>
      <c r="D413">
        <v>2010</v>
      </c>
      <c r="E413" s="2">
        <v>899036.47</v>
      </c>
      <c r="F413">
        <v>0</v>
      </c>
      <c r="G413" s="3">
        <v>76.14</v>
      </c>
      <c r="H413" s="2">
        <v>2.577</v>
      </c>
      <c r="I413">
        <v>214.894576</v>
      </c>
      <c r="J413" s="3">
        <v>6.3150000000000004</v>
      </c>
    </row>
    <row r="414" spans="1:10" x14ac:dyDescent="0.25">
      <c r="A414">
        <v>8</v>
      </c>
      <c r="B414" s="1">
        <v>40460</v>
      </c>
      <c r="C414">
        <v>10</v>
      </c>
      <c r="D414">
        <v>2010</v>
      </c>
      <c r="E414" s="2">
        <v>831425.2</v>
      </c>
      <c r="F414">
        <v>1</v>
      </c>
      <c r="G414" s="3">
        <v>74.34</v>
      </c>
      <c r="H414" s="2">
        <v>2.5649999999999999</v>
      </c>
      <c r="I414">
        <v>214.8528728</v>
      </c>
      <c r="J414" s="3">
        <v>6.3150000000000004</v>
      </c>
    </row>
    <row r="415" spans="1:10" x14ac:dyDescent="0.25">
      <c r="A415">
        <v>8</v>
      </c>
      <c r="B415" s="1">
        <v>40188</v>
      </c>
      <c r="C415">
        <v>1</v>
      </c>
      <c r="D415">
        <v>2010</v>
      </c>
      <c r="E415" s="2">
        <v>804105.49</v>
      </c>
      <c r="F415">
        <v>0</v>
      </c>
      <c r="G415" s="3">
        <v>68.7</v>
      </c>
      <c r="H415" s="2">
        <v>2.6030000000000002</v>
      </c>
      <c r="I415">
        <v>215.0310029</v>
      </c>
      <c r="J415" s="3">
        <v>6.4329999999999998</v>
      </c>
    </row>
    <row r="416" spans="1:10" x14ac:dyDescent="0.25">
      <c r="A416">
        <v>8</v>
      </c>
      <c r="B416" s="1">
        <v>40400</v>
      </c>
      <c r="C416">
        <v>8</v>
      </c>
      <c r="D416">
        <v>2010</v>
      </c>
      <c r="E416" s="2">
        <v>870349.86</v>
      </c>
      <c r="F416">
        <v>0</v>
      </c>
      <c r="G416" s="3">
        <v>62.94</v>
      </c>
      <c r="H416" s="2">
        <v>2.633</v>
      </c>
      <c r="I416">
        <v>215.10722620000001</v>
      </c>
      <c r="J416" s="3">
        <v>6.4329999999999998</v>
      </c>
    </row>
    <row r="417" spans="1:10" x14ac:dyDescent="0.25">
      <c r="A417">
        <v>8</v>
      </c>
      <c r="B417" s="1">
        <v>40309</v>
      </c>
      <c r="C417">
        <v>5</v>
      </c>
      <c r="D417">
        <v>2010</v>
      </c>
      <c r="E417" s="2">
        <v>927266.34</v>
      </c>
      <c r="F417">
        <v>0</v>
      </c>
      <c r="G417" s="3">
        <v>55.76</v>
      </c>
      <c r="H417" s="2">
        <v>2.6890000000000001</v>
      </c>
      <c r="I417">
        <v>215.32300000000001</v>
      </c>
      <c r="J417" s="3">
        <v>6.4329999999999998</v>
      </c>
    </row>
    <row r="418" spans="1:10" x14ac:dyDescent="0.25">
      <c r="A418">
        <v>8</v>
      </c>
      <c r="B418" s="1">
        <v>40523</v>
      </c>
      <c r="C418">
        <v>12</v>
      </c>
      <c r="D418">
        <v>2010</v>
      </c>
      <c r="E418" s="2">
        <v>911538.98</v>
      </c>
      <c r="F418">
        <v>0</v>
      </c>
      <c r="G418" s="3">
        <v>54.89</v>
      </c>
      <c r="H418" s="2">
        <v>2.7280000000000002</v>
      </c>
      <c r="I418">
        <v>215.37209999999999</v>
      </c>
      <c r="J418" s="3">
        <v>6.4329999999999998</v>
      </c>
    </row>
    <row r="419" spans="1:10" x14ac:dyDescent="0.25">
      <c r="A419">
        <v>8</v>
      </c>
      <c r="B419" s="1">
        <v>40249</v>
      </c>
      <c r="C419">
        <v>3</v>
      </c>
      <c r="D419">
        <v>2010</v>
      </c>
      <c r="E419" s="2">
        <v>952766.93</v>
      </c>
      <c r="F419">
        <v>0</v>
      </c>
      <c r="G419" s="3">
        <v>42.85</v>
      </c>
      <c r="H419" s="2">
        <v>2.7080000000000002</v>
      </c>
      <c r="I419">
        <v>214.96163809999999</v>
      </c>
      <c r="J419" s="3">
        <v>6.4329999999999998</v>
      </c>
    </row>
    <row r="420" spans="1:10" x14ac:dyDescent="0.25">
      <c r="A420">
        <v>8</v>
      </c>
      <c r="B420" s="1">
        <v>40463</v>
      </c>
      <c r="C420">
        <v>10</v>
      </c>
      <c r="D420">
        <v>2010</v>
      </c>
      <c r="E420" s="2">
        <v>1069061.6299999999</v>
      </c>
      <c r="F420">
        <v>0</v>
      </c>
      <c r="G420" s="3">
        <v>42.47</v>
      </c>
      <c r="H420" s="2">
        <v>2.843</v>
      </c>
      <c r="I420">
        <v>214.81552139999999</v>
      </c>
      <c r="J420" s="3">
        <v>6.4329999999999998</v>
      </c>
    </row>
    <row r="421" spans="1:10" x14ac:dyDescent="0.25">
      <c r="A421">
        <v>8</v>
      </c>
      <c r="B421" s="1">
        <v>40725</v>
      </c>
      <c r="C421">
        <v>7</v>
      </c>
      <c r="D421">
        <v>2011</v>
      </c>
      <c r="E421" s="2">
        <v>873065.23</v>
      </c>
      <c r="F421">
        <v>0</v>
      </c>
      <c r="G421" s="3">
        <v>35.770000000000003</v>
      </c>
      <c r="H421" s="2">
        <v>2.976</v>
      </c>
      <c r="I421">
        <v>214.74155210000001</v>
      </c>
      <c r="J421" s="3">
        <v>6.2619999999999996</v>
      </c>
    </row>
    <row r="422" spans="1:10" x14ac:dyDescent="0.25">
      <c r="A422">
        <v>8</v>
      </c>
      <c r="B422" s="1">
        <v>40635</v>
      </c>
      <c r="C422">
        <v>4</v>
      </c>
      <c r="D422">
        <v>2011</v>
      </c>
      <c r="E422" s="2">
        <v>944594.78</v>
      </c>
      <c r="F422">
        <v>0</v>
      </c>
      <c r="G422" s="3">
        <v>24.48</v>
      </c>
      <c r="H422" s="2">
        <v>2.9889999999999999</v>
      </c>
      <c r="I422">
        <v>215.9327797</v>
      </c>
      <c r="J422" s="3">
        <v>6.2619999999999996</v>
      </c>
    </row>
    <row r="423" spans="1:10" x14ac:dyDescent="0.25">
      <c r="A423">
        <v>8</v>
      </c>
      <c r="B423" s="1">
        <v>40849</v>
      </c>
      <c r="C423">
        <v>11</v>
      </c>
      <c r="D423">
        <v>2011</v>
      </c>
      <c r="E423" s="2">
        <v>996147.39</v>
      </c>
      <c r="F423">
        <v>1</v>
      </c>
      <c r="G423" s="3">
        <v>28.26</v>
      </c>
      <c r="H423" s="2">
        <v>3.0219999999999998</v>
      </c>
      <c r="I423">
        <v>216.3126733</v>
      </c>
      <c r="J423" s="3">
        <v>6.2619999999999996</v>
      </c>
    </row>
    <row r="424" spans="1:10" x14ac:dyDescent="0.25">
      <c r="A424">
        <v>8</v>
      </c>
      <c r="B424" s="1">
        <v>40636</v>
      </c>
      <c r="C424">
        <v>4</v>
      </c>
      <c r="D424">
        <v>2011</v>
      </c>
      <c r="E424" s="2">
        <v>935266.43</v>
      </c>
      <c r="F424">
        <v>0</v>
      </c>
      <c r="G424" s="3">
        <v>53.18</v>
      </c>
      <c r="H424" s="2">
        <v>3.2879999999999998</v>
      </c>
      <c r="I424">
        <v>217.21854540000001</v>
      </c>
      <c r="J424" s="3">
        <v>6.2619999999999996</v>
      </c>
    </row>
    <row r="425" spans="1:10" x14ac:dyDescent="0.25">
      <c r="A425">
        <v>8</v>
      </c>
      <c r="B425" s="1">
        <v>40850</v>
      </c>
      <c r="C425">
        <v>11</v>
      </c>
      <c r="D425">
        <v>2011</v>
      </c>
      <c r="E425" s="2">
        <v>900387.29</v>
      </c>
      <c r="F425">
        <v>0</v>
      </c>
      <c r="G425" s="3">
        <v>49.14</v>
      </c>
      <c r="H425" s="2">
        <v>3.4590000000000001</v>
      </c>
      <c r="I425">
        <v>217.51229900000001</v>
      </c>
      <c r="J425" s="3">
        <v>6.2619999999999996</v>
      </c>
    </row>
    <row r="426" spans="1:10" x14ac:dyDescent="0.25">
      <c r="A426">
        <v>8</v>
      </c>
      <c r="B426" s="1">
        <v>40547</v>
      </c>
      <c r="C426">
        <v>1</v>
      </c>
      <c r="D426">
        <v>2011</v>
      </c>
      <c r="E426" s="2">
        <v>878762.3</v>
      </c>
      <c r="F426">
        <v>0</v>
      </c>
      <c r="G426" s="3">
        <v>49.86</v>
      </c>
      <c r="H426" s="2">
        <v>3.524</v>
      </c>
      <c r="I426">
        <v>218.25862810000001</v>
      </c>
      <c r="J426" s="3">
        <v>6.2969999999999997</v>
      </c>
    </row>
    <row r="427" spans="1:10" x14ac:dyDescent="0.25">
      <c r="A427">
        <v>8</v>
      </c>
      <c r="B427" s="1">
        <v>40759</v>
      </c>
      <c r="C427">
        <v>8</v>
      </c>
      <c r="D427">
        <v>2011</v>
      </c>
      <c r="E427" s="2">
        <v>949825.83</v>
      </c>
      <c r="F427">
        <v>0</v>
      </c>
      <c r="G427" s="3">
        <v>65.62</v>
      </c>
      <c r="H427" s="2">
        <v>3.6219999999999999</v>
      </c>
      <c r="I427">
        <v>218.50266999999999</v>
      </c>
      <c r="J427" s="3">
        <v>6.2969999999999997</v>
      </c>
    </row>
    <row r="428" spans="1:10" x14ac:dyDescent="0.25">
      <c r="A428">
        <v>8</v>
      </c>
      <c r="B428" s="1">
        <v>40699</v>
      </c>
      <c r="C428">
        <v>6</v>
      </c>
      <c r="D428">
        <v>2011</v>
      </c>
      <c r="E428" s="2">
        <v>941457.34</v>
      </c>
      <c r="F428">
        <v>0</v>
      </c>
      <c r="G428" s="3">
        <v>58.92</v>
      </c>
      <c r="H428" s="2">
        <v>3.9060000000000001</v>
      </c>
      <c r="I428">
        <v>219.2435524</v>
      </c>
      <c r="J428" s="3">
        <v>6.2969999999999997</v>
      </c>
    </row>
    <row r="429" spans="1:10" x14ac:dyDescent="0.25">
      <c r="A429">
        <v>8</v>
      </c>
      <c r="B429" s="1">
        <v>40608</v>
      </c>
      <c r="C429">
        <v>3</v>
      </c>
      <c r="D429">
        <v>2011</v>
      </c>
      <c r="E429" s="2">
        <v>929222.16</v>
      </c>
      <c r="F429">
        <v>0</v>
      </c>
      <c r="G429" s="3">
        <v>82.05</v>
      </c>
      <c r="H429" s="2">
        <v>3.6989999999999998</v>
      </c>
      <c r="I429">
        <v>218.69210509999999</v>
      </c>
      <c r="J429" s="3">
        <v>6.2969999999999997</v>
      </c>
    </row>
    <row r="430" spans="1:10" x14ac:dyDescent="0.25">
      <c r="A430">
        <v>8</v>
      </c>
      <c r="B430" s="1">
        <v>40822</v>
      </c>
      <c r="C430">
        <v>10</v>
      </c>
      <c r="D430">
        <v>2011</v>
      </c>
      <c r="E430" s="2">
        <v>897309.41</v>
      </c>
      <c r="F430">
        <v>0</v>
      </c>
      <c r="G430" s="3">
        <v>82.21</v>
      </c>
      <c r="H430" s="2">
        <v>3.6480000000000001</v>
      </c>
      <c r="I430">
        <v>218.45081149999999</v>
      </c>
      <c r="J430" s="3">
        <v>6.2969999999999997</v>
      </c>
    </row>
    <row r="431" spans="1:10" x14ac:dyDescent="0.25">
      <c r="A431">
        <v>8</v>
      </c>
      <c r="B431" s="1">
        <v>40550</v>
      </c>
      <c r="C431">
        <v>1</v>
      </c>
      <c r="D431">
        <v>2011</v>
      </c>
      <c r="E431" s="2">
        <v>883683.35</v>
      </c>
      <c r="F431">
        <v>0</v>
      </c>
      <c r="G431" s="3">
        <v>87.26</v>
      </c>
      <c r="H431" s="2">
        <v>3.524</v>
      </c>
      <c r="I431">
        <v>218.5937514</v>
      </c>
      <c r="J431" s="3">
        <v>6.4249999999999998</v>
      </c>
    </row>
    <row r="432" spans="1:10" x14ac:dyDescent="0.25">
      <c r="A432">
        <v>8</v>
      </c>
      <c r="B432" s="1">
        <v>40762</v>
      </c>
      <c r="C432">
        <v>8</v>
      </c>
      <c r="D432">
        <v>2011</v>
      </c>
      <c r="E432" s="2">
        <v>861965.12</v>
      </c>
      <c r="F432">
        <v>0</v>
      </c>
      <c r="G432" s="3">
        <v>83.57</v>
      </c>
      <c r="H432" s="2">
        <v>3.48</v>
      </c>
      <c r="I432">
        <v>218.6895548</v>
      </c>
      <c r="J432" s="3">
        <v>6.4249999999999998</v>
      </c>
    </row>
    <row r="433" spans="1:10" x14ac:dyDescent="0.25">
      <c r="A433">
        <v>8</v>
      </c>
      <c r="B433" s="1">
        <v>40671</v>
      </c>
      <c r="C433">
        <v>5</v>
      </c>
      <c r="D433">
        <v>2011</v>
      </c>
      <c r="E433" s="2">
        <v>892393.77</v>
      </c>
      <c r="F433">
        <v>0</v>
      </c>
      <c r="G433" s="3">
        <v>85.15</v>
      </c>
      <c r="H433" s="2">
        <v>3.6840000000000002</v>
      </c>
      <c r="I433">
        <v>218.94929909999999</v>
      </c>
      <c r="J433" s="3">
        <v>6.4249999999999998</v>
      </c>
    </row>
    <row r="434" spans="1:10" x14ac:dyDescent="0.25">
      <c r="A434">
        <v>8</v>
      </c>
      <c r="B434" s="1">
        <v>40885</v>
      </c>
      <c r="C434">
        <v>12</v>
      </c>
      <c r="D434">
        <v>2011</v>
      </c>
      <c r="E434" s="2">
        <v>856796.1</v>
      </c>
      <c r="F434">
        <v>0</v>
      </c>
      <c r="G434" s="3">
        <v>86.05</v>
      </c>
      <c r="H434" s="2">
        <v>3.6379999999999999</v>
      </c>
      <c r="I434">
        <v>219.00752489999999</v>
      </c>
      <c r="J434" s="3">
        <v>6.4249999999999998</v>
      </c>
    </row>
    <row r="435" spans="1:10" x14ac:dyDescent="0.25">
      <c r="A435">
        <v>8</v>
      </c>
      <c r="B435" s="1">
        <v>40583</v>
      </c>
      <c r="C435">
        <v>2</v>
      </c>
      <c r="D435">
        <v>2011</v>
      </c>
      <c r="E435" s="2">
        <v>891387.14</v>
      </c>
      <c r="F435">
        <v>0</v>
      </c>
      <c r="G435" s="3">
        <v>84.77</v>
      </c>
      <c r="H435" s="2">
        <v>3.5329999999999999</v>
      </c>
      <c r="I435">
        <v>219.1970226</v>
      </c>
      <c r="J435" s="3">
        <v>6.4249999999999998</v>
      </c>
    </row>
    <row r="436" spans="1:10" x14ac:dyDescent="0.25">
      <c r="A436">
        <v>8</v>
      </c>
      <c r="B436" s="1">
        <v>40795</v>
      </c>
      <c r="C436">
        <v>9</v>
      </c>
      <c r="D436">
        <v>2011</v>
      </c>
      <c r="E436" s="2">
        <v>848358.09</v>
      </c>
      <c r="F436">
        <v>1</v>
      </c>
      <c r="G436" s="3">
        <v>69.010000000000005</v>
      </c>
      <c r="H436" s="2">
        <v>3.5459999999999998</v>
      </c>
      <c r="I436">
        <v>219.2604355</v>
      </c>
      <c r="J436" s="3">
        <v>6.4249999999999998</v>
      </c>
    </row>
    <row r="437" spans="1:10" x14ac:dyDescent="0.25">
      <c r="A437">
        <v>8</v>
      </c>
      <c r="B437" s="1">
        <v>40734</v>
      </c>
      <c r="C437">
        <v>7</v>
      </c>
      <c r="D437">
        <v>2011</v>
      </c>
      <c r="E437" s="2">
        <v>929976.55</v>
      </c>
      <c r="F437">
        <v>0</v>
      </c>
      <c r="G437" s="3">
        <v>67.61</v>
      </c>
      <c r="H437" s="2">
        <v>3.2850000000000001</v>
      </c>
      <c r="I437">
        <v>220.4772543</v>
      </c>
      <c r="J437" s="3">
        <v>6.1230000000000002</v>
      </c>
    </row>
    <row r="438" spans="1:10" x14ac:dyDescent="0.25">
      <c r="A438">
        <v>8</v>
      </c>
      <c r="B438" s="1">
        <v>40644</v>
      </c>
      <c r="C438">
        <v>4</v>
      </c>
      <c r="D438">
        <v>2011</v>
      </c>
      <c r="E438" s="2">
        <v>947815.05</v>
      </c>
      <c r="F438">
        <v>0</v>
      </c>
      <c r="G438" s="3">
        <v>49.68</v>
      </c>
      <c r="H438" s="2">
        <v>3.3319999999999999</v>
      </c>
      <c r="I438">
        <v>221.29365809999999</v>
      </c>
      <c r="J438" s="3">
        <v>6.1230000000000002</v>
      </c>
    </row>
    <row r="439" spans="1:10" x14ac:dyDescent="0.25">
      <c r="A439">
        <v>8</v>
      </c>
      <c r="B439" s="1">
        <v>40858</v>
      </c>
      <c r="C439">
        <v>11</v>
      </c>
      <c r="D439">
        <v>2011</v>
      </c>
      <c r="E439" s="2">
        <v>917088.48</v>
      </c>
      <c r="F439">
        <v>0</v>
      </c>
      <c r="G439" s="3">
        <v>50.56</v>
      </c>
      <c r="H439" s="2">
        <v>3.2970000000000002</v>
      </c>
      <c r="I439">
        <v>221.45951289999999</v>
      </c>
      <c r="J439" s="3">
        <v>6.1230000000000002</v>
      </c>
    </row>
    <row r="440" spans="1:10" x14ac:dyDescent="0.25">
      <c r="A440">
        <v>8</v>
      </c>
      <c r="B440" s="1">
        <v>40586</v>
      </c>
      <c r="C440">
        <v>2</v>
      </c>
      <c r="D440">
        <v>2011</v>
      </c>
      <c r="E440" s="2">
        <v>986601.46</v>
      </c>
      <c r="F440">
        <v>0</v>
      </c>
      <c r="G440" s="3">
        <v>40.82</v>
      </c>
      <c r="H440" s="2">
        <v>3.1720000000000002</v>
      </c>
      <c r="I440">
        <v>222.20714050000001</v>
      </c>
      <c r="J440" s="3">
        <v>6.1230000000000002</v>
      </c>
    </row>
    <row r="441" spans="1:10" x14ac:dyDescent="0.25">
      <c r="A441">
        <v>8</v>
      </c>
      <c r="B441" s="1">
        <v>40798</v>
      </c>
      <c r="C441">
        <v>9</v>
      </c>
      <c r="D441">
        <v>2011</v>
      </c>
      <c r="E441" s="2">
        <v>1051922.95</v>
      </c>
      <c r="F441">
        <v>0</v>
      </c>
      <c r="G441" s="3">
        <v>30.51</v>
      </c>
      <c r="H441" s="2">
        <v>3.1579999999999999</v>
      </c>
      <c r="I441">
        <v>222.46512379999999</v>
      </c>
      <c r="J441" s="3">
        <v>6.1230000000000002</v>
      </c>
    </row>
    <row r="442" spans="1:10" x14ac:dyDescent="0.25">
      <c r="A442">
        <v>8</v>
      </c>
      <c r="B442" s="1">
        <v>41061</v>
      </c>
      <c r="C442">
        <v>6</v>
      </c>
      <c r="D442">
        <v>2012</v>
      </c>
      <c r="E442" s="2">
        <v>872113.23</v>
      </c>
      <c r="F442">
        <v>0</v>
      </c>
      <c r="G442" s="3">
        <v>43.47</v>
      </c>
      <c r="H442" s="2">
        <v>3.157</v>
      </c>
      <c r="I442">
        <v>223.2409668</v>
      </c>
      <c r="J442" s="3">
        <v>5.8250000000000002</v>
      </c>
    </row>
    <row r="443" spans="1:10" x14ac:dyDescent="0.25">
      <c r="A443">
        <v>8</v>
      </c>
      <c r="B443" s="1">
        <v>40970</v>
      </c>
      <c r="C443">
        <v>3</v>
      </c>
      <c r="D443">
        <v>2012</v>
      </c>
      <c r="E443" s="2">
        <v>927610.69</v>
      </c>
      <c r="F443">
        <v>0</v>
      </c>
      <c r="G443" s="3">
        <v>45.56</v>
      </c>
      <c r="H443" s="2">
        <v>3.36</v>
      </c>
      <c r="I443">
        <v>223.7079023</v>
      </c>
      <c r="J443" s="3">
        <v>5.8250000000000002</v>
      </c>
    </row>
    <row r="444" spans="1:10" x14ac:dyDescent="0.25">
      <c r="A444">
        <v>8</v>
      </c>
      <c r="B444" s="1">
        <v>41184</v>
      </c>
      <c r="C444">
        <v>10</v>
      </c>
      <c r="D444">
        <v>2012</v>
      </c>
      <c r="E444" s="2">
        <v>1021400.42</v>
      </c>
      <c r="F444">
        <v>1</v>
      </c>
      <c r="G444" s="3">
        <v>35.71</v>
      </c>
      <c r="H444" s="2">
        <v>3.4089999999999998</v>
      </c>
      <c r="I444">
        <v>223.80245070000001</v>
      </c>
      <c r="J444" s="3">
        <v>5.8250000000000002</v>
      </c>
    </row>
    <row r="445" spans="1:10" x14ac:dyDescent="0.25">
      <c r="A445">
        <v>8</v>
      </c>
      <c r="B445" s="1">
        <v>40942</v>
      </c>
      <c r="C445">
        <v>2</v>
      </c>
      <c r="D445">
        <v>2012</v>
      </c>
      <c r="E445" s="2">
        <v>952264.91</v>
      </c>
      <c r="F445">
        <v>0</v>
      </c>
      <c r="G445" s="3">
        <v>50.95</v>
      </c>
      <c r="H445" s="2">
        <v>3.63</v>
      </c>
      <c r="I445">
        <v>224.39597929999999</v>
      </c>
      <c r="J445" s="3">
        <v>5.8250000000000002</v>
      </c>
    </row>
    <row r="446" spans="1:10" x14ac:dyDescent="0.25">
      <c r="A446">
        <v>8</v>
      </c>
      <c r="B446" s="1">
        <v>41155</v>
      </c>
      <c r="C446">
        <v>9</v>
      </c>
      <c r="D446">
        <v>2012</v>
      </c>
      <c r="E446" s="2">
        <v>960115.56</v>
      </c>
      <c r="F446">
        <v>0</v>
      </c>
      <c r="G446" s="3">
        <v>49.59</v>
      </c>
      <c r="H446" s="2">
        <v>3.669</v>
      </c>
      <c r="I446">
        <v>224.61103790000001</v>
      </c>
      <c r="J446" s="3">
        <v>5.8250000000000002</v>
      </c>
    </row>
    <row r="447" spans="1:10" x14ac:dyDescent="0.25">
      <c r="A447">
        <v>8</v>
      </c>
      <c r="B447" s="1">
        <v>41064</v>
      </c>
      <c r="C447">
        <v>6</v>
      </c>
      <c r="D447">
        <v>2012</v>
      </c>
      <c r="E447" s="2">
        <v>1046816.59</v>
      </c>
      <c r="F447">
        <v>0</v>
      </c>
      <c r="G447" s="3">
        <v>62.18</v>
      </c>
      <c r="H447" s="2">
        <v>3.891</v>
      </c>
      <c r="I447">
        <v>224.98836180000001</v>
      </c>
      <c r="J447" s="3">
        <v>5.6790000000000003</v>
      </c>
    </row>
    <row r="448" spans="1:10" x14ac:dyDescent="0.25">
      <c r="A448">
        <v>8</v>
      </c>
      <c r="B448" s="1">
        <v>41004</v>
      </c>
      <c r="C448">
        <v>4</v>
      </c>
      <c r="D448">
        <v>2012</v>
      </c>
      <c r="E448" s="2">
        <v>937232.09</v>
      </c>
      <c r="F448">
        <v>0</v>
      </c>
      <c r="G448" s="3">
        <v>73.959999999999994</v>
      </c>
      <c r="H448" s="2">
        <v>3.7490000000000001</v>
      </c>
      <c r="I448">
        <v>225.22883139999999</v>
      </c>
      <c r="J448" s="3">
        <v>5.6790000000000003</v>
      </c>
    </row>
    <row r="449" spans="1:10" x14ac:dyDescent="0.25">
      <c r="A449">
        <v>8</v>
      </c>
      <c r="B449" s="1">
        <v>41218</v>
      </c>
      <c r="C449">
        <v>11</v>
      </c>
      <c r="D449">
        <v>2012</v>
      </c>
      <c r="E449" s="2">
        <v>920128.89</v>
      </c>
      <c r="F449">
        <v>0</v>
      </c>
      <c r="G449" s="3">
        <v>64.959999999999994</v>
      </c>
      <c r="H449" s="2">
        <v>3.6880000000000002</v>
      </c>
      <c r="I449">
        <v>225.28425139999999</v>
      </c>
      <c r="J449" s="3">
        <v>5.6790000000000003</v>
      </c>
    </row>
    <row r="450" spans="1:10" x14ac:dyDescent="0.25">
      <c r="A450">
        <v>8</v>
      </c>
      <c r="B450" s="1">
        <v>40914</v>
      </c>
      <c r="C450">
        <v>1</v>
      </c>
      <c r="D450">
        <v>2012</v>
      </c>
      <c r="E450" s="2">
        <v>921161.2</v>
      </c>
      <c r="F450">
        <v>0</v>
      </c>
      <c r="G450" s="3">
        <v>78.31</v>
      </c>
      <c r="H450" s="2">
        <v>3.5009999999999999</v>
      </c>
      <c r="I450">
        <v>225.30086499999999</v>
      </c>
      <c r="J450" s="3">
        <v>5.6790000000000003</v>
      </c>
    </row>
    <row r="451" spans="1:10" x14ac:dyDescent="0.25">
      <c r="A451">
        <v>8</v>
      </c>
      <c r="B451" s="1">
        <v>41127</v>
      </c>
      <c r="C451">
        <v>8</v>
      </c>
      <c r="D451">
        <v>2012</v>
      </c>
      <c r="E451" s="2">
        <v>928820</v>
      </c>
      <c r="F451">
        <v>0</v>
      </c>
      <c r="G451" s="3">
        <v>74.28</v>
      </c>
      <c r="H451" s="2">
        <v>3.452</v>
      </c>
      <c r="I451">
        <v>225.3011521</v>
      </c>
      <c r="J451" s="3">
        <v>5.6790000000000003</v>
      </c>
    </row>
    <row r="452" spans="1:10" x14ac:dyDescent="0.25">
      <c r="A452">
        <v>8</v>
      </c>
      <c r="B452" s="1">
        <v>41067</v>
      </c>
      <c r="C452">
        <v>6</v>
      </c>
      <c r="D452">
        <v>2012</v>
      </c>
      <c r="E452" s="2">
        <v>936205.5</v>
      </c>
      <c r="F452">
        <v>0</v>
      </c>
      <c r="G452" s="3">
        <v>81.239999999999995</v>
      </c>
      <c r="H452" s="2">
        <v>3.2269999999999999</v>
      </c>
      <c r="I452">
        <v>225.44070429999999</v>
      </c>
      <c r="J452" s="3">
        <v>5.4009999999999998</v>
      </c>
    </row>
    <row r="453" spans="1:10" x14ac:dyDescent="0.25">
      <c r="A453">
        <v>8</v>
      </c>
      <c r="B453" s="1">
        <v>40976</v>
      </c>
      <c r="C453">
        <v>3</v>
      </c>
      <c r="D453">
        <v>2012</v>
      </c>
      <c r="E453" s="2">
        <v>897076.73</v>
      </c>
      <c r="F453">
        <v>0</v>
      </c>
      <c r="G453" s="3">
        <v>85.06</v>
      </c>
      <c r="H453" s="2">
        <v>3.4169999999999998</v>
      </c>
      <c r="I453">
        <v>225.51279489999999</v>
      </c>
      <c r="J453" s="3">
        <v>5.4009999999999998</v>
      </c>
    </row>
    <row r="454" spans="1:10" x14ac:dyDescent="0.25">
      <c r="A454">
        <v>8</v>
      </c>
      <c r="B454" s="1">
        <v>41190</v>
      </c>
      <c r="C454">
        <v>10</v>
      </c>
      <c r="D454">
        <v>2012</v>
      </c>
      <c r="E454" s="2">
        <v>930745.69</v>
      </c>
      <c r="F454">
        <v>0</v>
      </c>
      <c r="G454" s="3">
        <v>83.74</v>
      </c>
      <c r="H454" s="2">
        <v>3.4940000000000002</v>
      </c>
      <c r="I454">
        <v>225.52268849999999</v>
      </c>
      <c r="J454" s="3">
        <v>5.4009999999999998</v>
      </c>
    </row>
    <row r="455" spans="1:10" x14ac:dyDescent="0.25">
      <c r="A455">
        <v>8</v>
      </c>
      <c r="B455" s="1">
        <v>41099</v>
      </c>
      <c r="C455">
        <v>7</v>
      </c>
      <c r="D455">
        <v>2012</v>
      </c>
      <c r="E455" s="2">
        <v>932160.37</v>
      </c>
      <c r="F455">
        <v>1</v>
      </c>
      <c r="G455" s="3">
        <v>80.87</v>
      </c>
      <c r="H455" s="2">
        <v>3.73</v>
      </c>
      <c r="I455">
        <v>226.01537329999999</v>
      </c>
      <c r="J455" s="3">
        <v>5.4009999999999998</v>
      </c>
    </row>
    <row r="456" spans="1:10" x14ac:dyDescent="0.25">
      <c r="A456">
        <v>8</v>
      </c>
      <c r="B456" s="1">
        <v>41039</v>
      </c>
      <c r="C456">
        <v>5</v>
      </c>
      <c r="D456">
        <v>2012</v>
      </c>
      <c r="E456" s="2">
        <v>976436.02</v>
      </c>
      <c r="F456">
        <v>0</v>
      </c>
      <c r="G456" s="3">
        <v>61.41</v>
      </c>
      <c r="H456" s="2">
        <v>3.617</v>
      </c>
      <c r="I456">
        <v>226.77055809999999</v>
      </c>
      <c r="J456" s="3">
        <v>5.1239999999999997</v>
      </c>
    </row>
    <row r="457" spans="1:10" x14ac:dyDescent="0.25">
      <c r="A457">
        <v>8</v>
      </c>
      <c r="B457" s="1">
        <v>41253</v>
      </c>
      <c r="C457">
        <v>12</v>
      </c>
      <c r="D457">
        <v>2012</v>
      </c>
      <c r="E457" s="2">
        <v>927511.99</v>
      </c>
      <c r="F457">
        <v>0</v>
      </c>
      <c r="G457" s="3">
        <v>55.03</v>
      </c>
      <c r="H457" s="2">
        <v>3.601</v>
      </c>
      <c r="I457">
        <v>226.97354480000001</v>
      </c>
      <c r="J457" s="3">
        <v>5.1239999999999997</v>
      </c>
    </row>
    <row r="458" spans="1:10" x14ac:dyDescent="0.25">
      <c r="A458">
        <v>9</v>
      </c>
      <c r="B458" s="1">
        <v>40300</v>
      </c>
      <c r="C458">
        <v>5</v>
      </c>
      <c r="D458">
        <v>2010</v>
      </c>
      <c r="E458" s="2">
        <v>549505.55000000005</v>
      </c>
      <c r="F458">
        <v>0</v>
      </c>
      <c r="G458" s="3">
        <v>38.01</v>
      </c>
      <c r="H458" s="2">
        <v>2.5720000000000001</v>
      </c>
      <c r="I458">
        <v>214.6554591</v>
      </c>
      <c r="J458" s="3">
        <v>6.415</v>
      </c>
    </row>
    <row r="459" spans="1:10" x14ac:dyDescent="0.25">
      <c r="A459">
        <v>9</v>
      </c>
      <c r="B459" s="1">
        <v>40514</v>
      </c>
      <c r="C459">
        <v>12</v>
      </c>
      <c r="D459">
        <v>2010</v>
      </c>
      <c r="E459" s="2">
        <v>552677.48</v>
      </c>
      <c r="F459">
        <v>1</v>
      </c>
      <c r="G459" s="3">
        <v>37.08</v>
      </c>
      <c r="H459" s="2">
        <v>2.548</v>
      </c>
      <c r="I459">
        <v>214.80565340000001</v>
      </c>
      <c r="J459" s="3">
        <v>6.415</v>
      </c>
    </row>
    <row r="460" spans="1:10" x14ac:dyDescent="0.25">
      <c r="A460">
        <v>9</v>
      </c>
      <c r="B460" s="1">
        <v>40301</v>
      </c>
      <c r="C460">
        <v>5</v>
      </c>
      <c r="D460">
        <v>2010</v>
      </c>
      <c r="E460" s="2">
        <v>507297.88</v>
      </c>
      <c r="F460">
        <v>0</v>
      </c>
      <c r="G460" s="3">
        <v>48.43</v>
      </c>
      <c r="H460" s="2">
        <v>2.625</v>
      </c>
      <c r="I460">
        <v>214.9054721</v>
      </c>
      <c r="J460" s="3">
        <v>6.415</v>
      </c>
    </row>
    <row r="461" spans="1:10" x14ac:dyDescent="0.25">
      <c r="A461">
        <v>9</v>
      </c>
      <c r="B461" s="1">
        <v>40515</v>
      </c>
      <c r="C461">
        <v>12</v>
      </c>
      <c r="D461">
        <v>2010</v>
      </c>
      <c r="E461" s="2">
        <v>494145.8</v>
      </c>
      <c r="F461">
        <v>0</v>
      </c>
      <c r="G461" s="3">
        <v>55.76</v>
      </c>
      <c r="H461" s="2">
        <v>2.6669999999999998</v>
      </c>
      <c r="I461">
        <v>214.93289899999999</v>
      </c>
      <c r="J461" s="3">
        <v>6.415</v>
      </c>
    </row>
    <row r="462" spans="1:10" x14ac:dyDescent="0.25">
      <c r="A462">
        <v>9</v>
      </c>
      <c r="B462" s="1">
        <v>40213</v>
      </c>
      <c r="C462">
        <v>2</v>
      </c>
      <c r="D462">
        <v>2010</v>
      </c>
      <c r="E462" s="2">
        <v>545206.31999999995</v>
      </c>
      <c r="F462">
        <v>0</v>
      </c>
      <c r="G462" s="3">
        <v>65.209999999999994</v>
      </c>
      <c r="H462" s="2">
        <v>2.7189999999999999</v>
      </c>
      <c r="I462">
        <v>214.3465181</v>
      </c>
      <c r="J462" s="3">
        <v>6.3840000000000003</v>
      </c>
    </row>
    <row r="463" spans="1:10" x14ac:dyDescent="0.25">
      <c r="A463">
        <v>9</v>
      </c>
      <c r="B463" s="1">
        <v>40425</v>
      </c>
      <c r="C463">
        <v>9</v>
      </c>
      <c r="D463">
        <v>2010</v>
      </c>
      <c r="E463" s="2">
        <v>529384.31000000006</v>
      </c>
      <c r="F463">
        <v>0</v>
      </c>
      <c r="G463" s="3">
        <v>64.95</v>
      </c>
      <c r="H463" s="2">
        <v>2.77</v>
      </c>
      <c r="I463">
        <v>214.13991350000001</v>
      </c>
      <c r="J463" s="3">
        <v>6.3840000000000003</v>
      </c>
    </row>
    <row r="464" spans="1:10" x14ac:dyDescent="0.25">
      <c r="A464">
        <v>9</v>
      </c>
      <c r="B464" s="1">
        <v>40364</v>
      </c>
      <c r="C464">
        <v>7</v>
      </c>
      <c r="D464">
        <v>2010</v>
      </c>
      <c r="E464" s="2">
        <v>526128.61</v>
      </c>
      <c r="F464">
        <v>0</v>
      </c>
      <c r="G464" s="3">
        <v>68.58</v>
      </c>
      <c r="H464" s="2">
        <v>2.835</v>
      </c>
      <c r="I464">
        <v>213.848478</v>
      </c>
      <c r="J464" s="3">
        <v>6.3840000000000003</v>
      </c>
    </row>
    <row r="465" spans="1:10" x14ac:dyDescent="0.25">
      <c r="A465">
        <v>9</v>
      </c>
      <c r="B465" s="1">
        <v>40274</v>
      </c>
      <c r="C465">
        <v>4</v>
      </c>
      <c r="D465">
        <v>2010</v>
      </c>
      <c r="E465" s="2">
        <v>586061.46</v>
      </c>
      <c r="F465">
        <v>0</v>
      </c>
      <c r="G465" s="3">
        <v>79.650000000000006</v>
      </c>
      <c r="H465" s="2">
        <v>2.7050000000000001</v>
      </c>
      <c r="I465">
        <v>214.72578480000001</v>
      </c>
      <c r="J465" s="3">
        <v>6.3840000000000003</v>
      </c>
    </row>
    <row r="466" spans="1:10" x14ac:dyDescent="0.25">
      <c r="A466">
        <v>9</v>
      </c>
      <c r="B466" s="1">
        <v>40488</v>
      </c>
      <c r="C466">
        <v>11</v>
      </c>
      <c r="D466">
        <v>2010</v>
      </c>
      <c r="E466" s="2">
        <v>522715.68</v>
      </c>
      <c r="F466">
        <v>0</v>
      </c>
      <c r="G466" s="3">
        <v>83.75</v>
      </c>
      <c r="H466" s="2">
        <v>2.6680000000000001</v>
      </c>
      <c r="I466">
        <v>215.0187191</v>
      </c>
      <c r="J466" s="3">
        <v>6.3840000000000003</v>
      </c>
    </row>
    <row r="467" spans="1:10" x14ac:dyDescent="0.25">
      <c r="A467">
        <v>9</v>
      </c>
      <c r="B467" s="1">
        <v>40216</v>
      </c>
      <c r="C467">
        <v>2</v>
      </c>
      <c r="D467">
        <v>2010</v>
      </c>
      <c r="E467" s="2">
        <v>528832.54</v>
      </c>
      <c r="F467">
        <v>0</v>
      </c>
      <c r="G467" s="3">
        <v>78.55</v>
      </c>
      <c r="H467" s="2">
        <v>2.669</v>
      </c>
      <c r="I467">
        <v>214.7765028</v>
      </c>
      <c r="J467" s="3">
        <v>6.4420000000000002</v>
      </c>
    </row>
    <row r="468" spans="1:10" x14ac:dyDescent="0.25">
      <c r="A468">
        <v>9</v>
      </c>
      <c r="B468" s="1">
        <v>40428</v>
      </c>
      <c r="C468">
        <v>9</v>
      </c>
      <c r="D468">
        <v>2010</v>
      </c>
      <c r="E468" s="2">
        <v>485389.15</v>
      </c>
      <c r="F468">
        <v>0</v>
      </c>
      <c r="G468" s="3">
        <v>78.510000000000005</v>
      </c>
      <c r="H468" s="2">
        <v>2.6419999999999999</v>
      </c>
      <c r="I468">
        <v>214.65643009999999</v>
      </c>
      <c r="J468" s="3">
        <v>6.4420000000000002</v>
      </c>
    </row>
    <row r="469" spans="1:10" x14ac:dyDescent="0.25">
      <c r="A469">
        <v>9</v>
      </c>
      <c r="B469" s="1">
        <v>40337</v>
      </c>
      <c r="C469">
        <v>6</v>
      </c>
      <c r="D469">
        <v>2010</v>
      </c>
      <c r="E469" s="2">
        <v>522815.45</v>
      </c>
      <c r="F469">
        <v>0</v>
      </c>
      <c r="G469" s="3">
        <v>87.09</v>
      </c>
      <c r="H469" s="2">
        <v>2.6269999999999998</v>
      </c>
      <c r="I469">
        <v>215.064843</v>
      </c>
      <c r="J469" s="3">
        <v>6.4420000000000002</v>
      </c>
    </row>
    <row r="470" spans="1:10" x14ac:dyDescent="0.25">
      <c r="A470">
        <v>9</v>
      </c>
      <c r="B470" s="1">
        <v>40246</v>
      </c>
      <c r="C470">
        <v>3</v>
      </c>
      <c r="D470">
        <v>2010</v>
      </c>
      <c r="E470" s="2">
        <v>511049.06</v>
      </c>
      <c r="F470">
        <v>0</v>
      </c>
      <c r="G470" s="3">
        <v>82.47</v>
      </c>
      <c r="H470" s="2">
        <v>2.577</v>
      </c>
      <c r="I470">
        <v>215.0779426</v>
      </c>
      <c r="J470" s="3">
        <v>6.4420000000000002</v>
      </c>
    </row>
    <row r="471" spans="1:10" x14ac:dyDescent="0.25">
      <c r="A471">
        <v>9</v>
      </c>
      <c r="B471" s="1">
        <v>40460</v>
      </c>
      <c r="C471">
        <v>10</v>
      </c>
      <c r="D471">
        <v>2010</v>
      </c>
      <c r="E471" s="2">
        <v>484835.2</v>
      </c>
      <c r="F471">
        <v>1</v>
      </c>
      <c r="G471" s="3">
        <v>77.7</v>
      </c>
      <c r="H471" s="2">
        <v>2.5649999999999999</v>
      </c>
      <c r="I471">
        <v>215.0359315</v>
      </c>
      <c r="J471" s="3">
        <v>6.4420000000000002</v>
      </c>
    </row>
    <row r="472" spans="1:10" x14ac:dyDescent="0.25">
      <c r="A472">
        <v>9</v>
      </c>
      <c r="B472" s="1">
        <v>40188</v>
      </c>
      <c r="C472">
        <v>1</v>
      </c>
      <c r="D472">
        <v>2010</v>
      </c>
      <c r="E472" s="2">
        <v>495692.19</v>
      </c>
      <c r="F472">
        <v>0</v>
      </c>
      <c r="G472" s="3">
        <v>69.08</v>
      </c>
      <c r="H472" s="2">
        <v>2.6030000000000002</v>
      </c>
      <c r="I472">
        <v>215.2141341</v>
      </c>
      <c r="J472" s="3">
        <v>6.56</v>
      </c>
    </row>
    <row r="473" spans="1:10" x14ac:dyDescent="0.25">
      <c r="A473">
        <v>9</v>
      </c>
      <c r="B473" s="1">
        <v>40400</v>
      </c>
      <c r="C473">
        <v>8</v>
      </c>
      <c r="D473">
        <v>2010</v>
      </c>
      <c r="E473" s="2">
        <v>505069.21</v>
      </c>
      <c r="F473">
        <v>0</v>
      </c>
      <c r="G473" s="3">
        <v>65.349999999999994</v>
      </c>
      <c r="H473" s="2">
        <v>2.633</v>
      </c>
      <c r="I473">
        <v>215.290437</v>
      </c>
      <c r="J473" s="3">
        <v>6.56</v>
      </c>
    </row>
    <row r="474" spans="1:10" x14ac:dyDescent="0.25">
      <c r="A474">
        <v>9</v>
      </c>
      <c r="B474" s="1">
        <v>40309</v>
      </c>
      <c r="C474">
        <v>5</v>
      </c>
      <c r="D474">
        <v>2010</v>
      </c>
      <c r="E474" s="2">
        <v>517869.97</v>
      </c>
      <c r="F474">
        <v>0</v>
      </c>
      <c r="G474" s="3">
        <v>58.69</v>
      </c>
      <c r="H474" s="2">
        <v>2.6890000000000001</v>
      </c>
      <c r="I474">
        <v>215.50654520000001</v>
      </c>
      <c r="J474" s="3">
        <v>6.56</v>
      </c>
    </row>
    <row r="475" spans="1:10" x14ac:dyDescent="0.25">
      <c r="A475">
        <v>9</v>
      </c>
      <c r="B475" s="1">
        <v>40523</v>
      </c>
      <c r="C475">
        <v>12</v>
      </c>
      <c r="D475">
        <v>2010</v>
      </c>
      <c r="E475" s="2">
        <v>520846.68</v>
      </c>
      <c r="F475">
        <v>0</v>
      </c>
      <c r="G475" s="3">
        <v>61.59</v>
      </c>
      <c r="H475" s="2">
        <v>2.7280000000000002</v>
      </c>
      <c r="I475">
        <v>215.5557297</v>
      </c>
      <c r="J475" s="3">
        <v>6.56</v>
      </c>
    </row>
    <row r="476" spans="1:10" x14ac:dyDescent="0.25">
      <c r="A476">
        <v>9</v>
      </c>
      <c r="B476" s="1">
        <v>40249</v>
      </c>
      <c r="C476">
        <v>3</v>
      </c>
      <c r="D476">
        <v>2010</v>
      </c>
      <c r="E476" s="2">
        <v>578164.81999999995</v>
      </c>
      <c r="F476">
        <v>0</v>
      </c>
      <c r="G476" s="3">
        <v>49.89</v>
      </c>
      <c r="H476" s="2">
        <v>2.7080000000000002</v>
      </c>
      <c r="I476">
        <v>215.14452030000001</v>
      </c>
      <c r="J476" s="3">
        <v>6.56</v>
      </c>
    </row>
    <row r="477" spans="1:10" x14ac:dyDescent="0.25">
      <c r="A477">
        <v>9</v>
      </c>
      <c r="B477" s="1">
        <v>40463</v>
      </c>
      <c r="C477">
        <v>10</v>
      </c>
      <c r="D477">
        <v>2010</v>
      </c>
      <c r="E477" s="2">
        <v>618121.81999999995</v>
      </c>
      <c r="F477">
        <v>0</v>
      </c>
      <c r="G477" s="3">
        <v>46.1</v>
      </c>
      <c r="H477" s="2">
        <v>2.843</v>
      </c>
      <c r="I477">
        <v>214.99813779999999</v>
      </c>
      <c r="J477" s="3">
        <v>6.56</v>
      </c>
    </row>
    <row r="478" spans="1:10" x14ac:dyDescent="0.25">
      <c r="A478">
        <v>9</v>
      </c>
      <c r="B478" s="1">
        <v>40725</v>
      </c>
      <c r="C478">
        <v>7</v>
      </c>
      <c r="D478">
        <v>2011</v>
      </c>
      <c r="E478" s="2">
        <v>490981.78</v>
      </c>
      <c r="F478">
        <v>0</v>
      </c>
      <c r="G478" s="3">
        <v>41.82</v>
      </c>
      <c r="H478" s="2">
        <v>2.976</v>
      </c>
      <c r="I478">
        <v>214.92347290000001</v>
      </c>
      <c r="J478" s="3">
        <v>6.4160000000000004</v>
      </c>
    </row>
    <row r="479" spans="1:10" x14ac:dyDescent="0.25">
      <c r="A479">
        <v>9</v>
      </c>
      <c r="B479" s="1">
        <v>40635</v>
      </c>
      <c r="C479">
        <v>4</v>
      </c>
      <c r="D479">
        <v>2011</v>
      </c>
      <c r="E479" s="2">
        <v>544612.28</v>
      </c>
      <c r="F479">
        <v>0</v>
      </c>
      <c r="G479" s="3">
        <v>31.82</v>
      </c>
      <c r="H479" s="2">
        <v>2.9889999999999999</v>
      </c>
      <c r="I479">
        <v>216.11628640000001</v>
      </c>
      <c r="J479" s="3">
        <v>6.4160000000000004</v>
      </c>
    </row>
    <row r="480" spans="1:10" x14ac:dyDescent="0.25">
      <c r="A480">
        <v>9</v>
      </c>
      <c r="B480" s="1">
        <v>40849</v>
      </c>
      <c r="C480">
        <v>11</v>
      </c>
      <c r="D480">
        <v>2011</v>
      </c>
      <c r="E480" s="2">
        <v>555279.02</v>
      </c>
      <c r="F480">
        <v>1</v>
      </c>
      <c r="G480" s="3">
        <v>34.130000000000003</v>
      </c>
      <c r="H480" s="2">
        <v>3.0219999999999998</v>
      </c>
      <c r="I480">
        <v>216.49672899999999</v>
      </c>
      <c r="J480" s="3">
        <v>6.4160000000000004</v>
      </c>
    </row>
    <row r="481" spans="1:10" x14ac:dyDescent="0.25">
      <c r="A481">
        <v>9</v>
      </c>
      <c r="B481" s="1">
        <v>40636</v>
      </c>
      <c r="C481">
        <v>4</v>
      </c>
      <c r="D481">
        <v>2011</v>
      </c>
      <c r="E481" s="2">
        <v>542016.18000000005</v>
      </c>
      <c r="F481">
        <v>0</v>
      </c>
      <c r="G481" s="3">
        <v>60.67</v>
      </c>
      <c r="H481" s="2">
        <v>3.2879999999999998</v>
      </c>
      <c r="I481">
        <v>217.40365030000001</v>
      </c>
      <c r="J481" s="3">
        <v>6.4160000000000004</v>
      </c>
    </row>
    <row r="482" spans="1:10" x14ac:dyDescent="0.25">
      <c r="A482">
        <v>9</v>
      </c>
      <c r="B482" s="1">
        <v>40850</v>
      </c>
      <c r="C482">
        <v>11</v>
      </c>
      <c r="D482">
        <v>2011</v>
      </c>
      <c r="E482" s="2">
        <v>517783.5</v>
      </c>
      <c r="F482">
        <v>0</v>
      </c>
      <c r="G482" s="3">
        <v>54.75</v>
      </c>
      <c r="H482" s="2">
        <v>3.4590000000000001</v>
      </c>
      <c r="I482">
        <v>217.69773259999999</v>
      </c>
      <c r="J482" s="3">
        <v>6.4160000000000004</v>
      </c>
    </row>
    <row r="483" spans="1:10" x14ac:dyDescent="0.25">
      <c r="A483">
        <v>9</v>
      </c>
      <c r="B483" s="1">
        <v>40547</v>
      </c>
      <c r="C483">
        <v>1</v>
      </c>
      <c r="D483">
        <v>2011</v>
      </c>
      <c r="E483" s="2">
        <v>520962.14</v>
      </c>
      <c r="F483">
        <v>0</v>
      </c>
      <c r="G483" s="3">
        <v>56.12</v>
      </c>
      <c r="H483" s="2">
        <v>3.524</v>
      </c>
      <c r="I483">
        <v>218.44516400000001</v>
      </c>
      <c r="J483" s="3">
        <v>6.38</v>
      </c>
    </row>
    <row r="484" spans="1:10" x14ac:dyDescent="0.25">
      <c r="A484">
        <v>9</v>
      </c>
      <c r="B484" s="1">
        <v>40759</v>
      </c>
      <c r="C484">
        <v>8</v>
      </c>
      <c r="D484">
        <v>2011</v>
      </c>
      <c r="E484" s="2">
        <v>561625.92000000004</v>
      </c>
      <c r="F484">
        <v>0</v>
      </c>
      <c r="G484" s="3">
        <v>71.400000000000006</v>
      </c>
      <c r="H484" s="2">
        <v>3.6219999999999999</v>
      </c>
      <c r="I484">
        <v>218.68957750000001</v>
      </c>
      <c r="J484" s="3">
        <v>6.38</v>
      </c>
    </row>
    <row r="485" spans="1:10" x14ac:dyDescent="0.25">
      <c r="A485">
        <v>9</v>
      </c>
      <c r="B485" s="1">
        <v>40699</v>
      </c>
      <c r="C485">
        <v>6</v>
      </c>
      <c r="D485">
        <v>2011</v>
      </c>
      <c r="E485" s="2">
        <v>545251.1</v>
      </c>
      <c r="F485">
        <v>0</v>
      </c>
      <c r="G485" s="3">
        <v>62.2</v>
      </c>
      <c r="H485" s="2">
        <v>3.9060000000000001</v>
      </c>
      <c r="I485">
        <v>219.4315106</v>
      </c>
      <c r="J485" s="3">
        <v>6.38</v>
      </c>
    </row>
    <row r="486" spans="1:10" x14ac:dyDescent="0.25">
      <c r="A486">
        <v>9</v>
      </c>
      <c r="B486" s="1">
        <v>40608</v>
      </c>
      <c r="C486">
        <v>3</v>
      </c>
      <c r="D486">
        <v>2011</v>
      </c>
      <c r="E486" s="2">
        <v>587004.29</v>
      </c>
      <c r="F486">
        <v>0</v>
      </c>
      <c r="G486" s="3">
        <v>85.8</v>
      </c>
      <c r="H486" s="2">
        <v>3.6989999999999998</v>
      </c>
      <c r="I486">
        <v>218.87847679999999</v>
      </c>
      <c r="J486" s="3">
        <v>6.38</v>
      </c>
    </row>
    <row r="487" spans="1:10" x14ac:dyDescent="0.25">
      <c r="A487">
        <v>9</v>
      </c>
      <c r="B487" s="1">
        <v>40822</v>
      </c>
      <c r="C487">
        <v>10</v>
      </c>
      <c r="D487">
        <v>2011</v>
      </c>
      <c r="E487" s="2">
        <v>550076.31999999995</v>
      </c>
      <c r="F487">
        <v>0</v>
      </c>
      <c r="G487" s="3">
        <v>85.81</v>
      </c>
      <c r="H487" s="2">
        <v>3.6480000000000001</v>
      </c>
      <c r="I487">
        <v>218.63657470000001</v>
      </c>
      <c r="J487" s="3">
        <v>6.38</v>
      </c>
    </row>
    <row r="488" spans="1:10" x14ac:dyDescent="0.25">
      <c r="A488">
        <v>9</v>
      </c>
      <c r="B488" s="1">
        <v>40550</v>
      </c>
      <c r="C488">
        <v>1</v>
      </c>
      <c r="D488">
        <v>2011</v>
      </c>
      <c r="E488" s="2">
        <v>537064.03</v>
      </c>
      <c r="F488">
        <v>0</v>
      </c>
      <c r="G488" s="3">
        <v>89.14</v>
      </c>
      <c r="H488" s="2">
        <v>3.524</v>
      </c>
      <c r="I488">
        <v>218.7796415</v>
      </c>
      <c r="J488" s="3">
        <v>6.4039999999999999</v>
      </c>
    </row>
    <row r="489" spans="1:10" x14ac:dyDescent="0.25">
      <c r="A489">
        <v>9</v>
      </c>
      <c r="B489" s="1">
        <v>40762</v>
      </c>
      <c r="C489">
        <v>8</v>
      </c>
      <c r="D489">
        <v>2011</v>
      </c>
      <c r="E489" s="2">
        <v>535983.13</v>
      </c>
      <c r="F489">
        <v>0</v>
      </c>
      <c r="G489" s="3">
        <v>89.04</v>
      </c>
      <c r="H489" s="2">
        <v>3.48</v>
      </c>
      <c r="I489">
        <v>218.8755955</v>
      </c>
      <c r="J489" s="3">
        <v>6.4039999999999999</v>
      </c>
    </row>
    <row r="490" spans="1:10" x14ac:dyDescent="0.25">
      <c r="A490">
        <v>9</v>
      </c>
      <c r="B490" s="1">
        <v>40671</v>
      </c>
      <c r="C490">
        <v>5</v>
      </c>
      <c r="D490">
        <v>2011</v>
      </c>
      <c r="E490" s="2">
        <v>554879.67000000004</v>
      </c>
      <c r="F490">
        <v>0</v>
      </c>
      <c r="G490" s="3">
        <v>91.52</v>
      </c>
      <c r="H490" s="2">
        <v>3.6840000000000002</v>
      </c>
      <c r="I490">
        <v>219.13492009999999</v>
      </c>
      <c r="J490" s="3">
        <v>6.4039999999999999</v>
      </c>
    </row>
    <row r="491" spans="1:10" x14ac:dyDescent="0.25">
      <c r="A491">
        <v>9</v>
      </c>
      <c r="B491" s="1">
        <v>40885</v>
      </c>
      <c r="C491">
        <v>12</v>
      </c>
      <c r="D491">
        <v>2011</v>
      </c>
      <c r="E491" s="2">
        <v>520284.79</v>
      </c>
      <c r="F491">
        <v>0</v>
      </c>
      <c r="G491" s="3">
        <v>91.63</v>
      </c>
      <c r="H491" s="2">
        <v>3.6379999999999999</v>
      </c>
      <c r="I491">
        <v>219.1929854</v>
      </c>
      <c r="J491" s="3">
        <v>6.4039999999999999</v>
      </c>
    </row>
    <row r="492" spans="1:10" x14ac:dyDescent="0.25">
      <c r="A492">
        <v>9</v>
      </c>
      <c r="B492" s="1">
        <v>40583</v>
      </c>
      <c r="C492">
        <v>2</v>
      </c>
      <c r="D492">
        <v>2011</v>
      </c>
      <c r="E492" s="2">
        <v>544643.32999999996</v>
      </c>
      <c r="F492">
        <v>0</v>
      </c>
      <c r="G492" s="3">
        <v>89.33</v>
      </c>
      <c r="H492" s="2">
        <v>3.5329999999999999</v>
      </c>
      <c r="I492">
        <v>219.38238200000001</v>
      </c>
      <c r="J492" s="3">
        <v>6.4039999999999999</v>
      </c>
    </row>
    <row r="493" spans="1:10" x14ac:dyDescent="0.25">
      <c r="A493">
        <v>9</v>
      </c>
      <c r="B493" s="1">
        <v>40795</v>
      </c>
      <c r="C493">
        <v>9</v>
      </c>
      <c r="D493">
        <v>2011</v>
      </c>
      <c r="E493" s="2">
        <v>528784.86</v>
      </c>
      <c r="F493">
        <v>1</v>
      </c>
      <c r="G493" s="3">
        <v>75.650000000000006</v>
      </c>
      <c r="H493" s="2">
        <v>3.5459999999999998</v>
      </c>
      <c r="I493">
        <v>219.44576749999999</v>
      </c>
      <c r="J493" s="3">
        <v>6.4039999999999999</v>
      </c>
    </row>
    <row r="494" spans="1:10" x14ac:dyDescent="0.25">
      <c r="A494">
        <v>9</v>
      </c>
      <c r="B494" s="1">
        <v>40734</v>
      </c>
      <c r="C494">
        <v>7</v>
      </c>
      <c r="D494">
        <v>2011</v>
      </c>
      <c r="E494" s="2">
        <v>553836.98</v>
      </c>
      <c r="F494">
        <v>0</v>
      </c>
      <c r="G494" s="3">
        <v>72.62</v>
      </c>
      <c r="H494" s="2">
        <v>3.2850000000000001</v>
      </c>
      <c r="I494">
        <v>220.66435849999999</v>
      </c>
      <c r="J494" s="3">
        <v>6.0540000000000003</v>
      </c>
    </row>
    <row r="495" spans="1:10" x14ac:dyDescent="0.25">
      <c r="A495">
        <v>9</v>
      </c>
      <c r="B495" s="1">
        <v>40644</v>
      </c>
      <c r="C495">
        <v>4</v>
      </c>
      <c r="D495">
        <v>2011</v>
      </c>
      <c r="E495" s="2">
        <v>597855.06999999995</v>
      </c>
      <c r="F495">
        <v>0</v>
      </c>
      <c r="G495" s="3">
        <v>54.46</v>
      </c>
      <c r="H495" s="2">
        <v>3.3319999999999999</v>
      </c>
      <c r="I495">
        <v>221.48209209999999</v>
      </c>
      <c r="J495" s="3">
        <v>6.0540000000000003</v>
      </c>
    </row>
    <row r="496" spans="1:10" x14ac:dyDescent="0.25">
      <c r="A496">
        <v>9</v>
      </c>
      <c r="B496" s="1">
        <v>40858</v>
      </c>
      <c r="C496">
        <v>11</v>
      </c>
      <c r="D496">
        <v>2011</v>
      </c>
      <c r="E496" s="2">
        <v>594574.12</v>
      </c>
      <c r="F496">
        <v>0</v>
      </c>
      <c r="G496" s="3">
        <v>58.28</v>
      </c>
      <c r="H496" s="2">
        <v>3.2970000000000002</v>
      </c>
      <c r="I496">
        <v>221.6482278</v>
      </c>
      <c r="J496" s="3">
        <v>6.0540000000000003</v>
      </c>
    </row>
    <row r="497" spans="1:10" x14ac:dyDescent="0.25">
      <c r="A497">
        <v>9</v>
      </c>
      <c r="B497" s="1">
        <v>40586</v>
      </c>
      <c r="C497">
        <v>2</v>
      </c>
      <c r="D497">
        <v>2011</v>
      </c>
      <c r="E497" s="2">
        <v>613115.21</v>
      </c>
      <c r="F497">
        <v>0</v>
      </c>
      <c r="G497" s="3">
        <v>46.84</v>
      </c>
      <c r="H497" s="2">
        <v>3.1720000000000002</v>
      </c>
      <c r="I497">
        <v>222.39754429999999</v>
      </c>
      <c r="J497" s="3">
        <v>6.0540000000000003</v>
      </c>
    </row>
    <row r="498" spans="1:10" x14ac:dyDescent="0.25">
      <c r="A498">
        <v>9</v>
      </c>
      <c r="B498" s="1">
        <v>40798</v>
      </c>
      <c r="C498">
        <v>9</v>
      </c>
      <c r="D498">
        <v>2011</v>
      </c>
      <c r="E498" s="2">
        <v>630327.28</v>
      </c>
      <c r="F498">
        <v>0</v>
      </c>
      <c r="G498" s="3">
        <v>37.65</v>
      </c>
      <c r="H498" s="2">
        <v>3.1579999999999999</v>
      </c>
      <c r="I498">
        <v>222.6561203</v>
      </c>
      <c r="J498" s="3">
        <v>6.0540000000000003</v>
      </c>
    </row>
    <row r="499" spans="1:10" x14ac:dyDescent="0.25">
      <c r="A499">
        <v>9</v>
      </c>
      <c r="B499" s="1">
        <v>41061</v>
      </c>
      <c r="C499">
        <v>6</v>
      </c>
      <c r="D499">
        <v>2012</v>
      </c>
      <c r="E499" s="2">
        <v>519585.67</v>
      </c>
      <c r="F499">
        <v>0</v>
      </c>
      <c r="G499" s="3">
        <v>47.54</v>
      </c>
      <c r="H499" s="2">
        <v>3.157</v>
      </c>
      <c r="I499">
        <v>223.43324079999999</v>
      </c>
      <c r="J499" s="3">
        <v>5.6669999999999998</v>
      </c>
    </row>
    <row r="500" spans="1:10" x14ac:dyDescent="0.25">
      <c r="A500">
        <v>9</v>
      </c>
      <c r="B500" s="1">
        <v>40970</v>
      </c>
      <c r="C500">
        <v>3</v>
      </c>
      <c r="D500">
        <v>2012</v>
      </c>
      <c r="E500" s="2">
        <v>549967.89</v>
      </c>
      <c r="F500">
        <v>0</v>
      </c>
      <c r="G500" s="3">
        <v>54.43</v>
      </c>
      <c r="H500" s="2">
        <v>3.36</v>
      </c>
      <c r="I500">
        <v>223.9006766</v>
      </c>
      <c r="J500" s="3">
        <v>5.6669999999999998</v>
      </c>
    </row>
    <row r="501" spans="1:10" x14ac:dyDescent="0.25">
      <c r="A501">
        <v>9</v>
      </c>
      <c r="B501" s="1">
        <v>41184</v>
      </c>
      <c r="C501">
        <v>10</v>
      </c>
      <c r="D501">
        <v>2012</v>
      </c>
      <c r="E501" s="2">
        <v>609736.12</v>
      </c>
      <c r="F501">
        <v>1</v>
      </c>
      <c r="G501" s="3">
        <v>44.03</v>
      </c>
      <c r="H501" s="2">
        <v>3.4089999999999998</v>
      </c>
      <c r="I501">
        <v>223.99530060000001</v>
      </c>
      <c r="J501" s="3">
        <v>5.6669999999999998</v>
      </c>
    </row>
    <row r="502" spans="1:10" x14ac:dyDescent="0.25">
      <c r="A502">
        <v>9</v>
      </c>
      <c r="B502" s="1">
        <v>40942</v>
      </c>
      <c r="C502">
        <v>2</v>
      </c>
      <c r="D502">
        <v>2012</v>
      </c>
      <c r="E502" s="2">
        <v>619498.28</v>
      </c>
      <c r="F502">
        <v>0</v>
      </c>
      <c r="G502" s="3">
        <v>57.2</v>
      </c>
      <c r="H502" s="2">
        <v>3.63</v>
      </c>
      <c r="I502">
        <v>224.58941039999999</v>
      </c>
      <c r="J502" s="3">
        <v>5.6669999999999998</v>
      </c>
    </row>
    <row r="503" spans="1:10" x14ac:dyDescent="0.25">
      <c r="A503">
        <v>9</v>
      </c>
      <c r="B503" s="1">
        <v>41155</v>
      </c>
      <c r="C503">
        <v>9</v>
      </c>
      <c r="D503">
        <v>2012</v>
      </c>
      <c r="E503" s="2">
        <v>574955.94999999995</v>
      </c>
      <c r="F503">
        <v>0</v>
      </c>
      <c r="G503" s="3">
        <v>54.03</v>
      </c>
      <c r="H503" s="2">
        <v>3.669</v>
      </c>
      <c r="I503">
        <v>224.80468250000001</v>
      </c>
      <c r="J503" s="3">
        <v>5.6669999999999998</v>
      </c>
    </row>
    <row r="504" spans="1:10" x14ac:dyDescent="0.25">
      <c r="A504">
        <v>9</v>
      </c>
      <c r="B504" s="1">
        <v>41064</v>
      </c>
      <c r="C504">
        <v>6</v>
      </c>
      <c r="D504">
        <v>2012</v>
      </c>
      <c r="E504" s="2">
        <v>677885.99</v>
      </c>
      <c r="F504">
        <v>0</v>
      </c>
      <c r="G504" s="3">
        <v>68.83</v>
      </c>
      <c r="H504" s="2">
        <v>3.891</v>
      </c>
      <c r="I504">
        <v>225.18205549999999</v>
      </c>
      <c r="J504" s="3">
        <v>5.5389999999999997</v>
      </c>
    </row>
    <row r="505" spans="1:10" x14ac:dyDescent="0.25">
      <c r="A505">
        <v>9</v>
      </c>
      <c r="B505" s="1">
        <v>41004</v>
      </c>
      <c r="C505">
        <v>4</v>
      </c>
      <c r="D505">
        <v>2012</v>
      </c>
      <c r="E505" s="2">
        <v>586289.07999999996</v>
      </c>
      <c r="F505">
        <v>0</v>
      </c>
      <c r="G505" s="3">
        <v>78.98</v>
      </c>
      <c r="H505" s="2">
        <v>3.7490000000000001</v>
      </c>
      <c r="I505">
        <v>225.42275849999999</v>
      </c>
      <c r="J505" s="3">
        <v>5.5389999999999997</v>
      </c>
    </row>
    <row r="506" spans="1:10" x14ac:dyDescent="0.25">
      <c r="A506">
        <v>9</v>
      </c>
      <c r="B506" s="1">
        <v>41218</v>
      </c>
      <c r="C506">
        <v>11</v>
      </c>
      <c r="D506">
        <v>2012</v>
      </c>
      <c r="E506" s="2">
        <v>592572.30000000005</v>
      </c>
      <c r="F506">
        <v>0</v>
      </c>
      <c r="G506" s="3">
        <v>70.94</v>
      </c>
      <c r="H506" s="2">
        <v>3.6880000000000002</v>
      </c>
      <c r="I506">
        <v>225.4782634</v>
      </c>
      <c r="J506" s="3">
        <v>5.5389999999999997</v>
      </c>
    </row>
    <row r="507" spans="1:10" x14ac:dyDescent="0.25">
      <c r="A507">
        <v>9</v>
      </c>
      <c r="B507" s="1">
        <v>40914</v>
      </c>
      <c r="C507">
        <v>1</v>
      </c>
      <c r="D507">
        <v>2012</v>
      </c>
      <c r="E507" s="2">
        <v>583648.59</v>
      </c>
      <c r="F507">
        <v>0</v>
      </c>
      <c r="G507" s="3">
        <v>80.260000000000005</v>
      </c>
      <c r="H507" s="2">
        <v>3.5009999999999999</v>
      </c>
      <c r="I507">
        <v>225.49460780000001</v>
      </c>
      <c r="J507" s="3">
        <v>5.5389999999999997</v>
      </c>
    </row>
    <row r="508" spans="1:10" x14ac:dyDescent="0.25">
      <c r="A508">
        <v>9</v>
      </c>
      <c r="B508" s="1">
        <v>41127</v>
      </c>
      <c r="C508">
        <v>8</v>
      </c>
      <c r="D508">
        <v>2012</v>
      </c>
      <c r="E508" s="2">
        <v>582525.42000000004</v>
      </c>
      <c r="F508">
        <v>0</v>
      </c>
      <c r="G508" s="3">
        <v>78.91</v>
      </c>
      <c r="H508" s="2">
        <v>3.452</v>
      </c>
      <c r="I508">
        <v>225.49478680000001</v>
      </c>
      <c r="J508" s="3">
        <v>5.5389999999999997</v>
      </c>
    </row>
    <row r="509" spans="1:10" x14ac:dyDescent="0.25">
      <c r="A509">
        <v>9</v>
      </c>
      <c r="B509" s="1">
        <v>41067</v>
      </c>
      <c r="C509">
        <v>6</v>
      </c>
      <c r="D509">
        <v>2012</v>
      </c>
      <c r="E509" s="2">
        <v>578790.36</v>
      </c>
      <c r="F509">
        <v>0</v>
      </c>
      <c r="G509" s="3">
        <v>84.15</v>
      </c>
      <c r="H509" s="2">
        <v>3.2269999999999999</v>
      </c>
      <c r="I509">
        <v>225.63462559999999</v>
      </c>
      <c r="J509" s="3">
        <v>5.2770000000000001</v>
      </c>
    </row>
    <row r="510" spans="1:10" x14ac:dyDescent="0.25">
      <c r="A510">
        <v>9</v>
      </c>
      <c r="B510" s="1">
        <v>40976</v>
      </c>
      <c r="C510">
        <v>3</v>
      </c>
      <c r="D510">
        <v>2012</v>
      </c>
      <c r="E510" s="2">
        <v>533887.54</v>
      </c>
      <c r="F510">
        <v>0</v>
      </c>
      <c r="G510" s="3">
        <v>90.23</v>
      </c>
      <c r="H510" s="2">
        <v>3.4169999999999998</v>
      </c>
      <c r="I510">
        <v>225.70704370000001</v>
      </c>
      <c r="J510" s="3">
        <v>5.2770000000000001</v>
      </c>
    </row>
    <row r="511" spans="1:10" x14ac:dyDescent="0.25">
      <c r="A511">
        <v>9</v>
      </c>
      <c r="B511" s="1">
        <v>41190</v>
      </c>
      <c r="C511">
        <v>10</v>
      </c>
      <c r="D511">
        <v>2012</v>
      </c>
      <c r="E511" s="2">
        <v>538713.47</v>
      </c>
      <c r="F511">
        <v>0</v>
      </c>
      <c r="G511" s="3">
        <v>88.66</v>
      </c>
      <c r="H511" s="2">
        <v>3.4940000000000002</v>
      </c>
      <c r="I511">
        <v>225.71700939999999</v>
      </c>
      <c r="J511" s="3">
        <v>5.2770000000000001</v>
      </c>
    </row>
    <row r="512" spans="1:10" x14ac:dyDescent="0.25">
      <c r="A512">
        <v>9</v>
      </c>
      <c r="B512" s="1">
        <v>41099</v>
      </c>
      <c r="C512">
        <v>7</v>
      </c>
      <c r="D512">
        <v>2012</v>
      </c>
      <c r="E512" s="2">
        <v>565812.29</v>
      </c>
      <c r="F512">
        <v>1</v>
      </c>
      <c r="G512" s="3">
        <v>87.93</v>
      </c>
      <c r="H512" s="2">
        <v>3.73</v>
      </c>
      <c r="I512">
        <v>226.21035409999999</v>
      </c>
      <c r="J512" s="3">
        <v>5.2770000000000001</v>
      </c>
    </row>
    <row r="513" spans="1:10" x14ac:dyDescent="0.25">
      <c r="A513">
        <v>9</v>
      </c>
      <c r="B513" s="1">
        <v>41039</v>
      </c>
      <c r="C513">
        <v>5</v>
      </c>
      <c r="D513">
        <v>2012</v>
      </c>
      <c r="E513" s="2">
        <v>606755.30000000005</v>
      </c>
      <c r="F513">
        <v>0</v>
      </c>
      <c r="G513" s="3">
        <v>66.61</v>
      </c>
      <c r="H513" s="2">
        <v>3.617</v>
      </c>
      <c r="I513">
        <v>226.96623249999999</v>
      </c>
      <c r="J513" s="3">
        <v>4.9539999999999997</v>
      </c>
    </row>
    <row r="514" spans="1:10" x14ac:dyDescent="0.25">
      <c r="A514">
        <v>9</v>
      </c>
      <c r="B514" s="1">
        <v>41253</v>
      </c>
      <c r="C514">
        <v>12</v>
      </c>
      <c r="D514">
        <v>2012</v>
      </c>
      <c r="E514" s="2">
        <v>558464.80000000005</v>
      </c>
      <c r="F514">
        <v>0</v>
      </c>
      <c r="G514" s="3">
        <v>60.09</v>
      </c>
      <c r="H514" s="2">
        <v>3.601</v>
      </c>
      <c r="I514">
        <v>227.16939189999999</v>
      </c>
      <c r="J514" s="3">
        <v>4.9539999999999997</v>
      </c>
    </row>
    <row r="515" spans="1:10" x14ac:dyDescent="0.25">
      <c r="A515">
        <v>10</v>
      </c>
      <c r="B515" s="1">
        <v>40300</v>
      </c>
      <c r="C515">
        <v>5</v>
      </c>
      <c r="D515">
        <v>2010</v>
      </c>
      <c r="E515" s="2">
        <v>2193048.75</v>
      </c>
      <c r="F515">
        <v>0</v>
      </c>
      <c r="G515" s="3">
        <v>54.34</v>
      </c>
      <c r="H515" s="2">
        <v>2.9620000000000002</v>
      </c>
      <c r="I515">
        <v>126.4420645</v>
      </c>
      <c r="J515" s="3">
        <v>9.7650000000000006</v>
      </c>
    </row>
    <row r="516" spans="1:10" x14ac:dyDescent="0.25">
      <c r="A516">
        <v>10</v>
      </c>
      <c r="B516" s="1">
        <v>40514</v>
      </c>
      <c r="C516">
        <v>12</v>
      </c>
      <c r="D516">
        <v>2010</v>
      </c>
      <c r="E516" s="2">
        <v>2176028.52</v>
      </c>
      <c r="F516">
        <v>1</v>
      </c>
      <c r="G516" s="3">
        <v>49.96</v>
      </c>
      <c r="H516" s="2">
        <v>2.8279999999999998</v>
      </c>
      <c r="I516">
        <v>126.49625810000001</v>
      </c>
      <c r="J516" s="3">
        <v>9.7650000000000006</v>
      </c>
    </row>
    <row r="517" spans="1:10" x14ac:dyDescent="0.25">
      <c r="A517">
        <v>10</v>
      </c>
      <c r="B517" s="1">
        <v>40301</v>
      </c>
      <c r="C517">
        <v>5</v>
      </c>
      <c r="D517">
        <v>2010</v>
      </c>
      <c r="E517" s="2">
        <v>1987090.09</v>
      </c>
      <c r="F517">
        <v>0</v>
      </c>
      <c r="G517" s="3">
        <v>55.92</v>
      </c>
      <c r="H517" s="2">
        <v>2.8769999999999998</v>
      </c>
      <c r="I517">
        <v>126.5782857</v>
      </c>
      <c r="J517" s="3">
        <v>9.7650000000000006</v>
      </c>
    </row>
    <row r="518" spans="1:10" x14ac:dyDescent="0.25">
      <c r="A518">
        <v>10</v>
      </c>
      <c r="B518" s="1">
        <v>40515</v>
      </c>
      <c r="C518">
        <v>12</v>
      </c>
      <c r="D518">
        <v>2010</v>
      </c>
      <c r="E518" s="2">
        <v>1941346.13</v>
      </c>
      <c r="F518">
        <v>0</v>
      </c>
      <c r="G518" s="3">
        <v>52.33</v>
      </c>
      <c r="H518" s="2">
        <v>3.0339999999999998</v>
      </c>
      <c r="I518">
        <v>126.60428570000001</v>
      </c>
      <c r="J518" s="3">
        <v>9.7650000000000006</v>
      </c>
    </row>
    <row r="519" spans="1:10" x14ac:dyDescent="0.25">
      <c r="A519">
        <v>10</v>
      </c>
      <c r="B519" s="1">
        <v>40213</v>
      </c>
      <c r="C519">
        <v>2</v>
      </c>
      <c r="D519">
        <v>2010</v>
      </c>
      <c r="E519" s="2">
        <v>2138651.9700000002</v>
      </c>
      <c r="F519">
        <v>0</v>
      </c>
      <c r="G519" s="3">
        <v>63.66</v>
      </c>
      <c r="H519" s="2">
        <v>3.0859999999999999</v>
      </c>
      <c r="I519">
        <v>126.6034839</v>
      </c>
      <c r="J519" s="3">
        <v>9.5239999999999991</v>
      </c>
    </row>
    <row r="520" spans="1:10" x14ac:dyDescent="0.25">
      <c r="A520">
        <v>10</v>
      </c>
      <c r="B520" s="1">
        <v>40425</v>
      </c>
      <c r="C520">
        <v>9</v>
      </c>
      <c r="D520">
        <v>2010</v>
      </c>
      <c r="E520" s="2">
        <v>2041069.37</v>
      </c>
      <c r="F520">
        <v>0</v>
      </c>
      <c r="G520" s="3">
        <v>65.290000000000006</v>
      </c>
      <c r="H520" s="2">
        <v>3.004</v>
      </c>
      <c r="I520">
        <v>126.6019032</v>
      </c>
      <c r="J520" s="3">
        <v>9.5239999999999991</v>
      </c>
    </row>
    <row r="521" spans="1:10" x14ac:dyDescent="0.25">
      <c r="A521">
        <v>10</v>
      </c>
      <c r="B521" s="1">
        <v>40364</v>
      </c>
      <c r="C521">
        <v>7</v>
      </c>
      <c r="D521">
        <v>2010</v>
      </c>
      <c r="E521" s="2">
        <v>1921432.16</v>
      </c>
      <c r="F521">
        <v>0</v>
      </c>
      <c r="G521" s="3">
        <v>71.06</v>
      </c>
      <c r="H521" s="2">
        <v>3.1269999999999998</v>
      </c>
      <c r="I521">
        <v>126.2898</v>
      </c>
      <c r="J521" s="3">
        <v>9.5239999999999991</v>
      </c>
    </row>
    <row r="522" spans="1:10" x14ac:dyDescent="0.25">
      <c r="A522">
        <v>10</v>
      </c>
      <c r="B522" s="1">
        <v>40274</v>
      </c>
      <c r="C522">
        <v>4</v>
      </c>
      <c r="D522">
        <v>2010</v>
      </c>
      <c r="E522" s="2">
        <v>1931406.28</v>
      </c>
      <c r="F522">
        <v>0</v>
      </c>
      <c r="G522" s="3">
        <v>82.82</v>
      </c>
      <c r="H522" s="2">
        <v>2.9409999999999998</v>
      </c>
      <c r="I522">
        <v>126.1360645</v>
      </c>
      <c r="J522" s="3">
        <v>9.5239999999999991</v>
      </c>
    </row>
    <row r="523" spans="1:10" x14ac:dyDescent="0.25">
      <c r="A523">
        <v>10</v>
      </c>
      <c r="B523" s="1">
        <v>40488</v>
      </c>
      <c r="C523">
        <v>11</v>
      </c>
      <c r="D523">
        <v>2010</v>
      </c>
      <c r="E523" s="2">
        <v>1827521.71</v>
      </c>
      <c r="F523">
        <v>0</v>
      </c>
      <c r="G523" s="3">
        <v>89.67</v>
      </c>
      <c r="H523" s="2">
        <v>3.0569999999999999</v>
      </c>
      <c r="I523">
        <v>126.1119032</v>
      </c>
      <c r="J523" s="3">
        <v>9.5239999999999991</v>
      </c>
    </row>
    <row r="524" spans="1:10" x14ac:dyDescent="0.25">
      <c r="A524">
        <v>10</v>
      </c>
      <c r="B524" s="1">
        <v>40216</v>
      </c>
      <c r="C524">
        <v>2</v>
      </c>
      <c r="D524">
        <v>2010</v>
      </c>
      <c r="E524" s="2">
        <v>1845893.87</v>
      </c>
      <c r="F524">
        <v>0</v>
      </c>
      <c r="G524" s="3">
        <v>92.89</v>
      </c>
      <c r="H524" s="2">
        <v>2.9780000000000002</v>
      </c>
      <c r="I524">
        <v>126.1392</v>
      </c>
      <c r="J524" s="3">
        <v>9.1989999999999998</v>
      </c>
    </row>
    <row r="525" spans="1:10" x14ac:dyDescent="0.25">
      <c r="A525">
        <v>10</v>
      </c>
      <c r="B525" s="1">
        <v>40428</v>
      </c>
      <c r="C525">
        <v>9</v>
      </c>
      <c r="D525">
        <v>2010</v>
      </c>
      <c r="E525" s="2">
        <v>1769793.37</v>
      </c>
      <c r="F525">
        <v>0</v>
      </c>
      <c r="G525" s="3">
        <v>91.03</v>
      </c>
      <c r="H525" s="2">
        <v>3.1</v>
      </c>
      <c r="I525">
        <v>126.15179999999999</v>
      </c>
      <c r="J525" s="3">
        <v>9.1989999999999998</v>
      </c>
    </row>
    <row r="526" spans="1:10" x14ac:dyDescent="0.25">
      <c r="A526">
        <v>10</v>
      </c>
      <c r="B526" s="1">
        <v>40337</v>
      </c>
      <c r="C526">
        <v>6</v>
      </c>
      <c r="D526">
        <v>2010</v>
      </c>
      <c r="E526" s="2">
        <v>1949236.09</v>
      </c>
      <c r="F526">
        <v>0</v>
      </c>
      <c r="G526" s="3">
        <v>86.13</v>
      </c>
      <c r="H526" s="2">
        <v>3.1230000000000002</v>
      </c>
      <c r="I526">
        <v>126.0854516</v>
      </c>
      <c r="J526" s="3">
        <v>9.1989999999999998</v>
      </c>
    </row>
    <row r="527" spans="1:10" x14ac:dyDescent="0.25">
      <c r="A527">
        <v>10</v>
      </c>
      <c r="B527" s="1">
        <v>40246</v>
      </c>
      <c r="C527">
        <v>3</v>
      </c>
      <c r="D527">
        <v>2010</v>
      </c>
      <c r="E527" s="2">
        <v>1766331.45</v>
      </c>
      <c r="F527">
        <v>0</v>
      </c>
      <c r="G527" s="3">
        <v>83.8</v>
      </c>
      <c r="H527" s="2">
        <v>3.0870000000000002</v>
      </c>
      <c r="I527">
        <v>126.1019355</v>
      </c>
      <c r="J527" s="3">
        <v>9.1989999999999998</v>
      </c>
    </row>
    <row r="528" spans="1:10" x14ac:dyDescent="0.25">
      <c r="A528">
        <v>10</v>
      </c>
      <c r="B528" s="1">
        <v>40460</v>
      </c>
      <c r="C528">
        <v>10</v>
      </c>
      <c r="D528">
        <v>2010</v>
      </c>
      <c r="E528" s="2">
        <v>1720530.23</v>
      </c>
      <c r="F528">
        <v>1</v>
      </c>
      <c r="G528" s="3">
        <v>84.04</v>
      </c>
      <c r="H528" s="2">
        <v>2.9609999999999999</v>
      </c>
      <c r="I528">
        <v>126.1145806</v>
      </c>
      <c r="J528" s="3">
        <v>9.1989999999999998</v>
      </c>
    </row>
    <row r="529" spans="1:10" x14ac:dyDescent="0.25">
      <c r="A529">
        <v>10</v>
      </c>
      <c r="B529" s="1">
        <v>40188</v>
      </c>
      <c r="C529">
        <v>1</v>
      </c>
      <c r="D529">
        <v>2010</v>
      </c>
      <c r="E529" s="2">
        <v>1645892.97</v>
      </c>
      <c r="F529">
        <v>0</v>
      </c>
      <c r="G529" s="3">
        <v>86.01</v>
      </c>
      <c r="H529" s="2">
        <v>3.0009999999999999</v>
      </c>
      <c r="I529">
        <v>126.2346</v>
      </c>
      <c r="J529" s="3">
        <v>9.0030000000000001</v>
      </c>
    </row>
    <row r="530" spans="1:10" x14ac:dyDescent="0.25">
      <c r="A530">
        <v>10</v>
      </c>
      <c r="B530" s="1">
        <v>40400</v>
      </c>
      <c r="C530">
        <v>8</v>
      </c>
      <c r="D530">
        <v>2010</v>
      </c>
      <c r="E530" s="2">
        <v>1772192.42</v>
      </c>
      <c r="F530">
        <v>0</v>
      </c>
      <c r="G530" s="3">
        <v>77.040000000000006</v>
      </c>
      <c r="H530" s="2">
        <v>2.9239999999999999</v>
      </c>
      <c r="I530">
        <v>126.2791667</v>
      </c>
      <c r="J530" s="3">
        <v>9.0030000000000001</v>
      </c>
    </row>
    <row r="531" spans="1:10" x14ac:dyDescent="0.25">
      <c r="A531">
        <v>10</v>
      </c>
      <c r="B531" s="1">
        <v>40309</v>
      </c>
      <c r="C531">
        <v>5</v>
      </c>
      <c r="D531">
        <v>2010</v>
      </c>
      <c r="E531" s="2">
        <v>1832211.96</v>
      </c>
      <c r="F531">
        <v>0</v>
      </c>
      <c r="G531" s="3">
        <v>71.040000000000006</v>
      </c>
      <c r="H531" s="2">
        <v>3.0089999999999999</v>
      </c>
      <c r="I531">
        <v>126.4912903</v>
      </c>
      <c r="J531" s="3">
        <v>9.0030000000000001</v>
      </c>
    </row>
    <row r="532" spans="1:10" x14ac:dyDescent="0.25">
      <c r="A532">
        <v>10</v>
      </c>
      <c r="B532" s="1">
        <v>40523</v>
      </c>
      <c r="C532">
        <v>12</v>
      </c>
      <c r="D532">
        <v>2010</v>
      </c>
      <c r="E532" s="2">
        <v>1895901.59</v>
      </c>
      <c r="F532">
        <v>0</v>
      </c>
      <c r="G532" s="3">
        <v>61.24</v>
      </c>
      <c r="H532" s="2">
        <v>3.13</v>
      </c>
      <c r="I532">
        <v>126.54616129999999</v>
      </c>
      <c r="J532" s="3">
        <v>9.0030000000000001</v>
      </c>
    </row>
    <row r="533" spans="1:10" x14ac:dyDescent="0.25">
      <c r="A533">
        <v>10</v>
      </c>
      <c r="B533" s="1">
        <v>40249</v>
      </c>
      <c r="C533">
        <v>3</v>
      </c>
      <c r="D533">
        <v>2010</v>
      </c>
      <c r="E533" s="2">
        <v>2251206.64</v>
      </c>
      <c r="F533">
        <v>0</v>
      </c>
      <c r="G533" s="3">
        <v>51.17</v>
      </c>
      <c r="H533" s="2">
        <v>3.0409999999999999</v>
      </c>
      <c r="I533">
        <v>126.7313333</v>
      </c>
      <c r="J533" s="3">
        <v>9.0030000000000001</v>
      </c>
    </row>
    <row r="534" spans="1:10" x14ac:dyDescent="0.25">
      <c r="A534">
        <v>10</v>
      </c>
      <c r="B534" s="1">
        <v>40463</v>
      </c>
      <c r="C534">
        <v>10</v>
      </c>
      <c r="D534">
        <v>2010</v>
      </c>
      <c r="E534" s="2">
        <v>2411790.21</v>
      </c>
      <c r="F534">
        <v>0</v>
      </c>
      <c r="G534" s="3">
        <v>60.51</v>
      </c>
      <c r="H534" s="2">
        <v>3.0910000000000002</v>
      </c>
      <c r="I534">
        <v>126.79340000000001</v>
      </c>
      <c r="J534" s="3">
        <v>9.0030000000000001</v>
      </c>
    </row>
    <row r="535" spans="1:10" x14ac:dyDescent="0.25">
      <c r="A535">
        <v>10</v>
      </c>
      <c r="B535" s="1">
        <v>40725</v>
      </c>
      <c r="C535">
        <v>7</v>
      </c>
      <c r="D535">
        <v>2011</v>
      </c>
      <c r="E535" s="2">
        <v>1714309.9</v>
      </c>
      <c r="F535">
        <v>0</v>
      </c>
      <c r="G535" s="3">
        <v>43.43</v>
      </c>
      <c r="H535" s="2">
        <v>3.2869999999999999</v>
      </c>
      <c r="I535">
        <v>127.1917742</v>
      </c>
      <c r="J535" s="3">
        <v>8.7439999999999998</v>
      </c>
    </row>
    <row r="536" spans="1:10" x14ac:dyDescent="0.25">
      <c r="A536">
        <v>10</v>
      </c>
      <c r="B536" s="1">
        <v>40635</v>
      </c>
      <c r="C536">
        <v>4</v>
      </c>
      <c r="D536">
        <v>2011</v>
      </c>
      <c r="E536" s="2">
        <v>1968045.91</v>
      </c>
      <c r="F536">
        <v>0</v>
      </c>
      <c r="G536" s="3">
        <v>44.88</v>
      </c>
      <c r="H536" s="2">
        <v>3.3479999999999999</v>
      </c>
      <c r="I536">
        <v>127.7195806</v>
      </c>
      <c r="J536" s="3">
        <v>8.7439999999999998</v>
      </c>
    </row>
    <row r="537" spans="1:10" x14ac:dyDescent="0.25">
      <c r="A537">
        <v>10</v>
      </c>
      <c r="B537" s="1">
        <v>40849</v>
      </c>
      <c r="C537">
        <v>11</v>
      </c>
      <c r="D537">
        <v>2011</v>
      </c>
      <c r="E537" s="2">
        <v>2115408.31</v>
      </c>
      <c r="F537">
        <v>1</v>
      </c>
      <c r="G537" s="3">
        <v>51.51</v>
      </c>
      <c r="H537" s="2">
        <v>3.3809999999999998</v>
      </c>
      <c r="I537">
        <v>127.859129</v>
      </c>
      <c r="J537" s="3">
        <v>8.7439999999999998</v>
      </c>
    </row>
    <row r="538" spans="1:10" x14ac:dyDescent="0.25">
      <c r="A538">
        <v>10</v>
      </c>
      <c r="B538" s="1">
        <v>40636</v>
      </c>
      <c r="C538">
        <v>4</v>
      </c>
      <c r="D538">
        <v>2011</v>
      </c>
      <c r="E538" s="2">
        <v>1958003.19</v>
      </c>
      <c r="F538">
        <v>0</v>
      </c>
      <c r="G538" s="3">
        <v>56.96</v>
      </c>
      <c r="H538" s="2">
        <v>3.6739999999999999</v>
      </c>
      <c r="I538">
        <v>128.26474999999999</v>
      </c>
      <c r="J538" s="3">
        <v>8.7439999999999998</v>
      </c>
    </row>
    <row r="539" spans="1:10" x14ac:dyDescent="0.25">
      <c r="A539">
        <v>10</v>
      </c>
      <c r="B539" s="1">
        <v>40850</v>
      </c>
      <c r="C539">
        <v>11</v>
      </c>
      <c r="D539">
        <v>2011</v>
      </c>
      <c r="E539" s="2">
        <v>1933469.15</v>
      </c>
      <c r="F539">
        <v>0</v>
      </c>
      <c r="G539" s="3">
        <v>64.22</v>
      </c>
      <c r="H539" s="2">
        <v>3.63</v>
      </c>
      <c r="I539">
        <v>128.39949999999999</v>
      </c>
      <c r="J539" s="3">
        <v>8.7439999999999998</v>
      </c>
    </row>
    <row r="540" spans="1:10" x14ac:dyDescent="0.25">
      <c r="A540">
        <v>10</v>
      </c>
      <c r="B540" s="1">
        <v>40547</v>
      </c>
      <c r="C540">
        <v>1</v>
      </c>
      <c r="D540">
        <v>2011</v>
      </c>
      <c r="E540" s="2">
        <v>1827733.18</v>
      </c>
      <c r="F540">
        <v>0</v>
      </c>
      <c r="G540" s="3">
        <v>67.64</v>
      </c>
      <c r="H540" s="2">
        <v>3.7719999999999998</v>
      </c>
      <c r="I540">
        <v>128.71993549999999</v>
      </c>
      <c r="J540" s="3">
        <v>8.4939999999999998</v>
      </c>
    </row>
    <row r="541" spans="1:10" x14ac:dyDescent="0.25">
      <c r="A541">
        <v>10</v>
      </c>
      <c r="B541" s="1">
        <v>40759</v>
      </c>
      <c r="C541">
        <v>8</v>
      </c>
      <c r="D541">
        <v>2011</v>
      </c>
      <c r="E541" s="2">
        <v>1870720.73</v>
      </c>
      <c r="F541">
        <v>0</v>
      </c>
      <c r="G541" s="3">
        <v>73.03</v>
      </c>
      <c r="H541" s="2">
        <v>3.8180000000000001</v>
      </c>
      <c r="I541">
        <v>128.82380649999999</v>
      </c>
      <c r="J541" s="3">
        <v>8.4939999999999998</v>
      </c>
    </row>
    <row r="542" spans="1:10" x14ac:dyDescent="0.25">
      <c r="A542">
        <v>10</v>
      </c>
      <c r="B542" s="1">
        <v>40699</v>
      </c>
      <c r="C542">
        <v>6</v>
      </c>
      <c r="D542">
        <v>2011</v>
      </c>
      <c r="E542" s="2">
        <v>1841369.99</v>
      </c>
      <c r="F542">
        <v>0</v>
      </c>
      <c r="G542" s="3">
        <v>73.56</v>
      </c>
      <c r="H542" s="2">
        <v>4.1929999999999996</v>
      </c>
      <c r="I542">
        <v>129.04443330000001</v>
      </c>
      <c r="J542" s="3">
        <v>8.4939999999999998</v>
      </c>
    </row>
    <row r="543" spans="1:10" x14ac:dyDescent="0.25">
      <c r="A543">
        <v>10</v>
      </c>
      <c r="B543" s="1">
        <v>40608</v>
      </c>
      <c r="C543">
        <v>3</v>
      </c>
      <c r="D543">
        <v>2011</v>
      </c>
      <c r="E543" s="2">
        <v>1792210.89</v>
      </c>
      <c r="F543">
        <v>0</v>
      </c>
      <c r="G543" s="3">
        <v>81.87</v>
      </c>
      <c r="H543" s="2">
        <v>3.8929999999999998</v>
      </c>
      <c r="I543">
        <v>129.04903229999999</v>
      </c>
      <c r="J543" s="3">
        <v>8.4939999999999998</v>
      </c>
    </row>
    <row r="544" spans="1:10" x14ac:dyDescent="0.25">
      <c r="A544">
        <v>10</v>
      </c>
      <c r="B544" s="1">
        <v>40822</v>
      </c>
      <c r="C544">
        <v>10</v>
      </c>
      <c r="D544">
        <v>2011</v>
      </c>
      <c r="E544" s="2">
        <v>1740063.1</v>
      </c>
      <c r="F544">
        <v>0</v>
      </c>
      <c r="G544" s="3">
        <v>84.57</v>
      </c>
      <c r="H544" s="2">
        <v>3.9809999999999999</v>
      </c>
      <c r="I544">
        <v>129.03570970000001</v>
      </c>
      <c r="J544" s="3">
        <v>8.4939999999999998</v>
      </c>
    </row>
    <row r="545" spans="1:10" x14ac:dyDescent="0.25">
      <c r="A545">
        <v>10</v>
      </c>
      <c r="B545" s="1">
        <v>40550</v>
      </c>
      <c r="C545">
        <v>1</v>
      </c>
      <c r="D545">
        <v>2011</v>
      </c>
      <c r="E545" s="2">
        <v>1751369.75</v>
      </c>
      <c r="F545">
        <v>0</v>
      </c>
      <c r="G545" s="3">
        <v>95.36</v>
      </c>
      <c r="H545" s="2">
        <v>3.8420000000000001</v>
      </c>
      <c r="I545">
        <v>129.08940000000001</v>
      </c>
      <c r="J545" s="3">
        <v>8.2569999999999997</v>
      </c>
    </row>
    <row r="546" spans="1:10" x14ac:dyDescent="0.25">
      <c r="A546">
        <v>10</v>
      </c>
      <c r="B546" s="1">
        <v>40762</v>
      </c>
      <c r="C546">
        <v>8</v>
      </c>
      <c r="D546">
        <v>2011</v>
      </c>
      <c r="E546" s="2">
        <v>1699708.38</v>
      </c>
      <c r="F546">
        <v>0</v>
      </c>
      <c r="G546" s="3">
        <v>88.57</v>
      </c>
      <c r="H546" s="2">
        <v>3.7930000000000001</v>
      </c>
      <c r="I546">
        <v>129.11250000000001</v>
      </c>
      <c r="J546" s="3">
        <v>8.2569999999999997</v>
      </c>
    </row>
    <row r="547" spans="1:10" x14ac:dyDescent="0.25">
      <c r="A547">
        <v>10</v>
      </c>
      <c r="B547" s="1">
        <v>40671</v>
      </c>
      <c r="C547">
        <v>5</v>
      </c>
      <c r="D547">
        <v>2011</v>
      </c>
      <c r="E547" s="2">
        <v>1886299.98</v>
      </c>
      <c r="F547">
        <v>0</v>
      </c>
      <c r="G547" s="3">
        <v>89.8</v>
      </c>
      <c r="H547" s="2">
        <v>3.8029999999999999</v>
      </c>
      <c r="I547">
        <v>129.18464520000001</v>
      </c>
      <c r="J547" s="3">
        <v>8.2569999999999997</v>
      </c>
    </row>
    <row r="548" spans="1:10" x14ac:dyDescent="0.25">
      <c r="A548">
        <v>10</v>
      </c>
      <c r="B548" s="1">
        <v>40885</v>
      </c>
      <c r="C548">
        <v>12</v>
      </c>
      <c r="D548">
        <v>2011</v>
      </c>
      <c r="E548" s="2">
        <v>1917397.63</v>
      </c>
      <c r="F548">
        <v>0</v>
      </c>
      <c r="G548" s="3">
        <v>85.61</v>
      </c>
      <c r="H548" s="2">
        <v>3.794</v>
      </c>
      <c r="I548">
        <v>129.2015806</v>
      </c>
      <c r="J548" s="3">
        <v>8.2569999999999997</v>
      </c>
    </row>
    <row r="549" spans="1:10" x14ac:dyDescent="0.25">
      <c r="A549">
        <v>10</v>
      </c>
      <c r="B549" s="1">
        <v>40583</v>
      </c>
      <c r="C549">
        <v>2</v>
      </c>
      <c r="D549">
        <v>2011</v>
      </c>
      <c r="E549" s="2">
        <v>1758587.35</v>
      </c>
      <c r="F549">
        <v>0</v>
      </c>
      <c r="G549" s="3">
        <v>91.61</v>
      </c>
      <c r="H549" s="2">
        <v>3.798</v>
      </c>
      <c r="I549">
        <v>129.32593550000001</v>
      </c>
      <c r="J549" s="3">
        <v>8.2569999999999997</v>
      </c>
    </row>
    <row r="550" spans="1:10" x14ac:dyDescent="0.25">
      <c r="A550">
        <v>10</v>
      </c>
      <c r="B550" s="1">
        <v>40795</v>
      </c>
      <c r="C550">
        <v>9</v>
      </c>
      <c r="D550">
        <v>2011</v>
      </c>
      <c r="E550" s="2">
        <v>1670579.82</v>
      </c>
      <c r="F550">
        <v>1</v>
      </c>
      <c r="G550" s="3">
        <v>89.06</v>
      </c>
      <c r="H550" s="2">
        <v>3.7709999999999999</v>
      </c>
      <c r="I550">
        <v>129.36861289999999</v>
      </c>
      <c r="J550" s="3">
        <v>8.2569999999999997</v>
      </c>
    </row>
    <row r="551" spans="1:10" x14ac:dyDescent="0.25">
      <c r="A551">
        <v>10</v>
      </c>
      <c r="B551" s="1">
        <v>40734</v>
      </c>
      <c r="C551">
        <v>7</v>
      </c>
      <c r="D551">
        <v>2011</v>
      </c>
      <c r="E551" s="2">
        <v>1788227.6</v>
      </c>
      <c r="F551">
        <v>0</v>
      </c>
      <c r="G551" s="3">
        <v>75.010000000000005</v>
      </c>
      <c r="H551" s="2">
        <v>3.827</v>
      </c>
      <c r="I551">
        <v>129.69380000000001</v>
      </c>
      <c r="J551" s="3">
        <v>7.8739999999999997</v>
      </c>
    </row>
    <row r="552" spans="1:10" x14ac:dyDescent="0.25">
      <c r="A552">
        <v>10</v>
      </c>
      <c r="B552" s="1">
        <v>40644</v>
      </c>
      <c r="C552">
        <v>4</v>
      </c>
      <c r="D552">
        <v>2011</v>
      </c>
      <c r="E552" s="2">
        <v>1904438.59</v>
      </c>
      <c r="F552">
        <v>0</v>
      </c>
      <c r="G552" s="3">
        <v>68.569999999999993</v>
      </c>
      <c r="H552" s="2">
        <v>3.8279999999999998</v>
      </c>
      <c r="I552">
        <v>129.8051935</v>
      </c>
      <c r="J552" s="3">
        <v>7.8739999999999997</v>
      </c>
    </row>
    <row r="553" spans="1:10" x14ac:dyDescent="0.25">
      <c r="A553">
        <v>10</v>
      </c>
      <c r="B553" s="1">
        <v>40858</v>
      </c>
      <c r="C553">
        <v>11</v>
      </c>
      <c r="D553">
        <v>2011</v>
      </c>
      <c r="E553" s="2">
        <v>2076570.84</v>
      </c>
      <c r="F553">
        <v>0</v>
      </c>
      <c r="G553" s="3">
        <v>55.28</v>
      </c>
      <c r="H553" s="2">
        <v>3.677</v>
      </c>
      <c r="I553">
        <v>129.81670969999999</v>
      </c>
      <c r="J553" s="3">
        <v>7.8739999999999997</v>
      </c>
    </row>
    <row r="554" spans="1:10" x14ac:dyDescent="0.25">
      <c r="A554">
        <v>10</v>
      </c>
      <c r="B554" s="1">
        <v>40586</v>
      </c>
      <c r="C554">
        <v>2</v>
      </c>
      <c r="D554">
        <v>2011</v>
      </c>
      <c r="E554" s="2">
        <v>2068097.18</v>
      </c>
      <c r="F554">
        <v>0</v>
      </c>
      <c r="G554" s="3">
        <v>57.29</v>
      </c>
      <c r="H554" s="2">
        <v>3.7010000000000001</v>
      </c>
      <c r="I554">
        <v>129.84596669999999</v>
      </c>
      <c r="J554" s="3">
        <v>7.8739999999999997</v>
      </c>
    </row>
    <row r="555" spans="1:10" x14ac:dyDescent="0.25">
      <c r="A555">
        <v>10</v>
      </c>
      <c r="B555" s="1">
        <v>40798</v>
      </c>
      <c r="C555">
        <v>9</v>
      </c>
      <c r="D555">
        <v>2011</v>
      </c>
      <c r="E555" s="2">
        <v>2429310.9</v>
      </c>
      <c r="F555">
        <v>0</v>
      </c>
      <c r="G555" s="3">
        <v>42.58</v>
      </c>
      <c r="H555" s="2">
        <v>3.6440000000000001</v>
      </c>
      <c r="I555">
        <v>129.85553329999999</v>
      </c>
      <c r="J555" s="3">
        <v>7.8739999999999997</v>
      </c>
    </row>
    <row r="556" spans="1:10" x14ac:dyDescent="0.25">
      <c r="A556">
        <v>10</v>
      </c>
      <c r="B556" s="1">
        <v>41061</v>
      </c>
      <c r="C556">
        <v>6</v>
      </c>
      <c r="D556">
        <v>2012</v>
      </c>
      <c r="E556" s="2">
        <v>1683401.78</v>
      </c>
      <c r="F556">
        <v>0</v>
      </c>
      <c r="G556" s="3">
        <v>59.85</v>
      </c>
      <c r="H556" s="2">
        <v>3.4430000000000001</v>
      </c>
      <c r="I556">
        <v>130.15751610000001</v>
      </c>
      <c r="J556" s="3">
        <v>7.5449999999999999</v>
      </c>
    </row>
    <row r="557" spans="1:10" x14ac:dyDescent="0.25">
      <c r="A557">
        <v>10</v>
      </c>
      <c r="B557" s="1">
        <v>40970</v>
      </c>
      <c r="C557">
        <v>3</v>
      </c>
      <c r="D557">
        <v>2012</v>
      </c>
      <c r="E557" s="2">
        <v>1867403.01</v>
      </c>
      <c r="F557">
        <v>0</v>
      </c>
      <c r="G557" s="3">
        <v>56.85</v>
      </c>
      <c r="H557" s="2">
        <v>3.5430000000000001</v>
      </c>
      <c r="I557">
        <v>130.34967739999999</v>
      </c>
      <c r="J557" s="3">
        <v>7.5449999999999999</v>
      </c>
    </row>
    <row r="558" spans="1:10" x14ac:dyDescent="0.25">
      <c r="A558">
        <v>10</v>
      </c>
      <c r="B558" s="1">
        <v>41184</v>
      </c>
      <c r="C558">
        <v>10</v>
      </c>
      <c r="D558">
        <v>2012</v>
      </c>
      <c r="E558" s="2">
        <v>2218595.7999999998</v>
      </c>
      <c r="F558">
        <v>1</v>
      </c>
      <c r="G558" s="3">
        <v>55.73</v>
      </c>
      <c r="H558" s="2">
        <v>3.722</v>
      </c>
      <c r="I558">
        <v>130.3849032</v>
      </c>
      <c r="J558" s="3">
        <v>7.5449999999999999</v>
      </c>
    </row>
    <row r="559" spans="1:10" x14ac:dyDescent="0.25">
      <c r="A559">
        <v>10</v>
      </c>
      <c r="B559" s="1">
        <v>40942</v>
      </c>
      <c r="C559">
        <v>2</v>
      </c>
      <c r="D559">
        <v>2012</v>
      </c>
      <c r="E559" s="2">
        <v>1990371.02</v>
      </c>
      <c r="F559">
        <v>0</v>
      </c>
      <c r="G559" s="3">
        <v>57.62</v>
      </c>
      <c r="H559" s="2">
        <v>3.8820000000000001</v>
      </c>
      <c r="I559">
        <v>130.64579309999999</v>
      </c>
      <c r="J559" s="3">
        <v>7.5449999999999999</v>
      </c>
    </row>
    <row r="560" spans="1:10" x14ac:dyDescent="0.25">
      <c r="A560">
        <v>10</v>
      </c>
      <c r="B560" s="1">
        <v>41155</v>
      </c>
      <c r="C560">
        <v>9</v>
      </c>
      <c r="D560">
        <v>2012</v>
      </c>
      <c r="E560" s="2">
        <v>1917483.1</v>
      </c>
      <c r="F560">
        <v>0</v>
      </c>
      <c r="G560" s="3">
        <v>57.65</v>
      </c>
      <c r="H560" s="2">
        <v>3.9630000000000001</v>
      </c>
      <c r="I560">
        <v>130.74137930000001</v>
      </c>
      <c r="J560" s="3">
        <v>7.5449999999999999</v>
      </c>
    </row>
    <row r="561" spans="1:10" x14ac:dyDescent="0.25">
      <c r="A561">
        <v>10</v>
      </c>
      <c r="B561" s="1">
        <v>41064</v>
      </c>
      <c r="C561">
        <v>6</v>
      </c>
      <c r="D561">
        <v>2012</v>
      </c>
      <c r="E561" s="2">
        <v>2163384.17</v>
      </c>
      <c r="F561">
        <v>0</v>
      </c>
      <c r="G561" s="3">
        <v>65.989999999999995</v>
      </c>
      <c r="H561" s="2">
        <v>4.282</v>
      </c>
      <c r="I561">
        <v>131.03754839999999</v>
      </c>
      <c r="J561" s="3">
        <v>7.3819999999999997</v>
      </c>
    </row>
    <row r="562" spans="1:10" x14ac:dyDescent="0.25">
      <c r="A562">
        <v>10</v>
      </c>
      <c r="B562" s="1">
        <v>41004</v>
      </c>
      <c r="C562">
        <v>4</v>
      </c>
      <c r="D562">
        <v>2012</v>
      </c>
      <c r="E562" s="2">
        <v>1821364.42</v>
      </c>
      <c r="F562">
        <v>0</v>
      </c>
      <c r="G562" s="3">
        <v>77.02</v>
      </c>
      <c r="H562" s="2">
        <v>4.0579999999999998</v>
      </c>
      <c r="I562">
        <v>131.136</v>
      </c>
      <c r="J562" s="3">
        <v>7.3819999999999997</v>
      </c>
    </row>
    <row r="563" spans="1:10" x14ac:dyDescent="0.25">
      <c r="A563">
        <v>10</v>
      </c>
      <c r="B563" s="1">
        <v>41218</v>
      </c>
      <c r="C563">
        <v>11</v>
      </c>
      <c r="D563">
        <v>2012</v>
      </c>
      <c r="E563" s="2">
        <v>1792345.3</v>
      </c>
      <c r="F563">
        <v>0</v>
      </c>
      <c r="G563" s="3">
        <v>76.03</v>
      </c>
      <c r="H563" s="2">
        <v>4.1859999999999999</v>
      </c>
      <c r="I563">
        <v>131.1453333</v>
      </c>
      <c r="J563" s="3">
        <v>7.3819999999999997</v>
      </c>
    </row>
    <row r="564" spans="1:10" x14ac:dyDescent="0.25">
      <c r="A564">
        <v>10</v>
      </c>
      <c r="B564" s="1">
        <v>40914</v>
      </c>
      <c r="C564">
        <v>1</v>
      </c>
      <c r="D564">
        <v>2012</v>
      </c>
      <c r="E564" s="2">
        <v>1767471.48</v>
      </c>
      <c r="F564">
        <v>0</v>
      </c>
      <c r="G564" s="3">
        <v>80.06</v>
      </c>
      <c r="H564" s="2">
        <v>4.2770000000000001</v>
      </c>
      <c r="I564">
        <v>130.95922580000001</v>
      </c>
      <c r="J564" s="3">
        <v>7.3819999999999997</v>
      </c>
    </row>
    <row r="565" spans="1:10" x14ac:dyDescent="0.25">
      <c r="A565">
        <v>10</v>
      </c>
      <c r="B565" s="1">
        <v>41127</v>
      </c>
      <c r="C565">
        <v>8</v>
      </c>
      <c r="D565">
        <v>2012</v>
      </c>
      <c r="E565" s="2">
        <v>1840491.41</v>
      </c>
      <c r="F565">
        <v>0</v>
      </c>
      <c r="G565" s="3">
        <v>86.87</v>
      </c>
      <c r="H565" s="2">
        <v>4.1029999999999998</v>
      </c>
      <c r="I565">
        <v>130.88967740000001</v>
      </c>
      <c r="J565" s="3">
        <v>7.3819999999999997</v>
      </c>
    </row>
    <row r="566" spans="1:10" x14ac:dyDescent="0.25">
      <c r="A566">
        <v>10</v>
      </c>
      <c r="B566" s="1">
        <v>41067</v>
      </c>
      <c r="C566">
        <v>6</v>
      </c>
      <c r="D566">
        <v>2012</v>
      </c>
      <c r="E566" s="2">
        <v>1805999.79</v>
      </c>
      <c r="F566">
        <v>0</v>
      </c>
      <c r="G566" s="3">
        <v>86.87</v>
      </c>
      <c r="H566" s="2">
        <v>3.6659999999999999</v>
      </c>
      <c r="I566">
        <v>130.7196333</v>
      </c>
      <c r="J566" s="3">
        <v>7.17</v>
      </c>
    </row>
    <row r="567" spans="1:10" x14ac:dyDescent="0.25">
      <c r="A567">
        <v>10</v>
      </c>
      <c r="B567" s="1">
        <v>40976</v>
      </c>
      <c r="C567">
        <v>3</v>
      </c>
      <c r="D567">
        <v>2012</v>
      </c>
      <c r="E567" s="2">
        <v>1939440.09</v>
      </c>
      <c r="F567">
        <v>0</v>
      </c>
      <c r="G567" s="3">
        <v>84.76</v>
      </c>
      <c r="H567" s="2">
        <v>3.5950000000000002</v>
      </c>
      <c r="I567">
        <v>130.73787100000001</v>
      </c>
      <c r="J567" s="3">
        <v>7.17</v>
      </c>
    </row>
    <row r="568" spans="1:10" x14ac:dyDescent="0.25">
      <c r="A568">
        <v>10</v>
      </c>
      <c r="B568" s="1">
        <v>41190</v>
      </c>
      <c r="C568">
        <v>10</v>
      </c>
      <c r="D568">
        <v>2012</v>
      </c>
      <c r="E568" s="2">
        <v>1880436.94</v>
      </c>
      <c r="F568">
        <v>0</v>
      </c>
      <c r="G568" s="3">
        <v>90.78</v>
      </c>
      <c r="H568" s="2">
        <v>3.8109999999999999</v>
      </c>
      <c r="I568">
        <v>130.7561613</v>
      </c>
      <c r="J568" s="3">
        <v>7.17</v>
      </c>
    </row>
    <row r="569" spans="1:10" x14ac:dyDescent="0.25">
      <c r="A569">
        <v>10</v>
      </c>
      <c r="B569" s="1">
        <v>41099</v>
      </c>
      <c r="C569">
        <v>7</v>
      </c>
      <c r="D569">
        <v>2012</v>
      </c>
      <c r="E569" s="2">
        <v>1708283.28</v>
      </c>
      <c r="F569">
        <v>1</v>
      </c>
      <c r="G569" s="3">
        <v>83.07</v>
      </c>
      <c r="H569" s="2">
        <v>4.1239999999999997</v>
      </c>
      <c r="I569">
        <v>130.9325484</v>
      </c>
      <c r="J569" s="3">
        <v>7.17</v>
      </c>
    </row>
    <row r="570" spans="1:10" x14ac:dyDescent="0.25">
      <c r="A570">
        <v>10</v>
      </c>
      <c r="B570" s="1">
        <v>41039</v>
      </c>
      <c r="C570">
        <v>5</v>
      </c>
      <c r="D570">
        <v>2012</v>
      </c>
      <c r="E570" s="2">
        <v>1758971.38</v>
      </c>
      <c r="F570">
        <v>0</v>
      </c>
      <c r="G570" s="3">
        <v>80.88</v>
      </c>
      <c r="H570" s="2">
        <v>4.1319999999999997</v>
      </c>
      <c r="I570">
        <v>131.0756667</v>
      </c>
      <c r="J570" s="3">
        <v>6.9429999999999996</v>
      </c>
    </row>
    <row r="571" spans="1:10" x14ac:dyDescent="0.25">
      <c r="A571">
        <v>10</v>
      </c>
      <c r="B571" s="1">
        <v>41253</v>
      </c>
      <c r="C571">
        <v>12</v>
      </c>
      <c r="D571">
        <v>2012</v>
      </c>
      <c r="E571" s="2">
        <v>1713889.11</v>
      </c>
      <c r="F571">
        <v>0</v>
      </c>
      <c r="G571" s="3">
        <v>76.03</v>
      </c>
      <c r="H571" s="2">
        <v>4.468</v>
      </c>
      <c r="I571">
        <v>131.1083333</v>
      </c>
      <c r="J571" s="3">
        <v>6.9429999999999996</v>
      </c>
    </row>
    <row r="572" spans="1:10" x14ac:dyDescent="0.25">
      <c r="A572">
        <v>11</v>
      </c>
      <c r="B572" s="1">
        <v>40300</v>
      </c>
      <c r="C572">
        <v>5</v>
      </c>
      <c r="D572">
        <v>2010</v>
      </c>
      <c r="E572" s="2">
        <v>1528008.64</v>
      </c>
      <c r="F572">
        <v>0</v>
      </c>
      <c r="G572" s="3">
        <v>46.04</v>
      </c>
      <c r="H572" s="2">
        <v>2.5720000000000001</v>
      </c>
      <c r="I572">
        <v>214.42488119999999</v>
      </c>
      <c r="J572" s="3">
        <v>7.3680000000000003</v>
      </c>
    </row>
    <row r="573" spans="1:10" x14ac:dyDescent="0.25">
      <c r="A573">
        <v>11</v>
      </c>
      <c r="B573" s="1">
        <v>40514</v>
      </c>
      <c r="C573">
        <v>12</v>
      </c>
      <c r="D573">
        <v>2010</v>
      </c>
      <c r="E573" s="2">
        <v>1574684.08</v>
      </c>
      <c r="F573">
        <v>1</v>
      </c>
      <c r="G573" s="3">
        <v>48.01</v>
      </c>
      <c r="H573" s="2">
        <v>2.548</v>
      </c>
      <c r="I573">
        <v>214.5747916</v>
      </c>
      <c r="J573" s="3">
        <v>7.3680000000000003</v>
      </c>
    </row>
    <row r="574" spans="1:10" x14ac:dyDescent="0.25">
      <c r="A574">
        <v>11</v>
      </c>
      <c r="B574" s="1">
        <v>40301</v>
      </c>
      <c r="C574">
        <v>5</v>
      </c>
      <c r="D574">
        <v>2010</v>
      </c>
      <c r="E574" s="2">
        <v>1426622.65</v>
      </c>
      <c r="F574">
        <v>0</v>
      </c>
      <c r="G574" s="3">
        <v>53.96</v>
      </c>
      <c r="H574" s="2">
        <v>2.625</v>
      </c>
      <c r="I574">
        <v>214.6751386</v>
      </c>
      <c r="J574" s="3">
        <v>7.3680000000000003</v>
      </c>
    </row>
    <row r="575" spans="1:10" x14ac:dyDescent="0.25">
      <c r="A575">
        <v>11</v>
      </c>
      <c r="B575" s="1">
        <v>40515</v>
      </c>
      <c r="C575">
        <v>12</v>
      </c>
      <c r="D575">
        <v>2010</v>
      </c>
      <c r="E575" s="2">
        <v>1331883.1599999999</v>
      </c>
      <c r="F575">
        <v>0</v>
      </c>
      <c r="G575" s="3">
        <v>64.099999999999994</v>
      </c>
      <c r="H575" s="2">
        <v>2.6669999999999998</v>
      </c>
      <c r="I575">
        <v>214.70276459999999</v>
      </c>
      <c r="J575" s="3">
        <v>7.3680000000000003</v>
      </c>
    </row>
    <row r="576" spans="1:10" x14ac:dyDescent="0.25">
      <c r="A576">
        <v>11</v>
      </c>
      <c r="B576" s="1">
        <v>40213</v>
      </c>
      <c r="C576">
        <v>2</v>
      </c>
      <c r="D576">
        <v>2010</v>
      </c>
      <c r="E576" s="2">
        <v>1446210.26</v>
      </c>
      <c r="F576">
        <v>0</v>
      </c>
      <c r="G576" s="3">
        <v>66.16</v>
      </c>
      <c r="H576" s="2">
        <v>2.7189999999999999</v>
      </c>
      <c r="I576">
        <v>214.1180803</v>
      </c>
      <c r="J576" s="3">
        <v>7.343</v>
      </c>
    </row>
    <row r="577" spans="1:10" x14ac:dyDescent="0.25">
      <c r="A577">
        <v>11</v>
      </c>
      <c r="B577" s="1">
        <v>40425</v>
      </c>
      <c r="C577">
        <v>9</v>
      </c>
      <c r="D577">
        <v>2010</v>
      </c>
      <c r="E577" s="2">
        <v>1470308.32</v>
      </c>
      <c r="F577">
        <v>0</v>
      </c>
      <c r="G577" s="3">
        <v>69.569999999999993</v>
      </c>
      <c r="H577" s="2">
        <v>2.77</v>
      </c>
      <c r="I577">
        <v>213.9120595</v>
      </c>
      <c r="J577" s="3">
        <v>7.343</v>
      </c>
    </row>
    <row r="578" spans="1:10" x14ac:dyDescent="0.25">
      <c r="A578">
        <v>11</v>
      </c>
      <c r="B578" s="1">
        <v>40364</v>
      </c>
      <c r="C578">
        <v>7</v>
      </c>
      <c r="D578">
        <v>2010</v>
      </c>
      <c r="E578" s="2">
        <v>1312329.78</v>
      </c>
      <c r="F578">
        <v>0</v>
      </c>
      <c r="G578" s="3">
        <v>75.569999999999993</v>
      </c>
      <c r="H578" s="2">
        <v>2.835</v>
      </c>
      <c r="I578">
        <v>213.6211778</v>
      </c>
      <c r="J578" s="3">
        <v>7.343</v>
      </c>
    </row>
    <row r="579" spans="1:10" x14ac:dyDescent="0.25">
      <c r="A579">
        <v>11</v>
      </c>
      <c r="B579" s="1">
        <v>40274</v>
      </c>
      <c r="C579">
        <v>4</v>
      </c>
      <c r="D579">
        <v>2010</v>
      </c>
      <c r="E579" s="2">
        <v>1396322.19</v>
      </c>
      <c r="F579">
        <v>0</v>
      </c>
      <c r="G579" s="3">
        <v>79.66</v>
      </c>
      <c r="H579" s="2">
        <v>2.7050000000000001</v>
      </c>
      <c r="I579">
        <v>214.49583820000001</v>
      </c>
      <c r="J579" s="3">
        <v>7.343</v>
      </c>
    </row>
    <row r="580" spans="1:10" x14ac:dyDescent="0.25">
      <c r="A580">
        <v>11</v>
      </c>
      <c r="B580" s="1">
        <v>40488</v>
      </c>
      <c r="C580">
        <v>11</v>
      </c>
      <c r="D580">
        <v>2010</v>
      </c>
      <c r="E580" s="2">
        <v>1339570.8500000001</v>
      </c>
      <c r="F580">
        <v>0</v>
      </c>
      <c r="G580" s="3">
        <v>82.81</v>
      </c>
      <c r="H580" s="2">
        <v>2.6680000000000001</v>
      </c>
      <c r="I580">
        <v>214.787913</v>
      </c>
      <c r="J580" s="3">
        <v>7.343</v>
      </c>
    </row>
    <row r="581" spans="1:10" x14ac:dyDescent="0.25">
      <c r="A581">
        <v>11</v>
      </c>
      <c r="B581" s="1">
        <v>40216</v>
      </c>
      <c r="C581">
        <v>2</v>
      </c>
      <c r="D581">
        <v>2010</v>
      </c>
      <c r="E581" s="2">
        <v>1302600.1399999999</v>
      </c>
      <c r="F581">
        <v>0</v>
      </c>
      <c r="G581" s="3">
        <v>83.09</v>
      </c>
      <c r="H581" s="2">
        <v>2.669</v>
      </c>
      <c r="I581">
        <v>214.54632219999999</v>
      </c>
      <c r="J581" s="3">
        <v>7.3460000000000001</v>
      </c>
    </row>
    <row r="582" spans="1:10" x14ac:dyDescent="0.25">
      <c r="A582">
        <v>11</v>
      </c>
      <c r="B582" s="1">
        <v>40428</v>
      </c>
      <c r="C582">
        <v>9</v>
      </c>
      <c r="D582">
        <v>2010</v>
      </c>
      <c r="E582" s="2">
        <v>1280156.47</v>
      </c>
      <c r="F582">
        <v>0</v>
      </c>
      <c r="G582" s="3">
        <v>83.01</v>
      </c>
      <c r="H582" s="2">
        <v>2.6419999999999999</v>
      </c>
      <c r="I582">
        <v>214.4265704</v>
      </c>
      <c r="J582" s="3">
        <v>7.3460000000000001</v>
      </c>
    </row>
    <row r="583" spans="1:10" x14ac:dyDescent="0.25">
      <c r="A583">
        <v>11</v>
      </c>
      <c r="B583" s="1">
        <v>40337</v>
      </c>
      <c r="C583">
        <v>6</v>
      </c>
      <c r="D583">
        <v>2010</v>
      </c>
      <c r="E583" s="2">
        <v>1369634.92</v>
      </c>
      <c r="F583">
        <v>0</v>
      </c>
      <c r="G583" s="3">
        <v>86.54</v>
      </c>
      <c r="H583" s="2">
        <v>2.6269999999999998</v>
      </c>
      <c r="I583">
        <v>214.83419520000001</v>
      </c>
      <c r="J583" s="3">
        <v>7.3460000000000001</v>
      </c>
    </row>
    <row r="584" spans="1:10" x14ac:dyDescent="0.25">
      <c r="A584">
        <v>11</v>
      </c>
      <c r="B584" s="1">
        <v>40246</v>
      </c>
      <c r="C584">
        <v>3</v>
      </c>
      <c r="D584">
        <v>2010</v>
      </c>
      <c r="E584" s="2">
        <v>1303914.27</v>
      </c>
      <c r="F584">
        <v>0</v>
      </c>
      <c r="G584" s="3">
        <v>84.94</v>
      </c>
      <c r="H584" s="2">
        <v>2.577</v>
      </c>
      <c r="I584">
        <v>214.84816850000001</v>
      </c>
      <c r="J584" s="3">
        <v>7.3460000000000001</v>
      </c>
    </row>
    <row r="585" spans="1:10" x14ac:dyDescent="0.25">
      <c r="A585">
        <v>11</v>
      </c>
      <c r="B585" s="1">
        <v>40460</v>
      </c>
      <c r="C585">
        <v>10</v>
      </c>
      <c r="D585">
        <v>2010</v>
      </c>
      <c r="E585" s="2">
        <v>1231428.46</v>
      </c>
      <c r="F585">
        <v>1</v>
      </c>
      <c r="G585" s="3">
        <v>81.93</v>
      </c>
      <c r="H585" s="2">
        <v>2.5649999999999999</v>
      </c>
      <c r="I585">
        <v>214.8065431</v>
      </c>
      <c r="J585" s="3">
        <v>7.3460000000000001</v>
      </c>
    </row>
    <row r="586" spans="1:10" x14ac:dyDescent="0.25">
      <c r="A586">
        <v>11</v>
      </c>
      <c r="B586" s="1">
        <v>40188</v>
      </c>
      <c r="C586">
        <v>1</v>
      </c>
      <c r="D586">
        <v>2010</v>
      </c>
      <c r="E586" s="2">
        <v>1182490.46</v>
      </c>
      <c r="F586">
        <v>0</v>
      </c>
      <c r="G586" s="3">
        <v>75.11</v>
      </c>
      <c r="H586" s="2">
        <v>2.6030000000000002</v>
      </c>
      <c r="I586">
        <v>214.98465479999999</v>
      </c>
      <c r="J586" s="3">
        <v>7.5640000000000001</v>
      </c>
    </row>
    <row r="587" spans="1:10" x14ac:dyDescent="0.25">
      <c r="A587">
        <v>11</v>
      </c>
      <c r="B587" s="1">
        <v>40400</v>
      </c>
      <c r="C587">
        <v>8</v>
      </c>
      <c r="D587">
        <v>2010</v>
      </c>
      <c r="E587" s="2">
        <v>1293472.8</v>
      </c>
      <c r="F587">
        <v>0</v>
      </c>
      <c r="G587" s="3">
        <v>68.709999999999994</v>
      </c>
      <c r="H587" s="2">
        <v>2.633</v>
      </c>
      <c r="I587">
        <v>215.060858</v>
      </c>
      <c r="J587" s="3">
        <v>7.5640000000000001</v>
      </c>
    </row>
    <row r="588" spans="1:10" x14ac:dyDescent="0.25">
      <c r="A588">
        <v>11</v>
      </c>
      <c r="B588" s="1">
        <v>40309</v>
      </c>
      <c r="C588">
        <v>5</v>
      </c>
      <c r="D588">
        <v>2010</v>
      </c>
      <c r="E588" s="2">
        <v>1332759.1299999999</v>
      </c>
      <c r="F588">
        <v>0</v>
      </c>
      <c r="G588" s="3">
        <v>64.41</v>
      </c>
      <c r="H588" s="2">
        <v>2.6890000000000001</v>
      </c>
      <c r="I588">
        <v>215.27654720000001</v>
      </c>
      <c r="J588" s="3">
        <v>7.5640000000000001</v>
      </c>
    </row>
    <row r="589" spans="1:10" x14ac:dyDescent="0.25">
      <c r="A589">
        <v>11</v>
      </c>
      <c r="B589" s="1">
        <v>40523</v>
      </c>
      <c r="C589">
        <v>12</v>
      </c>
      <c r="D589">
        <v>2010</v>
      </c>
      <c r="E589" s="2">
        <v>1281675.6000000001</v>
      </c>
      <c r="F589">
        <v>0</v>
      </c>
      <c r="G589" s="3">
        <v>63.74</v>
      </c>
      <c r="H589" s="2">
        <v>2.7280000000000002</v>
      </c>
      <c r="I589">
        <v>215.32562580000001</v>
      </c>
      <c r="J589" s="3">
        <v>7.5640000000000001</v>
      </c>
    </row>
    <row r="590" spans="1:10" x14ac:dyDescent="0.25">
      <c r="A590">
        <v>11</v>
      </c>
      <c r="B590" s="1">
        <v>40249</v>
      </c>
      <c r="C590">
        <v>3</v>
      </c>
      <c r="D590">
        <v>2010</v>
      </c>
      <c r="E590" s="2">
        <v>1380522.64</v>
      </c>
      <c r="F590">
        <v>0</v>
      </c>
      <c r="G590" s="3">
        <v>55.9</v>
      </c>
      <c r="H590" s="2">
        <v>2.7080000000000002</v>
      </c>
      <c r="I590">
        <v>214.9153531</v>
      </c>
      <c r="J590" s="3">
        <v>7.5640000000000001</v>
      </c>
    </row>
    <row r="591" spans="1:10" x14ac:dyDescent="0.25">
      <c r="A591">
        <v>11</v>
      </c>
      <c r="B591" s="1">
        <v>40463</v>
      </c>
      <c r="C591">
        <v>10</v>
      </c>
      <c r="D591">
        <v>2010</v>
      </c>
      <c r="E591" s="2">
        <v>1564516.43</v>
      </c>
      <c r="F591">
        <v>0</v>
      </c>
      <c r="G591" s="3">
        <v>53.33</v>
      </c>
      <c r="H591" s="2">
        <v>2.843</v>
      </c>
      <c r="I591">
        <v>214.76930369999999</v>
      </c>
      <c r="J591" s="3">
        <v>7.5640000000000001</v>
      </c>
    </row>
    <row r="592" spans="1:10" x14ac:dyDescent="0.25">
      <c r="A592">
        <v>11</v>
      </c>
      <c r="B592" s="1">
        <v>40725</v>
      </c>
      <c r="C592">
        <v>7</v>
      </c>
      <c r="D592">
        <v>2011</v>
      </c>
      <c r="E592" s="2">
        <v>1178905.44</v>
      </c>
      <c r="F592">
        <v>0</v>
      </c>
      <c r="G592" s="3">
        <v>54.43</v>
      </c>
      <c r="H592" s="2">
        <v>2.976</v>
      </c>
      <c r="I592">
        <v>214.69551039999999</v>
      </c>
      <c r="J592" s="3">
        <v>7.5510000000000002</v>
      </c>
    </row>
    <row r="593" spans="1:10" x14ac:dyDescent="0.25">
      <c r="A593">
        <v>11</v>
      </c>
      <c r="B593" s="1">
        <v>40635</v>
      </c>
      <c r="C593">
        <v>4</v>
      </c>
      <c r="D593">
        <v>2011</v>
      </c>
      <c r="E593" s="2">
        <v>1422546.05</v>
      </c>
      <c r="F593">
        <v>0</v>
      </c>
      <c r="G593" s="3">
        <v>47.17</v>
      </c>
      <c r="H593" s="2">
        <v>2.9889999999999999</v>
      </c>
      <c r="I593">
        <v>215.88633669999999</v>
      </c>
      <c r="J593" s="3">
        <v>7.5510000000000002</v>
      </c>
    </row>
    <row r="594" spans="1:10" x14ac:dyDescent="0.25">
      <c r="A594">
        <v>11</v>
      </c>
      <c r="B594" s="1">
        <v>40849</v>
      </c>
      <c r="C594">
        <v>11</v>
      </c>
      <c r="D594">
        <v>2011</v>
      </c>
      <c r="E594" s="2">
        <v>1419236.9</v>
      </c>
      <c r="F594">
        <v>1</v>
      </c>
      <c r="G594" s="3">
        <v>44.61</v>
      </c>
      <c r="H594" s="2">
        <v>3.0219999999999998</v>
      </c>
      <c r="I594">
        <v>216.2660913</v>
      </c>
      <c r="J594" s="3">
        <v>7.5510000000000002</v>
      </c>
    </row>
    <row r="595" spans="1:10" x14ac:dyDescent="0.25">
      <c r="A595">
        <v>11</v>
      </c>
      <c r="B595" s="1">
        <v>40636</v>
      </c>
      <c r="C595">
        <v>4</v>
      </c>
      <c r="D595">
        <v>2011</v>
      </c>
      <c r="E595" s="2">
        <v>1399456.99</v>
      </c>
      <c r="F595">
        <v>0</v>
      </c>
      <c r="G595" s="3">
        <v>66.5</v>
      </c>
      <c r="H595" s="2">
        <v>3.2879999999999998</v>
      </c>
      <c r="I595">
        <v>217.1716979</v>
      </c>
      <c r="J595" s="3">
        <v>7.5510000000000002</v>
      </c>
    </row>
    <row r="596" spans="1:10" x14ac:dyDescent="0.25">
      <c r="A596">
        <v>11</v>
      </c>
      <c r="B596" s="1">
        <v>40850</v>
      </c>
      <c r="C596">
        <v>11</v>
      </c>
      <c r="D596">
        <v>2011</v>
      </c>
      <c r="E596" s="2">
        <v>1314557.31</v>
      </c>
      <c r="F596">
        <v>0</v>
      </c>
      <c r="G596" s="3">
        <v>63.29</v>
      </c>
      <c r="H596" s="2">
        <v>3.4590000000000001</v>
      </c>
      <c r="I596">
        <v>217.46536829999999</v>
      </c>
      <c r="J596" s="3">
        <v>7.5510000000000002</v>
      </c>
    </row>
    <row r="597" spans="1:10" x14ac:dyDescent="0.25">
      <c r="A597">
        <v>11</v>
      </c>
      <c r="B597" s="1">
        <v>40547</v>
      </c>
      <c r="C597">
        <v>1</v>
      </c>
      <c r="D597">
        <v>2011</v>
      </c>
      <c r="E597" s="2">
        <v>1258674.1200000001</v>
      </c>
      <c r="F597">
        <v>0</v>
      </c>
      <c r="G597" s="3">
        <v>69.099999999999994</v>
      </c>
      <c r="H597" s="2">
        <v>3.524</v>
      </c>
      <c r="I597">
        <v>218.21141840000001</v>
      </c>
      <c r="J597" s="3">
        <v>7.5739999999999998</v>
      </c>
    </row>
    <row r="598" spans="1:10" x14ac:dyDescent="0.25">
      <c r="A598">
        <v>11</v>
      </c>
      <c r="B598" s="1">
        <v>40759</v>
      </c>
      <c r="C598">
        <v>8</v>
      </c>
      <c r="D598">
        <v>2011</v>
      </c>
      <c r="E598" s="2">
        <v>1327401.06</v>
      </c>
      <c r="F598">
        <v>0</v>
      </c>
      <c r="G598" s="3">
        <v>73.569999999999993</v>
      </c>
      <c r="H598" s="2">
        <v>3.6219999999999999</v>
      </c>
      <c r="I598">
        <v>218.45536630000001</v>
      </c>
      <c r="J598" s="3">
        <v>7.5739999999999998</v>
      </c>
    </row>
    <row r="599" spans="1:10" x14ac:dyDescent="0.25">
      <c r="A599">
        <v>11</v>
      </c>
      <c r="B599" s="1">
        <v>40699</v>
      </c>
      <c r="C599">
        <v>6</v>
      </c>
      <c r="D599">
        <v>2011</v>
      </c>
      <c r="E599" s="2">
        <v>1331453.4099999999</v>
      </c>
      <c r="F599">
        <v>0</v>
      </c>
      <c r="G599" s="3">
        <v>71.39</v>
      </c>
      <c r="H599" s="2">
        <v>3.9060000000000001</v>
      </c>
      <c r="I599">
        <v>219.1959827</v>
      </c>
      <c r="J599" s="3">
        <v>7.5739999999999998</v>
      </c>
    </row>
    <row r="600" spans="1:10" x14ac:dyDescent="0.25">
      <c r="A600">
        <v>11</v>
      </c>
      <c r="B600" s="1">
        <v>40608</v>
      </c>
      <c r="C600">
        <v>3</v>
      </c>
      <c r="D600">
        <v>2011</v>
      </c>
      <c r="E600" s="2">
        <v>1343637</v>
      </c>
      <c r="F600">
        <v>0</v>
      </c>
      <c r="G600" s="3">
        <v>86.14</v>
      </c>
      <c r="H600" s="2">
        <v>3.6989999999999998</v>
      </c>
      <c r="I600">
        <v>218.6449369</v>
      </c>
      <c r="J600" s="3">
        <v>7.5739999999999998</v>
      </c>
    </row>
    <row r="601" spans="1:10" x14ac:dyDescent="0.25">
      <c r="A601">
        <v>11</v>
      </c>
      <c r="B601" s="1">
        <v>40822</v>
      </c>
      <c r="C601">
        <v>10</v>
      </c>
      <c r="D601">
        <v>2011</v>
      </c>
      <c r="E601" s="2">
        <v>1314626.75</v>
      </c>
      <c r="F601">
        <v>0</v>
      </c>
      <c r="G601" s="3">
        <v>85.79</v>
      </c>
      <c r="H601" s="2">
        <v>3.6480000000000001</v>
      </c>
      <c r="I601">
        <v>218.4037974</v>
      </c>
      <c r="J601" s="3">
        <v>7.5739999999999998</v>
      </c>
    </row>
    <row r="602" spans="1:10" x14ac:dyDescent="0.25">
      <c r="A602">
        <v>11</v>
      </c>
      <c r="B602" s="1">
        <v>40550</v>
      </c>
      <c r="C602">
        <v>1</v>
      </c>
      <c r="D602">
        <v>2011</v>
      </c>
      <c r="E602" s="2">
        <v>1297472.06</v>
      </c>
      <c r="F602">
        <v>0</v>
      </c>
      <c r="G602" s="3">
        <v>86.43</v>
      </c>
      <c r="H602" s="2">
        <v>3.524</v>
      </c>
      <c r="I602">
        <v>218.54670519999999</v>
      </c>
      <c r="J602" s="3">
        <v>7.5670000000000002</v>
      </c>
    </row>
    <row r="603" spans="1:10" x14ac:dyDescent="0.25">
      <c r="A603">
        <v>11</v>
      </c>
      <c r="B603" s="1">
        <v>40762</v>
      </c>
      <c r="C603">
        <v>8</v>
      </c>
      <c r="D603">
        <v>2011</v>
      </c>
      <c r="E603" s="2">
        <v>1334627.96</v>
      </c>
      <c r="F603">
        <v>0</v>
      </c>
      <c r="G603" s="3">
        <v>87.17</v>
      </c>
      <c r="H603" s="2">
        <v>3.48</v>
      </c>
      <c r="I603">
        <v>218.64247040000001</v>
      </c>
      <c r="J603" s="3">
        <v>7.5670000000000002</v>
      </c>
    </row>
    <row r="604" spans="1:10" x14ac:dyDescent="0.25">
      <c r="A604">
        <v>11</v>
      </c>
      <c r="B604" s="1">
        <v>40671</v>
      </c>
      <c r="C604">
        <v>5</v>
      </c>
      <c r="D604">
        <v>2011</v>
      </c>
      <c r="E604" s="2">
        <v>1403198.94</v>
      </c>
      <c r="F604">
        <v>0</v>
      </c>
      <c r="G604" s="3">
        <v>90.04</v>
      </c>
      <c r="H604" s="2">
        <v>3.6840000000000002</v>
      </c>
      <c r="I604">
        <v>218.90232090000001</v>
      </c>
      <c r="J604" s="3">
        <v>7.5670000000000002</v>
      </c>
    </row>
    <row r="605" spans="1:10" x14ac:dyDescent="0.25">
      <c r="A605">
        <v>11</v>
      </c>
      <c r="B605" s="1">
        <v>40885</v>
      </c>
      <c r="C605">
        <v>12</v>
      </c>
      <c r="D605">
        <v>2011</v>
      </c>
      <c r="E605" s="2">
        <v>1354188.43</v>
      </c>
      <c r="F605">
        <v>0</v>
      </c>
      <c r="G605" s="3">
        <v>90.3</v>
      </c>
      <c r="H605" s="2">
        <v>3.6379999999999999</v>
      </c>
      <c r="I605">
        <v>218.96058729999999</v>
      </c>
      <c r="J605" s="3">
        <v>7.5670000000000002</v>
      </c>
    </row>
    <row r="606" spans="1:10" x14ac:dyDescent="0.25">
      <c r="A606">
        <v>11</v>
      </c>
      <c r="B606" s="1">
        <v>40583</v>
      </c>
      <c r="C606">
        <v>2</v>
      </c>
      <c r="D606">
        <v>2011</v>
      </c>
      <c r="E606" s="2">
        <v>1297792.4099999999</v>
      </c>
      <c r="F606">
        <v>0</v>
      </c>
      <c r="G606" s="3">
        <v>91.44</v>
      </c>
      <c r="H606" s="2">
        <v>3.5329999999999999</v>
      </c>
      <c r="I606">
        <v>219.1501106</v>
      </c>
      <c r="J606" s="3">
        <v>7.5670000000000002</v>
      </c>
    </row>
    <row r="607" spans="1:10" x14ac:dyDescent="0.25">
      <c r="A607">
        <v>11</v>
      </c>
      <c r="B607" s="1">
        <v>40795</v>
      </c>
      <c r="C607">
        <v>9</v>
      </c>
      <c r="D607">
        <v>2011</v>
      </c>
      <c r="E607" s="2">
        <v>1249439.95</v>
      </c>
      <c r="F607">
        <v>1</v>
      </c>
      <c r="G607" s="3">
        <v>84.91</v>
      </c>
      <c r="H607" s="2">
        <v>3.5459999999999998</v>
      </c>
      <c r="I607">
        <v>219.21353049999999</v>
      </c>
      <c r="J607" s="3">
        <v>7.5670000000000002</v>
      </c>
    </row>
    <row r="608" spans="1:10" x14ac:dyDescent="0.25">
      <c r="A608">
        <v>11</v>
      </c>
      <c r="B608" s="1">
        <v>40734</v>
      </c>
      <c r="C608">
        <v>7</v>
      </c>
      <c r="D608">
        <v>2011</v>
      </c>
      <c r="E608" s="2">
        <v>1346271.06</v>
      </c>
      <c r="F608">
        <v>0</v>
      </c>
      <c r="G608" s="3">
        <v>76.97</v>
      </c>
      <c r="H608" s="2">
        <v>3.2850000000000001</v>
      </c>
      <c r="I608">
        <v>220.42990069999999</v>
      </c>
      <c r="J608" s="3">
        <v>7.1970000000000001</v>
      </c>
    </row>
    <row r="609" spans="1:10" x14ac:dyDescent="0.25">
      <c r="A609">
        <v>11</v>
      </c>
      <c r="B609" s="1">
        <v>40644</v>
      </c>
      <c r="C609">
        <v>4</v>
      </c>
      <c r="D609">
        <v>2011</v>
      </c>
      <c r="E609" s="2">
        <v>1458287.38</v>
      </c>
      <c r="F609">
        <v>0</v>
      </c>
      <c r="G609" s="3">
        <v>61.13</v>
      </c>
      <c r="H609" s="2">
        <v>3.3319999999999999</v>
      </c>
      <c r="I609">
        <v>221.245968</v>
      </c>
      <c r="J609" s="3">
        <v>7.1970000000000001</v>
      </c>
    </row>
    <row r="610" spans="1:10" x14ac:dyDescent="0.25">
      <c r="A610">
        <v>11</v>
      </c>
      <c r="B610" s="1">
        <v>40858</v>
      </c>
      <c r="C610">
        <v>11</v>
      </c>
      <c r="D610">
        <v>2011</v>
      </c>
      <c r="E610" s="2">
        <v>1366053.69</v>
      </c>
      <c r="F610">
        <v>0</v>
      </c>
      <c r="G610" s="3">
        <v>64.2</v>
      </c>
      <c r="H610" s="2">
        <v>3.2970000000000002</v>
      </c>
      <c r="I610">
        <v>221.4117517</v>
      </c>
      <c r="J610" s="3">
        <v>7.1970000000000001</v>
      </c>
    </row>
    <row r="611" spans="1:10" x14ac:dyDescent="0.25">
      <c r="A611">
        <v>11</v>
      </c>
      <c r="B611" s="1">
        <v>40586</v>
      </c>
      <c r="C611">
        <v>2</v>
      </c>
      <c r="D611">
        <v>2011</v>
      </c>
      <c r="E611" s="2">
        <v>1399322.44</v>
      </c>
      <c r="F611">
        <v>0</v>
      </c>
      <c r="G611" s="3">
        <v>56.89</v>
      </c>
      <c r="H611" s="2">
        <v>3.1720000000000002</v>
      </c>
      <c r="I611">
        <v>222.15895190000001</v>
      </c>
      <c r="J611" s="3">
        <v>7.1970000000000001</v>
      </c>
    </row>
    <row r="612" spans="1:10" x14ac:dyDescent="0.25">
      <c r="A612">
        <v>11</v>
      </c>
      <c r="B612" s="1">
        <v>40798</v>
      </c>
      <c r="C612">
        <v>9</v>
      </c>
      <c r="D612">
        <v>2011</v>
      </c>
      <c r="E612" s="2">
        <v>1646655.94</v>
      </c>
      <c r="F612">
        <v>0</v>
      </c>
      <c r="G612" s="3">
        <v>50.63</v>
      </c>
      <c r="H612" s="2">
        <v>3.1579999999999999</v>
      </c>
      <c r="I612">
        <v>222.41678519999999</v>
      </c>
      <c r="J612" s="3">
        <v>7.1970000000000001</v>
      </c>
    </row>
    <row r="613" spans="1:10" x14ac:dyDescent="0.25">
      <c r="A613">
        <v>11</v>
      </c>
      <c r="B613" s="1">
        <v>41061</v>
      </c>
      <c r="C613">
        <v>6</v>
      </c>
      <c r="D613">
        <v>2012</v>
      </c>
      <c r="E613" s="2">
        <v>1283885.55</v>
      </c>
      <c r="F613">
        <v>0</v>
      </c>
      <c r="G613" s="3">
        <v>54.44</v>
      </c>
      <c r="H613" s="2">
        <v>3.157</v>
      </c>
      <c r="I613">
        <v>223.19230490000001</v>
      </c>
      <c r="J613" s="3">
        <v>6.8330000000000002</v>
      </c>
    </row>
    <row r="614" spans="1:10" x14ac:dyDescent="0.25">
      <c r="A614">
        <v>11</v>
      </c>
      <c r="B614" s="1">
        <v>40970</v>
      </c>
      <c r="C614">
        <v>3</v>
      </c>
      <c r="D614">
        <v>2012</v>
      </c>
      <c r="E614" s="2">
        <v>1376732.18</v>
      </c>
      <c r="F614">
        <v>0</v>
      </c>
      <c r="G614" s="3">
        <v>60.24</v>
      </c>
      <c r="H614" s="2">
        <v>3.36</v>
      </c>
      <c r="I614">
        <v>223.65911370000001</v>
      </c>
      <c r="J614" s="3">
        <v>6.8330000000000002</v>
      </c>
    </row>
    <row r="615" spans="1:10" x14ac:dyDescent="0.25">
      <c r="A615">
        <v>11</v>
      </c>
      <c r="B615" s="1">
        <v>41184</v>
      </c>
      <c r="C615">
        <v>10</v>
      </c>
      <c r="D615">
        <v>2012</v>
      </c>
      <c r="E615" s="2">
        <v>1574287.76</v>
      </c>
      <c r="F615">
        <v>1</v>
      </c>
      <c r="G615" s="3">
        <v>52.23</v>
      </c>
      <c r="H615" s="2">
        <v>3.4089999999999998</v>
      </c>
      <c r="I615">
        <v>223.75364300000001</v>
      </c>
      <c r="J615" s="3">
        <v>6.8330000000000002</v>
      </c>
    </row>
    <row r="616" spans="1:10" x14ac:dyDescent="0.25">
      <c r="A616">
        <v>11</v>
      </c>
      <c r="B616" s="1">
        <v>40942</v>
      </c>
      <c r="C616">
        <v>2</v>
      </c>
      <c r="D616">
        <v>2012</v>
      </c>
      <c r="E616" s="2">
        <v>1438383.44</v>
      </c>
      <c r="F616">
        <v>0</v>
      </c>
      <c r="G616" s="3">
        <v>62.61</v>
      </c>
      <c r="H616" s="2">
        <v>3.63</v>
      </c>
      <c r="I616">
        <v>224.3470245</v>
      </c>
      <c r="J616" s="3">
        <v>6.8330000000000002</v>
      </c>
    </row>
    <row r="617" spans="1:10" x14ac:dyDescent="0.25">
      <c r="A617">
        <v>11</v>
      </c>
      <c r="B617" s="1">
        <v>41155</v>
      </c>
      <c r="C617">
        <v>9</v>
      </c>
      <c r="D617">
        <v>2012</v>
      </c>
      <c r="E617" s="2">
        <v>1413382.76</v>
      </c>
      <c r="F617">
        <v>0</v>
      </c>
      <c r="G617" s="3">
        <v>61.44</v>
      </c>
      <c r="H617" s="2">
        <v>3.669</v>
      </c>
      <c r="I617">
        <v>224.56202909999999</v>
      </c>
      <c r="J617" s="3">
        <v>6.8330000000000002</v>
      </c>
    </row>
    <row r="618" spans="1:10" x14ac:dyDescent="0.25">
      <c r="A618">
        <v>11</v>
      </c>
      <c r="B618" s="1">
        <v>41064</v>
      </c>
      <c r="C618">
        <v>6</v>
      </c>
      <c r="D618">
        <v>2012</v>
      </c>
      <c r="E618" s="2">
        <v>1596325.01</v>
      </c>
      <c r="F618">
        <v>0</v>
      </c>
      <c r="G618" s="3">
        <v>74.19</v>
      </c>
      <c r="H618" s="2">
        <v>3.891</v>
      </c>
      <c r="I618">
        <v>224.93934049999999</v>
      </c>
      <c r="J618" s="3">
        <v>6.6639999999999997</v>
      </c>
    </row>
    <row r="619" spans="1:10" x14ac:dyDescent="0.25">
      <c r="A619">
        <v>11</v>
      </c>
      <c r="B619" s="1">
        <v>41004</v>
      </c>
      <c r="C619">
        <v>4</v>
      </c>
      <c r="D619">
        <v>2012</v>
      </c>
      <c r="E619" s="2">
        <v>1370251.22</v>
      </c>
      <c r="F619">
        <v>0</v>
      </c>
      <c r="G619" s="3">
        <v>79.069999999999993</v>
      </c>
      <c r="H619" s="2">
        <v>3.7490000000000001</v>
      </c>
      <c r="I619">
        <v>225.1797511</v>
      </c>
      <c r="J619" s="3">
        <v>6.6639999999999997</v>
      </c>
    </row>
    <row r="620" spans="1:10" x14ac:dyDescent="0.25">
      <c r="A620">
        <v>11</v>
      </c>
      <c r="B620" s="1">
        <v>41218</v>
      </c>
      <c r="C620">
        <v>11</v>
      </c>
      <c r="D620">
        <v>2012</v>
      </c>
      <c r="E620" s="2">
        <v>1300147.07</v>
      </c>
      <c r="F620">
        <v>0</v>
      </c>
      <c r="G620" s="3">
        <v>75.13</v>
      </c>
      <c r="H620" s="2">
        <v>3.6880000000000002</v>
      </c>
      <c r="I620">
        <v>225.2351496</v>
      </c>
      <c r="J620" s="3">
        <v>6.6639999999999997</v>
      </c>
    </row>
    <row r="621" spans="1:10" x14ac:dyDescent="0.25">
      <c r="A621">
        <v>11</v>
      </c>
      <c r="B621" s="1">
        <v>40914</v>
      </c>
      <c r="C621">
        <v>1</v>
      </c>
      <c r="D621">
        <v>2012</v>
      </c>
      <c r="E621" s="2">
        <v>1361595.33</v>
      </c>
      <c r="F621">
        <v>0</v>
      </c>
      <c r="G621" s="3">
        <v>81.67</v>
      </c>
      <c r="H621" s="2">
        <v>3.5009999999999999</v>
      </c>
      <c r="I621">
        <v>225.25183129999999</v>
      </c>
      <c r="J621" s="3">
        <v>6.6639999999999997</v>
      </c>
    </row>
    <row r="622" spans="1:10" x14ac:dyDescent="0.25">
      <c r="A622">
        <v>11</v>
      </c>
      <c r="B622" s="1">
        <v>41127</v>
      </c>
      <c r="C622">
        <v>8</v>
      </c>
      <c r="D622">
        <v>2012</v>
      </c>
      <c r="E622" s="2">
        <v>1414343.53</v>
      </c>
      <c r="F622">
        <v>0</v>
      </c>
      <c r="G622" s="3">
        <v>82.1</v>
      </c>
      <c r="H622" s="2">
        <v>3.452</v>
      </c>
      <c r="I622">
        <v>225.25214579999999</v>
      </c>
      <c r="J622" s="3">
        <v>6.6639999999999997</v>
      </c>
    </row>
    <row r="623" spans="1:10" x14ac:dyDescent="0.25">
      <c r="A623">
        <v>11</v>
      </c>
      <c r="B623" s="1">
        <v>41067</v>
      </c>
      <c r="C623">
        <v>6</v>
      </c>
      <c r="D623">
        <v>2012</v>
      </c>
      <c r="E623" s="2">
        <v>1461129.94</v>
      </c>
      <c r="F623">
        <v>0</v>
      </c>
      <c r="G623" s="3">
        <v>83.44</v>
      </c>
      <c r="H623" s="2">
        <v>3.2269999999999999</v>
      </c>
      <c r="I623">
        <v>225.39162540000001</v>
      </c>
      <c r="J623" s="3">
        <v>6.3339999999999996</v>
      </c>
    </row>
    <row r="624" spans="1:10" x14ac:dyDescent="0.25">
      <c r="A624">
        <v>11</v>
      </c>
      <c r="B624" s="1">
        <v>40976</v>
      </c>
      <c r="C624">
        <v>3</v>
      </c>
      <c r="D624">
        <v>2012</v>
      </c>
      <c r="E624" s="2">
        <v>1399341.07</v>
      </c>
      <c r="F624">
        <v>0</v>
      </c>
      <c r="G624" s="3">
        <v>86.94</v>
      </c>
      <c r="H624" s="2">
        <v>3.4169999999999998</v>
      </c>
      <c r="I624">
        <v>225.4636332</v>
      </c>
      <c r="J624" s="3">
        <v>6.3339999999999996</v>
      </c>
    </row>
    <row r="625" spans="1:10" x14ac:dyDescent="0.25">
      <c r="A625">
        <v>11</v>
      </c>
      <c r="B625" s="1">
        <v>41190</v>
      </c>
      <c r="C625">
        <v>10</v>
      </c>
      <c r="D625">
        <v>2012</v>
      </c>
      <c r="E625" s="2">
        <v>1388973.65</v>
      </c>
      <c r="F625">
        <v>0</v>
      </c>
      <c r="G625" s="3">
        <v>86.21</v>
      </c>
      <c r="H625" s="2">
        <v>3.4940000000000002</v>
      </c>
      <c r="I625">
        <v>225.47350850000001</v>
      </c>
      <c r="J625" s="3">
        <v>6.3339999999999996</v>
      </c>
    </row>
    <row r="626" spans="1:10" x14ac:dyDescent="0.25">
      <c r="A626">
        <v>11</v>
      </c>
      <c r="B626" s="1">
        <v>41099</v>
      </c>
      <c r="C626">
        <v>7</v>
      </c>
      <c r="D626">
        <v>2012</v>
      </c>
      <c r="E626" s="2">
        <v>1304584.3999999999</v>
      </c>
      <c r="F626">
        <v>1</v>
      </c>
      <c r="G626" s="3">
        <v>85.17</v>
      </c>
      <c r="H626" s="2">
        <v>3.73</v>
      </c>
      <c r="I626">
        <v>225.96602630000001</v>
      </c>
      <c r="J626" s="3">
        <v>6.3339999999999996</v>
      </c>
    </row>
    <row r="627" spans="1:10" x14ac:dyDescent="0.25">
      <c r="A627">
        <v>11</v>
      </c>
      <c r="B627" s="1">
        <v>41039</v>
      </c>
      <c r="C627">
        <v>5</v>
      </c>
      <c r="D627">
        <v>2012</v>
      </c>
      <c r="E627" s="2">
        <v>1422794.26</v>
      </c>
      <c r="F627">
        <v>0</v>
      </c>
      <c r="G627" s="3">
        <v>73.37</v>
      </c>
      <c r="H627" s="2">
        <v>3.617</v>
      </c>
      <c r="I627">
        <v>226.72103559999999</v>
      </c>
      <c r="J627" s="3">
        <v>6.0339999999999998</v>
      </c>
    </row>
    <row r="628" spans="1:10" x14ac:dyDescent="0.25">
      <c r="A628">
        <v>11</v>
      </c>
      <c r="B628" s="1">
        <v>41253</v>
      </c>
      <c r="C628">
        <v>12</v>
      </c>
      <c r="D628">
        <v>2012</v>
      </c>
      <c r="E628" s="2">
        <v>1311965.0900000001</v>
      </c>
      <c r="F628">
        <v>0</v>
      </c>
      <c r="G628" s="3">
        <v>69.94</v>
      </c>
      <c r="H628" s="2">
        <v>3.601</v>
      </c>
      <c r="I628">
        <v>226.9239785</v>
      </c>
      <c r="J628" s="3">
        <v>6.0339999999999998</v>
      </c>
    </row>
    <row r="629" spans="1:10" x14ac:dyDescent="0.25">
      <c r="A629">
        <v>12</v>
      </c>
      <c r="B629" s="1">
        <v>40300</v>
      </c>
      <c r="C629">
        <v>5</v>
      </c>
      <c r="D629">
        <v>2010</v>
      </c>
      <c r="E629" s="2">
        <v>1100046.3700000001</v>
      </c>
      <c r="F629">
        <v>0</v>
      </c>
      <c r="G629" s="3">
        <v>49.47</v>
      </c>
      <c r="H629" s="2">
        <v>2.9620000000000002</v>
      </c>
      <c r="I629">
        <v>126.4420645</v>
      </c>
      <c r="J629" s="3">
        <v>13.975</v>
      </c>
    </row>
    <row r="630" spans="1:10" x14ac:dyDescent="0.25">
      <c r="A630">
        <v>12</v>
      </c>
      <c r="B630" s="1">
        <v>40514</v>
      </c>
      <c r="C630">
        <v>12</v>
      </c>
      <c r="D630">
        <v>2010</v>
      </c>
      <c r="E630" s="2">
        <v>1117863.33</v>
      </c>
      <c r="F630">
        <v>1</v>
      </c>
      <c r="G630" s="3">
        <v>47.87</v>
      </c>
      <c r="H630" s="2">
        <v>2.9460000000000002</v>
      </c>
      <c r="I630">
        <v>126.49625810000001</v>
      </c>
      <c r="J630" s="3">
        <v>13.975</v>
      </c>
    </row>
    <row r="631" spans="1:10" x14ac:dyDescent="0.25">
      <c r="A631">
        <v>12</v>
      </c>
      <c r="B631" s="1">
        <v>40301</v>
      </c>
      <c r="C631">
        <v>5</v>
      </c>
      <c r="D631">
        <v>2010</v>
      </c>
      <c r="E631" s="2">
        <v>1077018.27</v>
      </c>
      <c r="F631">
        <v>0</v>
      </c>
      <c r="G631" s="3">
        <v>53.77</v>
      </c>
      <c r="H631" s="2">
        <v>2.9870000000000001</v>
      </c>
      <c r="I631">
        <v>126.5782857</v>
      </c>
      <c r="J631" s="3">
        <v>13.975</v>
      </c>
    </row>
    <row r="632" spans="1:10" x14ac:dyDescent="0.25">
      <c r="A632">
        <v>12</v>
      </c>
      <c r="B632" s="1">
        <v>40515</v>
      </c>
      <c r="C632">
        <v>12</v>
      </c>
      <c r="D632">
        <v>2010</v>
      </c>
      <c r="E632" s="2">
        <v>985594.23</v>
      </c>
      <c r="F632">
        <v>0</v>
      </c>
      <c r="G632" s="3">
        <v>50.11</v>
      </c>
      <c r="H632" s="2">
        <v>2.9249999999999998</v>
      </c>
      <c r="I632">
        <v>126.60428570000001</v>
      </c>
      <c r="J632" s="3">
        <v>13.975</v>
      </c>
    </row>
    <row r="633" spans="1:10" x14ac:dyDescent="0.25">
      <c r="A633">
        <v>12</v>
      </c>
      <c r="B633" s="1">
        <v>40213</v>
      </c>
      <c r="C633">
        <v>2</v>
      </c>
      <c r="D633">
        <v>2010</v>
      </c>
      <c r="E633" s="2">
        <v>1011822.3</v>
      </c>
      <c r="F633">
        <v>0</v>
      </c>
      <c r="G633" s="3">
        <v>59.84</v>
      </c>
      <c r="H633" s="2">
        <v>3.0859999999999999</v>
      </c>
      <c r="I633">
        <v>126.6034839</v>
      </c>
      <c r="J633" s="3">
        <v>14.099</v>
      </c>
    </row>
    <row r="634" spans="1:10" x14ac:dyDescent="0.25">
      <c r="A634">
        <v>12</v>
      </c>
      <c r="B634" s="1">
        <v>40425</v>
      </c>
      <c r="C634">
        <v>9</v>
      </c>
      <c r="D634">
        <v>2010</v>
      </c>
      <c r="E634" s="2">
        <v>1041238.87</v>
      </c>
      <c r="F634">
        <v>0</v>
      </c>
      <c r="G634" s="3">
        <v>59.25</v>
      </c>
      <c r="H634" s="2">
        <v>3.09</v>
      </c>
      <c r="I634">
        <v>126.6019032</v>
      </c>
      <c r="J634" s="3">
        <v>14.099</v>
      </c>
    </row>
    <row r="635" spans="1:10" x14ac:dyDescent="0.25">
      <c r="A635">
        <v>12</v>
      </c>
      <c r="B635" s="1">
        <v>40364</v>
      </c>
      <c r="C635">
        <v>7</v>
      </c>
      <c r="D635">
        <v>2010</v>
      </c>
      <c r="E635" s="2">
        <v>1043240.27</v>
      </c>
      <c r="F635">
        <v>0</v>
      </c>
      <c r="G635" s="3">
        <v>70.150000000000006</v>
      </c>
      <c r="H635" s="2">
        <v>3.1269999999999998</v>
      </c>
      <c r="I635">
        <v>126.2898</v>
      </c>
      <c r="J635" s="3">
        <v>14.099</v>
      </c>
    </row>
    <row r="636" spans="1:10" x14ac:dyDescent="0.25">
      <c r="A636">
        <v>12</v>
      </c>
      <c r="B636" s="1">
        <v>40274</v>
      </c>
      <c r="C636">
        <v>4</v>
      </c>
      <c r="D636">
        <v>2010</v>
      </c>
      <c r="E636" s="2">
        <v>1049357.3600000001</v>
      </c>
      <c r="F636">
        <v>0</v>
      </c>
      <c r="G636" s="3">
        <v>81.39</v>
      </c>
      <c r="H636" s="2">
        <v>2.9409999999999998</v>
      </c>
      <c r="I636">
        <v>126.1360645</v>
      </c>
      <c r="J636" s="3">
        <v>14.099</v>
      </c>
    </row>
    <row r="637" spans="1:10" x14ac:dyDescent="0.25">
      <c r="A637">
        <v>12</v>
      </c>
      <c r="B637" s="1">
        <v>40488</v>
      </c>
      <c r="C637">
        <v>11</v>
      </c>
      <c r="D637">
        <v>2010</v>
      </c>
      <c r="E637" s="2">
        <v>1016039.71</v>
      </c>
      <c r="F637">
        <v>0</v>
      </c>
      <c r="G637" s="3">
        <v>90.84</v>
      </c>
      <c r="H637" s="2">
        <v>2.9489999999999998</v>
      </c>
      <c r="I637">
        <v>126.1119032</v>
      </c>
      <c r="J637" s="3">
        <v>14.099</v>
      </c>
    </row>
    <row r="638" spans="1:10" x14ac:dyDescent="0.25">
      <c r="A638">
        <v>12</v>
      </c>
      <c r="B638" s="1">
        <v>40216</v>
      </c>
      <c r="C638">
        <v>2</v>
      </c>
      <c r="D638">
        <v>2010</v>
      </c>
      <c r="E638" s="2">
        <v>951957.31</v>
      </c>
      <c r="F638">
        <v>0</v>
      </c>
      <c r="G638" s="3">
        <v>91.98</v>
      </c>
      <c r="H638" s="2">
        <v>3.105</v>
      </c>
      <c r="I638">
        <v>126.1392</v>
      </c>
      <c r="J638" s="3">
        <v>14.18</v>
      </c>
    </row>
    <row r="639" spans="1:10" x14ac:dyDescent="0.25">
      <c r="A639">
        <v>12</v>
      </c>
      <c r="B639" s="1">
        <v>40428</v>
      </c>
      <c r="C639">
        <v>9</v>
      </c>
      <c r="D639">
        <v>2010</v>
      </c>
      <c r="E639" s="2">
        <v>943506.28</v>
      </c>
      <c r="F639">
        <v>0</v>
      </c>
      <c r="G639" s="3">
        <v>90.37</v>
      </c>
      <c r="H639" s="2">
        <v>3.1</v>
      </c>
      <c r="I639">
        <v>126.15179999999999</v>
      </c>
      <c r="J639" s="3">
        <v>14.18</v>
      </c>
    </row>
    <row r="640" spans="1:10" x14ac:dyDescent="0.25">
      <c r="A640">
        <v>12</v>
      </c>
      <c r="B640" s="1">
        <v>40337</v>
      </c>
      <c r="C640">
        <v>6</v>
      </c>
      <c r="D640">
        <v>2010</v>
      </c>
      <c r="E640" s="2">
        <v>967576.95</v>
      </c>
      <c r="F640">
        <v>0</v>
      </c>
      <c r="G640" s="3">
        <v>92.95</v>
      </c>
      <c r="H640" s="2">
        <v>3.1230000000000002</v>
      </c>
      <c r="I640">
        <v>126.0854516</v>
      </c>
      <c r="J640" s="3">
        <v>14.18</v>
      </c>
    </row>
    <row r="641" spans="1:10" x14ac:dyDescent="0.25">
      <c r="A641">
        <v>12</v>
      </c>
      <c r="B641" s="1">
        <v>40246</v>
      </c>
      <c r="C641">
        <v>3</v>
      </c>
      <c r="D641">
        <v>2010</v>
      </c>
      <c r="E641" s="2">
        <v>1075758.55</v>
      </c>
      <c r="F641">
        <v>0</v>
      </c>
      <c r="G641" s="3">
        <v>83.12</v>
      </c>
      <c r="H641" s="2">
        <v>3.0870000000000002</v>
      </c>
      <c r="I641">
        <v>126.1019355</v>
      </c>
      <c r="J641" s="3">
        <v>14.18</v>
      </c>
    </row>
    <row r="642" spans="1:10" x14ac:dyDescent="0.25">
      <c r="A642">
        <v>12</v>
      </c>
      <c r="B642" s="1">
        <v>40460</v>
      </c>
      <c r="C642">
        <v>10</v>
      </c>
      <c r="D642">
        <v>2010</v>
      </c>
      <c r="E642" s="2">
        <v>903119.03</v>
      </c>
      <c r="F642">
        <v>1</v>
      </c>
      <c r="G642" s="3">
        <v>83.63</v>
      </c>
      <c r="H642" s="2">
        <v>3.044</v>
      </c>
      <c r="I642">
        <v>126.1145806</v>
      </c>
      <c r="J642" s="3">
        <v>14.18</v>
      </c>
    </row>
    <row r="643" spans="1:10" x14ac:dyDescent="0.25">
      <c r="A643">
        <v>12</v>
      </c>
      <c r="B643" s="1">
        <v>40188</v>
      </c>
      <c r="C643">
        <v>1</v>
      </c>
      <c r="D643">
        <v>2010</v>
      </c>
      <c r="E643" s="2">
        <v>850936.26</v>
      </c>
      <c r="F643">
        <v>0</v>
      </c>
      <c r="G643" s="3">
        <v>85.2</v>
      </c>
      <c r="H643" s="2">
        <v>3.0009999999999999</v>
      </c>
      <c r="I643">
        <v>126.2346</v>
      </c>
      <c r="J643" s="3">
        <v>14.313000000000001</v>
      </c>
    </row>
    <row r="644" spans="1:10" x14ac:dyDescent="0.25">
      <c r="A644">
        <v>12</v>
      </c>
      <c r="B644" s="1">
        <v>40400</v>
      </c>
      <c r="C644">
        <v>8</v>
      </c>
      <c r="D644">
        <v>2010</v>
      </c>
      <c r="E644" s="2">
        <v>918335.68</v>
      </c>
      <c r="F644">
        <v>0</v>
      </c>
      <c r="G644" s="3">
        <v>71.819999999999993</v>
      </c>
      <c r="H644" s="2">
        <v>3.0129999999999999</v>
      </c>
      <c r="I644">
        <v>126.2791667</v>
      </c>
      <c r="J644" s="3">
        <v>14.313000000000001</v>
      </c>
    </row>
    <row r="645" spans="1:10" x14ac:dyDescent="0.25">
      <c r="A645">
        <v>12</v>
      </c>
      <c r="B645" s="1">
        <v>40309</v>
      </c>
      <c r="C645">
        <v>5</v>
      </c>
      <c r="D645">
        <v>2010</v>
      </c>
      <c r="E645" s="2">
        <v>929690.71</v>
      </c>
      <c r="F645">
        <v>0</v>
      </c>
      <c r="G645" s="3">
        <v>65.489999999999995</v>
      </c>
      <c r="H645" s="2">
        <v>3.129</v>
      </c>
      <c r="I645">
        <v>126.4912903</v>
      </c>
      <c r="J645" s="3">
        <v>14.313000000000001</v>
      </c>
    </row>
    <row r="646" spans="1:10" x14ac:dyDescent="0.25">
      <c r="A646">
        <v>12</v>
      </c>
      <c r="B646" s="1">
        <v>40523</v>
      </c>
      <c r="C646">
        <v>12</v>
      </c>
      <c r="D646">
        <v>2010</v>
      </c>
      <c r="E646" s="2">
        <v>942475.24</v>
      </c>
      <c r="F646">
        <v>0</v>
      </c>
      <c r="G646" s="3">
        <v>57.79</v>
      </c>
      <c r="H646" s="2">
        <v>3.13</v>
      </c>
      <c r="I646">
        <v>126.54616129999999</v>
      </c>
      <c r="J646" s="3">
        <v>14.313000000000001</v>
      </c>
    </row>
    <row r="647" spans="1:10" x14ac:dyDescent="0.25">
      <c r="A647">
        <v>12</v>
      </c>
      <c r="B647" s="1">
        <v>40249</v>
      </c>
      <c r="C647">
        <v>3</v>
      </c>
      <c r="D647">
        <v>2010</v>
      </c>
      <c r="E647" s="2">
        <v>1069533.17</v>
      </c>
      <c r="F647">
        <v>0</v>
      </c>
      <c r="G647" s="3">
        <v>43.33</v>
      </c>
      <c r="H647" s="2">
        <v>3.0409999999999999</v>
      </c>
      <c r="I647">
        <v>126.7313333</v>
      </c>
      <c r="J647" s="3">
        <v>14.313000000000001</v>
      </c>
    </row>
    <row r="648" spans="1:10" x14ac:dyDescent="0.25">
      <c r="A648">
        <v>12</v>
      </c>
      <c r="B648" s="1">
        <v>40463</v>
      </c>
      <c r="C648">
        <v>10</v>
      </c>
      <c r="D648">
        <v>2010</v>
      </c>
      <c r="E648" s="2">
        <v>1121934.1499999999</v>
      </c>
      <c r="F648">
        <v>0</v>
      </c>
      <c r="G648" s="3">
        <v>50.01</v>
      </c>
      <c r="H648" s="2">
        <v>3.2029999999999998</v>
      </c>
      <c r="I648">
        <v>126.79340000000001</v>
      </c>
      <c r="J648" s="3">
        <v>14.313000000000001</v>
      </c>
    </row>
    <row r="649" spans="1:10" x14ac:dyDescent="0.25">
      <c r="A649">
        <v>12</v>
      </c>
      <c r="B649" s="1">
        <v>40725</v>
      </c>
      <c r="C649">
        <v>7</v>
      </c>
      <c r="D649">
        <v>2011</v>
      </c>
      <c r="E649" s="2">
        <v>910110.24</v>
      </c>
      <c r="F649">
        <v>0</v>
      </c>
      <c r="G649" s="3">
        <v>37.64</v>
      </c>
      <c r="H649" s="2">
        <v>3.2869999999999999</v>
      </c>
      <c r="I649">
        <v>127.1917742</v>
      </c>
      <c r="J649" s="3">
        <v>14.021000000000001</v>
      </c>
    </row>
    <row r="650" spans="1:10" x14ac:dyDescent="0.25">
      <c r="A650">
        <v>12</v>
      </c>
      <c r="B650" s="1">
        <v>40635</v>
      </c>
      <c r="C650">
        <v>4</v>
      </c>
      <c r="D650">
        <v>2011</v>
      </c>
      <c r="E650" s="2">
        <v>1046068.17</v>
      </c>
      <c r="F650">
        <v>0</v>
      </c>
      <c r="G650" s="3">
        <v>45.14</v>
      </c>
      <c r="H650" s="2">
        <v>3.3479999999999999</v>
      </c>
      <c r="I650">
        <v>127.7195806</v>
      </c>
      <c r="J650" s="3">
        <v>14.021000000000001</v>
      </c>
    </row>
    <row r="651" spans="1:10" x14ac:dyDescent="0.25">
      <c r="A651">
        <v>12</v>
      </c>
      <c r="B651" s="1">
        <v>40849</v>
      </c>
      <c r="C651">
        <v>11</v>
      </c>
      <c r="D651">
        <v>2011</v>
      </c>
      <c r="E651" s="2">
        <v>1086421.57</v>
      </c>
      <c r="F651">
        <v>1</v>
      </c>
      <c r="G651" s="3">
        <v>51.3</v>
      </c>
      <c r="H651" s="2">
        <v>3.3809999999999998</v>
      </c>
      <c r="I651">
        <v>127.859129</v>
      </c>
      <c r="J651" s="3">
        <v>14.021000000000001</v>
      </c>
    </row>
    <row r="652" spans="1:10" x14ac:dyDescent="0.25">
      <c r="A652">
        <v>12</v>
      </c>
      <c r="B652" s="1">
        <v>40636</v>
      </c>
      <c r="C652">
        <v>4</v>
      </c>
      <c r="D652">
        <v>2011</v>
      </c>
      <c r="E652" s="2">
        <v>1085248.21</v>
      </c>
      <c r="F652">
        <v>0</v>
      </c>
      <c r="G652" s="3">
        <v>51.72</v>
      </c>
      <c r="H652" s="2">
        <v>3.6739999999999999</v>
      </c>
      <c r="I652">
        <v>128.26474999999999</v>
      </c>
      <c r="J652" s="3">
        <v>14.021000000000001</v>
      </c>
    </row>
    <row r="653" spans="1:10" x14ac:dyDescent="0.25">
      <c r="A653">
        <v>12</v>
      </c>
      <c r="B653" s="1">
        <v>40850</v>
      </c>
      <c r="C653">
        <v>11</v>
      </c>
      <c r="D653">
        <v>2011</v>
      </c>
      <c r="E653" s="2">
        <v>997672.62</v>
      </c>
      <c r="F653">
        <v>0</v>
      </c>
      <c r="G653" s="3">
        <v>57.75</v>
      </c>
      <c r="H653" s="2">
        <v>3.8180000000000001</v>
      </c>
      <c r="I653">
        <v>128.39949999999999</v>
      </c>
      <c r="J653" s="3">
        <v>14.021000000000001</v>
      </c>
    </row>
    <row r="654" spans="1:10" x14ac:dyDescent="0.25">
      <c r="A654">
        <v>12</v>
      </c>
      <c r="B654" s="1">
        <v>40547</v>
      </c>
      <c r="C654">
        <v>1</v>
      </c>
      <c r="D654">
        <v>2011</v>
      </c>
      <c r="E654" s="2">
        <v>1005463.49</v>
      </c>
      <c r="F654">
        <v>0</v>
      </c>
      <c r="G654" s="3">
        <v>63.63</v>
      </c>
      <c r="H654" s="2">
        <v>3.7719999999999998</v>
      </c>
      <c r="I654">
        <v>128.71993549999999</v>
      </c>
      <c r="J654" s="3">
        <v>13.736000000000001</v>
      </c>
    </row>
    <row r="655" spans="1:10" x14ac:dyDescent="0.25">
      <c r="A655">
        <v>12</v>
      </c>
      <c r="B655" s="1">
        <v>40759</v>
      </c>
      <c r="C655">
        <v>8</v>
      </c>
      <c r="D655">
        <v>2011</v>
      </c>
      <c r="E655" s="2">
        <v>998362.05</v>
      </c>
      <c r="F655">
        <v>0</v>
      </c>
      <c r="G655" s="3">
        <v>64.47</v>
      </c>
      <c r="H655" s="2">
        <v>4.0030000000000001</v>
      </c>
      <c r="I655">
        <v>128.82380649999999</v>
      </c>
      <c r="J655" s="3">
        <v>13.736000000000001</v>
      </c>
    </row>
    <row r="656" spans="1:10" x14ac:dyDescent="0.25">
      <c r="A656">
        <v>12</v>
      </c>
      <c r="B656" s="1">
        <v>40699</v>
      </c>
      <c r="C656">
        <v>6</v>
      </c>
      <c r="D656">
        <v>2011</v>
      </c>
      <c r="E656" s="2">
        <v>1021154.48</v>
      </c>
      <c r="F656">
        <v>0</v>
      </c>
      <c r="G656" s="3">
        <v>68.400000000000006</v>
      </c>
      <c r="H656" s="2">
        <v>4.1929999999999996</v>
      </c>
      <c r="I656">
        <v>129.04443330000001</v>
      </c>
      <c r="J656" s="3">
        <v>13.736000000000001</v>
      </c>
    </row>
    <row r="657" spans="1:10" x14ac:dyDescent="0.25">
      <c r="A657">
        <v>12</v>
      </c>
      <c r="B657" s="1">
        <v>40608</v>
      </c>
      <c r="C657">
        <v>3</v>
      </c>
      <c r="D657">
        <v>2011</v>
      </c>
      <c r="E657" s="2">
        <v>970328.68</v>
      </c>
      <c r="F657">
        <v>0</v>
      </c>
      <c r="G657" s="3">
        <v>71.81</v>
      </c>
      <c r="H657" s="2">
        <v>4.0309999999999997</v>
      </c>
      <c r="I657">
        <v>129.04903229999999</v>
      </c>
      <c r="J657" s="3">
        <v>13.736000000000001</v>
      </c>
    </row>
    <row r="658" spans="1:10" x14ac:dyDescent="0.25">
      <c r="A658">
        <v>12</v>
      </c>
      <c r="B658" s="1">
        <v>40822</v>
      </c>
      <c r="C658">
        <v>10</v>
      </c>
      <c r="D658">
        <v>2011</v>
      </c>
      <c r="E658" s="2">
        <v>996937.95</v>
      </c>
      <c r="F658">
        <v>0</v>
      </c>
      <c r="G658" s="3">
        <v>78.72</v>
      </c>
      <c r="H658" s="2">
        <v>3.9809999999999999</v>
      </c>
      <c r="I658">
        <v>129.03570970000001</v>
      </c>
      <c r="J658" s="3">
        <v>13.736000000000001</v>
      </c>
    </row>
    <row r="659" spans="1:10" x14ac:dyDescent="0.25">
      <c r="A659">
        <v>12</v>
      </c>
      <c r="B659" s="1">
        <v>40550</v>
      </c>
      <c r="C659">
        <v>1</v>
      </c>
      <c r="D659">
        <v>2011</v>
      </c>
      <c r="E659" s="2">
        <v>961993.34</v>
      </c>
      <c r="F659">
        <v>0</v>
      </c>
      <c r="G659" s="3">
        <v>89.85</v>
      </c>
      <c r="H659" s="2">
        <v>3.8420000000000001</v>
      </c>
      <c r="I659">
        <v>129.08940000000001</v>
      </c>
      <c r="J659" s="3">
        <v>13.503</v>
      </c>
    </row>
    <row r="660" spans="1:10" x14ac:dyDescent="0.25">
      <c r="A660">
        <v>12</v>
      </c>
      <c r="B660" s="1">
        <v>40762</v>
      </c>
      <c r="C660">
        <v>8</v>
      </c>
      <c r="D660">
        <v>2011</v>
      </c>
      <c r="E660" s="2">
        <v>943717.38</v>
      </c>
      <c r="F660">
        <v>0</v>
      </c>
      <c r="G660" s="3">
        <v>89.9</v>
      </c>
      <c r="H660" s="2">
        <v>3.7050000000000001</v>
      </c>
      <c r="I660">
        <v>129.11250000000001</v>
      </c>
      <c r="J660" s="3">
        <v>13.503</v>
      </c>
    </row>
    <row r="661" spans="1:10" x14ac:dyDescent="0.25">
      <c r="A661">
        <v>12</v>
      </c>
      <c r="B661" s="1">
        <v>40671</v>
      </c>
      <c r="C661">
        <v>5</v>
      </c>
      <c r="D661">
        <v>2011</v>
      </c>
      <c r="E661" s="2">
        <v>988712.52</v>
      </c>
      <c r="F661">
        <v>0</v>
      </c>
      <c r="G661" s="3">
        <v>90.61</v>
      </c>
      <c r="H661" s="2">
        <v>3.8029999999999999</v>
      </c>
      <c r="I661">
        <v>129.18464520000001</v>
      </c>
      <c r="J661" s="3">
        <v>13.503</v>
      </c>
    </row>
    <row r="662" spans="1:10" x14ac:dyDescent="0.25">
      <c r="A662">
        <v>12</v>
      </c>
      <c r="B662" s="1">
        <v>40885</v>
      </c>
      <c r="C662">
        <v>12</v>
      </c>
      <c r="D662">
        <v>2011</v>
      </c>
      <c r="E662" s="2">
        <v>955913.68</v>
      </c>
      <c r="F662">
        <v>0</v>
      </c>
      <c r="G662" s="3">
        <v>91.04</v>
      </c>
      <c r="H662" s="2">
        <v>3.7010000000000001</v>
      </c>
      <c r="I662">
        <v>129.2015806</v>
      </c>
      <c r="J662" s="3">
        <v>13.503</v>
      </c>
    </row>
    <row r="663" spans="1:10" x14ac:dyDescent="0.25">
      <c r="A663">
        <v>12</v>
      </c>
      <c r="B663" s="1">
        <v>40583</v>
      </c>
      <c r="C663">
        <v>2</v>
      </c>
      <c r="D663">
        <v>2011</v>
      </c>
      <c r="E663" s="2">
        <v>1052051.45</v>
      </c>
      <c r="F663">
        <v>0</v>
      </c>
      <c r="G663" s="3">
        <v>93.66</v>
      </c>
      <c r="H663" s="2">
        <v>3.798</v>
      </c>
      <c r="I663">
        <v>129.32593550000001</v>
      </c>
      <c r="J663" s="3">
        <v>13.503</v>
      </c>
    </row>
    <row r="664" spans="1:10" x14ac:dyDescent="0.25">
      <c r="A664">
        <v>12</v>
      </c>
      <c r="B664" s="1">
        <v>40795</v>
      </c>
      <c r="C664">
        <v>9</v>
      </c>
      <c r="D664">
        <v>2011</v>
      </c>
      <c r="E664" s="2">
        <v>922850.57</v>
      </c>
      <c r="F664">
        <v>1</v>
      </c>
      <c r="G664" s="3">
        <v>88</v>
      </c>
      <c r="H664" s="2">
        <v>3.9129999999999998</v>
      </c>
      <c r="I664">
        <v>129.36861289999999</v>
      </c>
      <c r="J664" s="3">
        <v>13.503</v>
      </c>
    </row>
    <row r="665" spans="1:10" x14ac:dyDescent="0.25">
      <c r="A665">
        <v>12</v>
      </c>
      <c r="B665" s="1">
        <v>40734</v>
      </c>
      <c r="C665">
        <v>7</v>
      </c>
      <c r="D665">
        <v>2011</v>
      </c>
      <c r="E665" s="2">
        <v>951244.66</v>
      </c>
      <c r="F665">
        <v>0</v>
      </c>
      <c r="G665" s="3">
        <v>70.44</v>
      </c>
      <c r="H665" s="2">
        <v>3.827</v>
      </c>
      <c r="I665">
        <v>129.69380000000001</v>
      </c>
      <c r="J665" s="3">
        <v>12.89</v>
      </c>
    </row>
    <row r="666" spans="1:10" x14ac:dyDescent="0.25">
      <c r="A666">
        <v>12</v>
      </c>
      <c r="B666" s="1">
        <v>40644</v>
      </c>
      <c r="C666">
        <v>4</v>
      </c>
      <c r="D666">
        <v>2011</v>
      </c>
      <c r="E666" s="2">
        <v>1051944.79</v>
      </c>
      <c r="F666">
        <v>0</v>
      </c>
      <c r="G666" s="3">
        <v>59.77</v>
      </c>
      <c r="H666" s="2">
        <v>3.8279999999999998</v>
      </c>
      <c r="I666">
        <v>129.8051935</v>
      </c>
      <c r="J666" s="3">
        <v>12.89</v>
      </c>
    </row>
    <row r="667" spans="1:10" x14ac:dyDescent="0.25">
      <c r="A667">
        <v>12</v>
      </c>
      <c r="B667" s="1">
        <v>40858</v>
      </c>
      <c r="C667">
        <v>11</v>
      </c>
      <c r="D667">
        <v>2011</v>
      </c>
      <c r="E667" s="2">
        <v>1095091.53</v>
      </c>
      <c r="F667">
        <v>0</v>
      </c>
      <c r="G667" s="3">
        <v>48.76</v>
      </c>
      <c r="H667" s="2">
        <v>3.8239999999999998</v>
      </c>
      <c r="I667">
        <v>129.81670969999999</v>
      </c>
      <c r="J667" s="3">
        <v>12.89</v>
      </c>
    </row>
    <row r="668" spans="1:10" x14ac:dyDescent="0.25">
      <c r="A668">
        <v>12</v>
      </c>
      <c r="B668" s="1">
        <v>40586</v>
      </c>
      <c r="C668">
        <v>2</v>
      </c>
      <c r="D668">
        <v>2011</v>
      </c>
      <c r="E668" s="2">
        <v>1071383.1000000001</v>
      </c>
      <c r="F668">
        <v>0</v>
      </c>
      <c r="G668" s="3">
        <v>52.5</v>
      </c>
      <c r="H668" s="2">
        <v>3.7010000000000001</v>
      </c>
      <c r="I668">
        <v>129.84596669999999</v>
      </c>
      <c r="J668" s="3">
        <v>12.89</v>
      </c>
    </row>
    <row r="669" spans="1:10" x14ac:dyDescent="0.25">
      <c r="A669">
        <v>12</v>
      </c>
      <c r="B669" s="1">
        <v>40798</v>
      </c>
      <c r="C669">
        <v>9</v>
      </c>
      <c r="D669">
        <v>2011</v>
      </c>
      <c r="E669" s="2">
        <v>1189646.45</v>
      </c>
      <c r="F669">
        <v>0</v>
      </c>
      <c r="G669" s="3">
        <v>42.17</v>
      </c>
      <c r="H669" s="2">
        <v>3.6440000000000001</v>
      </c>
      <c r="I669">
        <v>129.85553329999999</v>
      </c>
      <c r="J669" s="3">
        <v>12.89</v>
      </c>
    </row>
    <row r="670" spans="1:10" x14ac:dyDescent="0.25">
      <c r="A670">
        <v>12</v>
      </c>
      <c r="B670" s="1">
        <v>41061</v>
      </c>
      <c r="C670">
        <v>6</v>
      </c>
      <c r="D670">
        <v>2012</v>
      </c>
      <c r="E670" s="2">
        <v>945823.65</v>
      </c>
      <c r="F670">
        <v>0</v>
      </c>
      <c r="G670" s="3">
        <v>50.43</v>
      </c>
      <c r="H670" s="2">
        <v>3.5990000000000002</v>
      </c>
      <c r="I670">
        <v>130.15751610000001</v>
      </c>
      <c r="J670" s="3">
        <v>12.186999999999999</v>
      </c>
    </row>
    <row r="671" spans="1:10" x14ac:dyDescent="0.25">
      <c r="A671">
        <v>12</v>
      </c>
      <c r="B671" s="1">
        <v>40970</v>
      </c>
      <c r="C671">
        <v>3</v>
      </c>
      <c r="D671">
        <v>2012</v>
      </c>
      <c r="E671" s="2">
        <v>1058767.95</v>
      </c>
      <c r="F671">
        <v>0</v>
      </c>
      <c r="G671" s="3">
        <v>50.58</v>
      </c>
      <c r="H671" s="2">
        <v>3.702</v>
      </c>
      <c r="I671">
        <v>130.34967739999999</v>
      </c>
      <c r="J671" s="3">
        <v>12.186999999999999</v>
      </c>
    </row>
    <row r="672" spans="1:10" x14ac:dyDescent="0.25">
      <c r="A672">
        <v>12</v>
      </c>
      <c r="B672" s="1">
        <v>41184</v>
      </c>
      <c r="C672">
        <v>10</v>
      </c>
      <c r="D672">
        <v>2012</v>
      </c>
      <c r="E672" s="2">
        <v>1199330.8500000001</v>
      </c>
      <c r="F672">
        <v>1</v>
      </c>
      <c r="G672" s="3">
        <v>52.27</v>
      </c>
      <c r="H672" s="2">
        <v>3.722</v>
      </c>
      <c r="I672">
        <v>130.3849032</v>
      </c>
      <c r="J672" s="3">
        <v>12.186999999999999</v>
      </c>
    </row>
    <row r="673" spans="1:10" x14ac:dyDescent="0.25">
      <c r="A673">
        <v>12</v>
      </c>
      <c r="B673" s="1">
        <v>40942</v>
      </c>
      <c r="C673">
        <v>2</v>
      </c>
      <c r="D673">
        <v>2012</v>
      </c>
      <c r="E673" s="2">
        <v>1147636.96</v>
      </c>
      <c r="F673">
        <v>0</v>
      </c>
      <c r="G673" s="3">
        <v>52.27</v>
      </c>
      <c r="H673" s="2">
        <v>4.1779999999999999</v>
      </c>
      <c r="I673">
        <v>130.64579309999999</v>
      </c>
      <c r="J673" s="3">
        <v>12.186999999999999</v>
      </c>
    </row>
    <row r="674" spans="1:10" x14ac:dyDescent="0.25">
      <c r="A674">
        <v>12</v>
      </c>
      <c r="B674" s="1">
        <v>41155</v>
      </c>
      <c r="C674">
        <v>9</v>
      </c>
      <c r="D674">
        <v>2012</v>
      </c>
      <c r="E674" s="2">
        <v>1113208.57</v>
      </c>
      <c r="F674">
        <v>0</v>
      </c>
      <c r="G674" s="3">
        <v>54.54</v>
      </c>
      <c r="H674" s="2">
        <v>4.25</v>
      </c>
      <c r="I674">
        <v>130.74137930000001</v>
      </c>
      <c r="J674" s="3">
        <v>12.186999999999999</v>
      </c>
    </row>
    <row r="675" spans="1:10" x14ac:dyDescent="0.25">
      <c r="A675">
        <v>12</v>
      </c>
      <c r="B675" s="1">
        <v>41064</v>
      </c>
      <c r="C675">
        <v>6</v>
      </c>
      <c r="D675">
        <v>2012</v>
      </c>
      <c r="E675" s="2">
        <v>1128765.71</v>
      </c>
      <c r="F675">
        <v>0</v>
      </c>
      <c r="G675" s="3">
        <v>64.05</v>
      </c>
      <c r="H675" s="2">
        <v>4.1210000000000004</v>
      </c>
      <c r="I675">
        <v>131.03754839999999</v>
      </c>
      <c r="J675" s="3">
        <v>11.627000000000001</v>
      </c>
    </row>
    <row r="676" spans="1:10" x14ac:dyDescent="0.25">
      <c r="A676">
        <v>12</v>
      </c>
      <c r="B676" s="1">
        <v>41004</v>
      </c>
      <c r="C676">
        <v>4</v>
      </c>
      <c r="D676">
        <v>2012</v>
      </c>
      <c r="E676" s="2">
        <v>1073433.69</v>
      </c>
      <c r="F676">
        <v>0</v>
      </c>
      <c r="G676" s="3">
        <v>76.03</v>
      </c>
      <c r="H676" s="2">
        <v>4.1710000000000003</v>
      </c>
      <c r="I676">
        <v>131.136</v>
      </c>
      <c r="J676" s="3">
        <v>11.627000000000001</v>
      </c>
    </row>
    <row r="677" spans="1:10" x14ac:dyDescent="0.25">
      <c r="A677">
        <v>12</v>
      </c>
      <c r="B677" s="1">
        <v>41218</v>
      </c>
      <c r="C677">
        <v>11</v>
      </c>
      <c r="D677">
        <v>2012</v>
      </c>
      <c r="E677" s="2">
        <v>1041995.22</v>
      </c>
      <c r="F677">
        <v>0</v>
      </c>
      <c r="G677" s="3">
        <v>77.27</v>
      </c>
      <c r="H677" s="2">
        <v>4.1859999999999999</v>
      </c>
      <c r="I677">
        <v>131.1453333</v>
      </c>
      <c r="J677" s="3">
        <v>11.627000000000001</v>
      </c>
    </row>
    <row r="678" spans="1:10" x14ac:dyDescent="0.25">
      <c r="A678">
        <v>12</v>
      </c>
      <c r="B678" s="1">
        <v>40914</v>
      </c>
      <c r="C678">
        <v>1</v>
      </c>
      <c r="D678">
        <v>2012</v>
      </c>
      <c r="E678" s="2">
        <v>981345.2</v>
      </c>
      <c r="F678">
        <v>0</v>
      </c>
      <c r="G678" s="3">
        <v>78.11</v>
      </c>
      <c r="H678" s="2">
        <v>4.2770000000000001</v>
      </c>
      <c r="I678">
        <v>130.95922580000001</v>
      </c>
      <c r="J678" s="3">
        <v>11.627000000000001</v>
      </c>
    </row>
    <row r="679" spans="1:10" x14ac:dyDescent="0.25">
      <c r="A679">
        <v>12</v>
      </c>
      <c r="B679" s="1">
        <v>41127</v>
      </c>
      <c r="C679">
        <v>8</v>
      </c>
      <c r="D679">
        <v>2012</v>
      </c>
      <c r="E679" s="2">
        <v>1086231.47</v>
      </c>
      <c r="F679">
        <v>0</v>
      </c>
      <c r="G679" s="3">
        <v>84.83</v>
      </c>
      <c r="H679" s="2">
        <v>4.1029999999999998</v>
      </c>
      <c r="I679">
        <v>130.88967740000001</v>
      </c>
      <c r="J679" s="3">
        <v>11.627000000000001</v>
      </c>
    </row>
    <row r="680" spans="1:10" x14ac:dyDescent="0.25">
      <c r="A680">
        <v>12</v>
      </c>
      <c r="B680" s="1">
        <v>41067</v>
      </c>
      <c r="C680">
        <v>6</v>
      </c>
      <c r="D680">
        <v>2012</v>
      </c>
      <c r="E680" s="2">
        <v>1014898.78</v>
      </c>
      <c r="F680">
        <v>0</v>
      </c>
      <c r="G680" s="3">
        <v>89.13</v>
      </c>
      <c r="H680" s="2">
        <v>3.7650000000000001</v>
      </c>
      <c r="I680">
        <v>130.7196333</v>
      </c>
      <c r="J680" s="3">
        <v>10.926</v>
      </c>
    </row>
    <row r="681" spans="1:10" x14ac:dyDescent="0.25">
      <c r="A681">
        <v>12</v>
      </c>
      <c r="B681" s="1">
        <v>40976</v>
      </c>
      <c r="C681">
        <v>3</v>
      </c>
      <c r="D681">
        <v>2012</v>
      </c>
      <c r="E681" s="2">
        <v>958667.23</v>
      </c>
      <c r="F681">
        <v>0</v>
      </c>
      <c r="G681" s="3">
        <v>88.16</v>
      </c>
      <c r="H681" s="2">
        <v>3.76</v>
      </c>
      <c r="I681">
        <v>130.73787100000001</v>
      </c>
      <c r="J681" s="3">
        <v>10.926</v>
      </c>
    </row>
    <row r="682" spans="1:10" x14ac:dyDescent="0.25">
      <c r="A682">
        <v>12</v>
      </c>
      <c r="B682" s="1">
        <v>41190</v>
      </c>
      <c r="C682">
        <v>10</v>
      </c>
      <c r="D682">
        <v>2012</v>
      </c>
      <c r="E682" s="2">
        <v>984689.9</v>
      </c>
      <c r="F682">
        <v>0</v>
      </c>
      <c r="G682" s="3">
        <v>95.91</v>
      </c>
      <c r="H682" s="2">
        <v>3.8109999999999999</v>
      </c>
      <c r="I682">
        <v>130.7561613</v>
      </c>
      <c r="J682" s="3">
        <v>10.926</v>
      </c>
    </row>
    <row r="683" spans="1:10" x14ac:dyDescent="0.25">
      <c r="A683">
        <v>12</v>
      </c>
      <c r="B683" s="1">
        <v>41099</v>
      </c>
      <c r="C683">
        <v>7</v>
      </c>
      <c r="D683">
        <v>2012</v>
      </c>
      <c r="E683" s="2">
        <v>955146.04</v>
      </c>
      <c r="F683">
        <v>1</v>
      </c>
      <c r="G683" s="3">
        <v>88.52</v>
      </c>
      <c r="H683" s="2">
        <v>4.1239999999999997</v>
      </c>
      <c r="I683">
        <v>130.9325484</v>
      </c>
      <c r="J683" s="3">
        <v>10.926</v>
      </c>
    </row>
    <row r="684" spans="1:10" x14ac:dyDescent="0.25">
      <c r="A684">
        <v>12</v>
      </c>
      <c r="B684" s="1">
        <v>41039</v>
      </c>
      <c r="C684">
        <v>5</v>
      </c>
      <c r="D684">
        <v>2012</v>
      </c>
      <c r="E684" s="2">
        <v>979825.92</v>
      </c>
      <c r="F684">
        <v>0</v>
      </c>
      <c r="G684" s="3">
        <v>81.61</v>
      </c>
      <c r="H684" s="2">
        <v>3.9660000000000002</v>
      </c>
      <c r="I684">
        <v>131.0756667</v>
      </c>
      <c r="J684" s="3">
        <v>10.199</v>
      </c>
    </row>
    <row r="685" spans="1:10" x14ac:dyDescent="0.25">
      <c r="A685">
        <v>12</v>
      </c>
      <c r="B685" s="1">
        <v>41253</v>
      </c>
      <c r="C685">
        <v>12</v>
      </c>
      <c r="D685">
        <v>2012</v>
      </c>
      <c r="E685" s="2">
        <v>934917.47</v>
      </c>
      <c r="F685">
        <v>0</v>
      </c>
      <c r="G685" s="3">
        <v>71.739999999999995</v>
      </c>
      <c r="H685" s="2">
        <v>4.468</v>
      </c>
      <c r="I685">
        <v>131.1083333</v>
      </c>
      <c r="J685" s="3">
        <v>10.199</v>
      </c>
    </row>
    <row r="686" spans="1:10" x14ac:dyDescent="0.25">
      <c r="A686">
        <v>13</v>
      </c>
      <c r="B686" s="1">
        <v>40300</v>
      </c>
      <c r="C686">
        <v>5</v>
      </c>
      <c r="D686">
        <v>2010</v>
      </c>
      <c r="E686" s="2">
        <v>1967220.53</v>
      </c>
      <c r="F686">
        <v>0</v>
      </c>
      <c r="G686" s="3">
        <v>31.53</v>
      </c>
      <c r="H686" s="2">
        <v>2.6659999999999999</v>
      </c>
      <c r="I686">
        <v>126.4420645</v>
      </c>
      <c r="J686" s="3">
        <v>8.3160000000000007</v>
      </c>
    </row>
    <row r="687" spans="1:10" x14ac:dyDescent="0.25">
      <c r="A687">
        <v>13</v>
      </c>
      <c r="B687" s="1">
        <v>40514</v>
      </c>
      <c r="C687">
        <v>12</v>
      </c>
      <c r="D687">
        <v>2010</v>
      </c>
      <c r="E687" s="2">
        <v>2030933.46</v>
      </c>
      <c r="F687">
        <v>1</v>
      </c>
      <c r="G687" s="3">
        <v>33.159999999999997</v>
      </c>
      <c r="H687" s="2">
        <v>2.6709999999999998</v>
      </c>
      <c r="I687">
        <v>126.49625810000001</v>
      </c>
      <c r="J687" s="3">
        <v>8.3160000000000007</v>
      </c>
    </row>
    <row r="688" spans="1:10" x14ac:dyDescent="0.25">
      <c r="A688">
        <v>13</v>
      </c>
      <c r="B688" s="1">
        <v>40301</v>
      </c>
      <c r="C688">
        <v>5</v>
      </c>
      <c r="D688">
        <v>2010</v>
      </c>
      <c r="E688" s="2">
        <v>1939980.43</v>
      </c>
      <c r="F688">
        <v>0</v>
      </c>
      <c r="G688" s="3">
        <v>40.65</v>
      </c>
      <c r="H688" s="2">
        <v>2.681</v>
      </c>
      <c r="I688">
        <v>126.5782857</v>
      </c>
      <c r="J688" s="3">
        <v>8.3160000000000007</v>
      </c>
    </row>
    <row r="689" spans="1:10" x14ac:dyDescent="0.25">
      <c r="A689">
        <v>13</v>
      </c>
      <c r="B689" s="1">
        <v>40515</v>
      </c>
      <c r="C689">
        <v>12</v>
      </c>
      <c r="D689">
        <v>2010</v>
      </c>
      <c r="E689" s="2">
        <v>1840686.94</v>
      </c>
      <c r="F689">
        <v>0</v>
      </c>
      <c r="G689" s="3">
        <v>37.619999999999997</v>
      </c>
      <c r="H689" s="2">
        <v>2.7330000000000001</v>
      </c>
      <c r="I689">
        <v>126.60428570000001</v>
      </c>
      <c r="J689" s="3">
        <v>8.3160000000000007</v>
      </c>
    </row>
    <row r="690" spans="1:10" x14ac:dyDescent="0.25">
      <c r="A690">
        <v>13</v>
      </c>
      <c r="B690" s="1">
        <v>40213</v>
      </c>
      <c r="C690">
        <v>2</v>
      </c>
      <c r="D690">
        <v>2010</v>
      </c>
      <c r="E690" s="2">
        <v>2142482.14</v>
      </c>
      <c r="F690">
        <v>0</v>
      </c>
      <c r="G690" s="3">
        <v>42.15</v>
      </c>
      <c r="H690" s="2">
        <v>2.8420000000000001</v>
      </c>
      <c r="I690">
        <v>126.6034839</v>
      </c>
      <c r="J690" s="3">
        <v>8.1069999999999993</v>
      </c>
    </row>
    <row r="691" spans="1:10" x14ac:dyDescent="0.25">
      <c r="A691">
        <v>13</v>
      </c>
      <c r="B691" s="1">
        <v>40425</v>
      </c>
      <c r="C691">
        <v>9</v>
      </c>
      <c r="D691">
        <v>2010</v>
      </c>
      <c r="E691" s="2">
        <v>1898321.33</v>
      </c>
      <c r="F691">
        <v>0</v>
      </c>
      <c r="G691" s="3">
        <v>38.97</v>
      </c>
      <c r="H691" s="2">
        <v>2.8769999999999998</v>
      </c>
      <c r="I691">
        <v>126.6019032</v>
      </c>
      <c r="J691" s="3">
        <v>8.1069999999999993</v>
      </c>
    </row>
    <row r="692" spans="1:10" x14ac:dyDescent="0.25">
      <c r="A692">
        <v>13</v>
      </c>
      <c r="B692" s="1">
        <v>40364</v>
      </c>
      <c r="C692">
        <v>7</v>
      </c>
      <c r="D692">
        <v>2010</v>
      </c>
      <c r="E692" s="2">
        <v>2005478.46</v>
      </c>
      <c r="F692">
        <v>0</v>
      </c>
      <c r="G692" s="3">
        <v>44.42</v>
      </c>
      <c r="H692" s="2">
        <v>2.948</v>
      </c>
      <c r="I692">
        <v>126.2898</v>
      </c>
      <c r="J692" s="3">
        <v>8.1069999999999993</v>
      </c>
    </row>
    <row r="693" spans="1:10" x14ac:dyDescent="0.25">
      <c r="A693">
        <v>13</v>
      </c>
      <c r="B693" s="1">
        <v>40274</v>
      </c>
      <c r="C693">
        <v>4</v>
      </c>
      <c r="D693">
        <v>2010</v>
      </c>
      <c r="E693" s="2">
        <v>2022705.22</v>
      </c>
      <c r="F693">
        <v>0</v>
      </c>
      <c r="G693" s="3">
        <v>59.85</v>
      </c>
      <c r="H693" s="2">
        <v>2.871</v>
      </c>
      <c r="I693">
        <v>126.1360645</v>
      </c>
      <c r="J693" s="3">
        <v>8.1069999999999993</v>
      </c>
    </row>
    <row r="694" spans="1:10" x14ac:dyDescent="0.25">
      <c r="A694">
        <v>13</v>
      </c>
      <c r="B694" s="1">
        <v>40488</v>
      </c>
      <c r="C694">
        <v>11</v>
      </c>
      <c r="D694">
        <v>2010</v>
      </c>
      <c r="E694" s="2">
        <v>2037880.96</v>
      </c>
      <c r="F694">
        <v>0</v>
      </c>
      <c r="G694" s="3">
        <v>65.239999999999995</v>
      </c>
      <c r="H694" s="2">
        <v>2.8410000000000002</v>
      </c>
      <c r="I694">
        <v>126.1119032</v>
      </c>
      <c r="J694" s="3">
        <v>8.1069999999999993</v>
      </c>
    </row>
    <row r="695" spans="1:10" x14ac:dyDescent="0.25">
      <c r="A695">
        <v>13</v>
      </c>
      <c r="B695" s="1">
        <v>40216</v>
      </c>
      <c r="C695">
        <v>2</v>
      </c>
      <c r="D695">
        <v>2010</v>
      </c>
      <c r="E695" s="2">
        <v>2018314.71</v>
      </c>
      <c r="F695">
        <v>0</v>
      </c>
      <c r="G695" s="3">
        <v>78.819999999999993</v>
      </c>
      <c r="H695" s="2">
        <v>2.8140000000000001</v>
      </c>
      <c r="I695">
        <v>126.1392</v>
      </c>
      <c r="J695" s="3">
        <v>7.9509999999999996</v>
      </c>
    </row>
    <row r="696" spans="1:10" x14ac:dyDescent="0.25">
      <c r="A696">
        <v>13</v>
      </c>
      <c r="B696" s="1">
        <v>40428</v>
      </c>
      <c r="C696">
        <v>9</v>
      </c>
      <c r="D696">
        <v>2010</v>
      </c>
      <c r="E696" s="2">
        <v>1870843.9</v>
      </c>
      <c r="F696">
        <v>0</v>
      </c>
      <c r="G696" s="3">
        <v>71.33</v>
      </c>
      <c r="H696" s="2">
        <v>2.802</v>
      </c>
      <c r="I696">
        <v>126.15179999999999</v>
      </c>
      <c r="J696" s="3">
        <v>7.9509999999999996</v>
      </c>
    </row>
    <row r="697" spans="1:10" x14ac:dyDescent="0.25">
      <c r="A697">
        <v>13</v>
      </c>
      <c r="B697" s="1">
        <v>40337</v>
      </c>
      <c r="C697">
        <v>6</v>
      </c>
      <c r="D697">
        <v>2010</v>
      </c>
      <c r="E697" s="2">
        <v>1969121.45</v>
      </c>
      <c r="F697">
        <v>0</v>
      </c>
      <c r="G697" s="3">
        <v>81.239999999999995</v>
      </c>
      <c r="H697" s="2">
        <v>2.802</v>
      </c>
      <c r="I697">
        <v>126.0854516</v>
      </c>
      <c r="J697" s="3">
        <v>7.9509999999999996</v>
      </c>
    </row>
    <row r="698" spans="1:10" x14ac:dyDescent="0.25">
      <c r="A698">
        <v>13</v>
      </c>
      <c r="B698" s="1">
        <v>40246</v>
      </c>
      <c r="C698">
        <v>3</v>
      </c>
      <c r="D698">
        <v>2010</v>
      </c>
      <c r="E698" s="2">
        <v>1911852.58</v>
      </c>
      <c r="F698">
        <v>0</v>
      </c>
      <c r="G698" s="3">
        <v>65.709999999999994</v>
      </c>
      <c r="H698" s="2">
        <v>2.8679999999999999</v>
      </c>
      <c r="I698">
        <v>126.1019355</v>
      </c>
      <c r="J698" s="3">
        <v>7.9509999999999996</v>
      </c>
    </row>
    <row r="699" spans="1:10" x14ac:dyDescent="0.25">
      <c r="A699">
        <v>13</v>
      </c>
      <c r="B699" s="1">
        <v>40460</v>
      </c>
      <c r="C699">
        <v>10</v>
      </c>
      <c r="D699">
        <v>2010</v>
      </c>
      <c r="E699" s="2">
        <v>1772143.94</v>
      </c>
      <c r="F699">
        <v>1</v>
      </c>
      <c r="G699" s="3">
        <v>65.739999999999995</v>
      </c>
      <c r="H699" s="2">
        <v>2.87</v>
      </c>
      <c r="I699">
        <v>126.1145806</v>
      </c>
      <c r="J699" s="3">
        <v>7.9509999999999996</v>
      </c>
    </row>
    <row r="700" spans="1:10" x14ac:dyDescent="0.25">
      <c r="A700">
        <v>13</v>
      </c>
      <c r="B700" s="1">
        <v>40188</v>
      </c>
      <c r="C700">
        <v>1</v>
      </c>
      <c r="D700">
        <v>2010</v>
      </c>
      <c r="E700" s="2">
        <v>1765584.48</v>
      </c>
      <c r="F700">
        <v>0</v>
      </c>
      <c r="G700" s="3">
        <v>68.739999999999995</v>
      </c>
      <c r="H700" s="2">
        <v>2.8530000000000002</v>
      </c>
      <c r="I700">
        <v>126.2346</v>
      </c>
      <c r="J700" s="3">
        <v>7.7949999999999999</v>
      </c>
    </row>
    <row r="701" spans="1:10" x14ac:dyDescent="0.25">
      <c r="A701">
        <v>13</v>
      </c>
      <c r="B701" s="1">
        <v>40400</v>
      </c>
      <c r="C701">
        <v>8</v>
      </c>
      <c r="D701">
        <v>2010</v>
      </c>
      <c r="E701" s="2">
        <v>1871924.07</v>
      </c>
      <c r="F701">
        <v>0</v>
      </c>
      <c r="G701" s="3">
        <v>63.03</v>
      </c>
      <c r="H701" s="2">
        <v>2.8410000000000002</v>
      </c>
      <c r="I701">
        <v>126.2791667</v>
      </c>
      <c r="J701" s="3">
        <v>7.7949999999999999</v>
      </c>
    </row>
    <row r="702" spans="1:10" x14ac:dyDescent="0.25">
      <c r="A702">
        <v>13</v>
      </c>
      <c r="B702" s="1">
        <v>40309</v>
      </c>
      <c r="C702">
        <v>5</v>
      </c>
      <c r="D702">
        <v>2010</v>
      </c>
      <c r="E702" s="2">
        <v>1854967.66</v>
      </c>
      <c r="F702">
        <v>0</v>
      </c>
      <c r="G702" s="3">
        <v>49.96</v>
      </c>
      <c r="H702" s="2">
        <v>2.831</v>
      </c>
      <c r="I702">
        <v>126.4912903</v>
      </c>
      <c r="J702" s="3">
        <v>7.7949999999999999</v>
      </c>
    </row>
    <row r="703" spans="1:10" x14ac:dyDescent="0.25">
      <c r="A703">
        <v>13</v>
      </c>
      <c r="B703" s="1">
        <v>40523</v>
      </c>
      <c r="C703">
        <v>12</v>
      </c>
      <c r="D703">
        <v>2010</v>
      </c>
      <c r="E703" s="2">
        <v>1939964.63</v>
      </c>
      <c r="F703">
        <v>0</v>
      </c>
      <c r="G703" s="3">
        <v>42.55</v>
      </c>
      <c r="H703" s="2">
        <v>2.831</v>
      </c>
      <c r="I703">
        <v>126.54616129999999</v>
      </c>
      <c r="J703" s="3">
        <v>7.7949999999999999</v>
      </c>
    </row>
    <row r="704" spans="1:10" x14ac:dyDescent="0.25">
      <c r="A704">
        <v>13</v>
      </c>
      <c r="B704" s="1">
        <v>40249</v>
      </c>
      <c r="C704">
        <v>3</v>
      </c>
      <c r="D704">
        <v>2010</v>
      </c>
      <c r="E704" s="2">
        <v>2083379.89</v>
      </c>
      <c r="F704">
        <v>0</v>
      </c>
      <c r="G704" s="3">
        <v>25.8</v>
      </c>
      <c r="H704" s="2">
        <v>2.8119999999999998</v>
      </c>
      <c r="I704">
        <v>126.7313333</v>
      </c>
      <c r="J704" s="3">
        <v>7.7949999999999999</v>
      </c>
    </row>
    <row r="705" spans="1:10" x14ac:dyDescent="0.25">
      <c r="A705">
        <v>13</v>
      </c>
      <c r="B705" s="1">
        <v>40463</v>
      </c>
      <c r="C705">
        <v>10</v>
      </c>
      <c r="D705">
        <v>2010</v>
      </c>
      <c r="E705" s="2">
        <v>2461468.35</v>
      </c>
      <c r="F705">
        <v>0</v>
      </c>
      <c r="G705" s="3">
        <v>36.78</v>
      </c>
      <c r="H705" s="2">
        <v>2.8170000000000002</v>
      </c>
      <c r="I705">
        <v>126.79340000000001</v>
      </c>
      <c r="J705" s="3">
        <v>7.7949999999999999</v>
      </c>
    </row>
    <row r="706" spans="1:10" x14ac:dyDescent="0.25">
      <c r="A706">
        <v>13</v>
      </c>
      <c r="B706" s="1">
        <v>40725</v>
      </c>
      <c r="C706">
        <v>7</v>
      </c>
      <c r="D706">
        <v>2011</v>
      </c>
      <c r="E706" s="2">
        <v>1744544.39</v>
      </c>
      <c r="F706">
        <v>0</v>
      </c>
      <c r="G706" s="3">
        <v>16.940000000000001</v>
      </c>
      <c r="H706" s="2">
        <v>2.891</v>
      </c>
      <c r="I706">
        <v>127.1917742</v>
      </c>
      <c r="J706" s="3">
        <v>7.47</v>
      </c>
    </row>
    <row r="707" spans="1:10" x14ac:dyDescent="0.25">
      <c r="A707">
        <v>13</v>
      </c>
      <c r="B707" s="1">
        <v>40635</v>
      </c>
      <c r="C707">
        <v>4</v>
      </c>
      <c r="D707">
        <v>2011</v>
      </c>
      <c r="E707" s="2">
        <v>1848186.58</v>
      </c>
      <c r="F707">
        <v>0</v>
      </c>
      <c r="G707" s="3">
        <v>23.35</v>
      </c>
      <c r="H707" s="2">
        <v>2.9740000000000002</v>
      </c>
      <c r="I707">
        <v>127.7195806</v>
      </c>
      <c r="J707" s="3">
        <v>7.47</v>
      </c>
    </row>
    <row r="708" spans="1:10" x14ac:dyDescent="0.25">
      <c r="A708">
        <v>13</v>
      </c>
      <c r="B708" s="1">
        <v>40849</v>
      </c>
      <c r="C708">
        <v>11</v>
      </c>
      <c r="D708">
        <v>2011</v>
      </c>
      <c r="E708" s="2">
        <v>1944438.9</v>
      </c>
      <c r="F708">
        <v>1</v>
      </c>
      <c r="G708" s="3">
        <v>30.83</v>
      </c>
      <c r="H708" s="2">
        <v>3.0339999999999998</v>
      </c>
      <c r="I708">
        <v>127.859129</v>
      </c>
      <c r="J708" s="3">
        <v>7.47</v>
      </c>
    </row>
    <row r="709" spans="1:10" x14ac:dyDescent="0.25">
      <c r="A709">
        <v>13</v>
      </c>
      <c r="B709" s="1">
        <v>40636</v>
      </c>
      <c r="C709">
        <v>4</v>
      </c>
      <c r="D709">
        <v>2011</v>
      </c>
      <c r="E709" s="2">
        <v>1894960.68</v>
      </c>
      <c r="F709">
        <v>0</v>
      </c>
      <c r="G709" s="3">
        <v>34.229999999999997</v>
      </c>
      <c r="H709" s="2">
        <v>3.23</v>
      </c>
      <c r="I709">
        <v>128.26474999999999</v>
      </c>
      <c r="J709" s="3">
        <v>7.47</v>
      </c>
    </row>
    <row r="710" spans="1:10" x14ac:dyDescent="0.25">
      <c r="A710">
        <v>13</v>
      </c>
      <c r="B710" s="1">
        <v>40850</v>
      </c>
      <c r="C710">
        <v>11</v>
      </c>
      <c r="D710">
        <v>2011</v>
      </c>
      <c r="E710" s="2">
        <v>1852432.58</v>
      </c>
      <c r="F710">
        <v>0</v>
      </c>
      <c r="G710" s="3">
        <v>41.28</v>
      </c>
      <c r="H710" s="2">
        <v>3.3460000000000001</v>
      </c>
      <c r="I710">
        <v>128.39949999999999</v>
      </c>
      <c r="J710" s="3">
        <v>7.47</v>
      </c>
    </row>
    <row r="711" spans="1:10" x14ac:dyDescent="0.25">
      <c r="A711">
        <v>13</v>
      </c>
      <c r="B711" s="1">
        <v>40547</v>
      </c>
      <c r="C711">
        <v>1</v>
      </c>
      <c r="D711">
        <v>2011</v>
      </c>
      <c r="E711" s="2">
        <v>1864238.64</v>
      </c>
      <c r="F711">
        <v>0</v>
      </c>
      <c r="G711" s="3">
        <v>42.49</v>
      </c>
      <c r="H711" s="2">
        <v>3.4870000000000001</v>
      </c>
      <c r="I711">
        <v>128.71993549999999</v>
      </c>
      <c r="J711" s="3">
        <v>7.1929999999999996</v>
      </c>
    </row>
    <row r="712" spans="1:10" x14ac:dyDescent="0.25">
      <c r="A712">
        <v>13</v>
      </c>
      <c r="B712" s="1">
        <v>40759</v>
      </c>
      <c r="C712">
        <v>8</v>
      </c>
      <c r="D712">
        <v>2011</v>
      </c>
      <c r="E712" s="2">
        <v>1887465.04</v>
      </c>
      <c r="F712">
        <v>0</v>
      </c>
      <c r="G712" s="3">
        <v>42.75</v>
      </c>
      <c r="H712" s="2">
        <v>3.5470000000000002</v>
      </c>
      <c r="I712">
        <v>128.82380649999999</v>
      </c>
      <c r="J712" s="3">
        <v>7.1929999999999996</v>
      </c>
    </row>
    <row r="713" spans="1:10" x14ac:dyDescent="0.25">
      <c r="A713">
        <v>13</v>
      </c>
      <c r="B713" s="1">
        <v>40699</v>
      </c>
      <c r="C713">
        <v>6</v>
      </c>
      <c r="D713">
        <v>2011</v>
      </c>
      <c r="E713" s="2">
        <v>1986380.4</v>
      </c>
      <c r="F713">
        <v>0</v>
      </c>
      <c r="G713" s="3">
        <v>47.75</v>
      </c>
      <c r="H713" s="2">
        <v>3.7440000000000002</v>
      </c>
      <c r="I713">
        <v>129.04443330000001</v>
      </c>
      <c r="J713" s="3">
        <v>7.1929999999999996</v>
      </c>
    </row>
    <row r="714" spans="1:10" x14ac:dyDescent="0.25">
      <c r="A714">
        <v>13</v>
      </c>
      <c r="B714" s="1">
        <v>40608</v>
      </c>
      <c r="C714">
        <v>3</v>
      </c>
      <c r="D714">
        <v>2011</v>
      </c>
      <c r="E714" s="2">
        <v>1935593.87</v>
      </c>
      <c r="F714">
        <v>0</v>
      </c>
      <c r="G714" s="3">
        <v>52.76</v>
      </c>
      <c r="H714" s="2">
        <v>3.7519999999999998</v>
      </c>
      <c r="I714">
        <v>129.04903229999999</v>
      </c>
      <c r="J714" s="3">
        <v>7.1929999999999996</v>
      </c>
    </row>
    <row r="715" spans="1:10" x14ac:dyDescent="0.25">
      <c r="A715">
        <v>13</v>
      </c>
      <c r="B715" s="1">
        <v>40822</v>
      </c>
      <c r="C715">
        <v>10</v>
      </c>
      <c r="D715">
        <v>2011</v>
      </c>
      <c r="E715" s="2">
        <v>1997816.98</v>
      </c>
      <c r="F715">
        <v>0</v>
      </c>
      <c r="G715" s="3">
        <v>61.39</v>
      </c>
      <c r="H715" s="2">
        <v>3.7320000000000002</v>
      </c>
      <c r="I715">
        <v>129.03570970000001</v>
      </c>
      <c r="J715" s="3">
        <v>7.1929999999999996</v>
      </c>
    </row>
    <row r="716" spans="1:10" x14ac:dyDescent="0.25">
      <c r="A716">
        <v>13</v>
      </c>
      <c r="B716" s="1">
        <v>40550</v>
      </c>
      <c r="C716">
        <v>1</v>
      </c>
      <c r="D716">
        <v>2011</v>
      </c>
      <c r="E716" s="2">
        <v>2048035.74</v>
      </c>
      <c r="F716">
        <v>0</v>
      </c>
      <c r="G716" s="3">
        <v>74.290000000000006</v>
      </c>
      <c r="H716" s="2">
        <v>3.613</v>
      </c>
      <c r="I716">
        <v>129.08940000000001</v>
      </c>
      <c r="J716" s="3">
        <v>6.8769999999999998</v>
      </c>
    </row>
    <row r="717" spans="1:10" x14ac:dyDescent="0.25">
      <c r="A717">
        <v>13</v>
      </c>
      <c r="B717" s="1">
        <v>40762</v>
      </c>
      <c r="C717">
        <v>8</v>
      </c>
      <c r="D717">
        <v>2011</v>
      </c>
      <c r="E717" s="2">
        <v>2021699.38</v>
      </c>
      <c r="F717">
        <v>0</v>
      </c>
      <c r="G717" s="3">
        <v>77.3</v>
      </c>
      <c r="H717" s="2">
        <v>3.5630000000000002</v>
      </c>
      <c r="I717">
        <v>129.11250000000001</v>
      </c>
      <c r="J717" s="3">
        <v>6.8769999999999998</v>
      </c>
    </row>
    <row r="718" spans="1:10" x14ac:dyDescent="0.25">
      <c r="A718">
        <v>13</v>
      </c>
      <c r="B718" s="1">
        <v>40671</v>
      </c>
      <c r="C718">
        <v>5</v>
      </c>
      <c r="D718">
        <v>2011</v>
      </c>
      <c r="E718" s="2">
        <v>2076231.8</v>
      </c>
      <c r="F718">
        <v>0</v>
      </c>
      <c r="G718" s="3">
        <v>75.56</v>
      </c>
      <c r="H718" s="2">
        <v>3.5950000000000002</v>
      </c>
      <c r="I718">
        <v>129.18464520000001</v>
      </c>
      <c r="J718" s="3">
        <v>6.8769999999999998</v>
      </c>
    </row>
    <row r="719" spans="1:10" x14ac:dyDescent="0.25">
      <c r="A719">
        <v>13</v>
      </c>
      <c r="B719" s="1">
        <v>40885</v>
      </c>
      <c r="C719">
        <v>12</v>
      </c>
      <c r="D719">
        <v>2011</v>
      </c>
      <c r="E719" s="2">
        <v>1970341.38</v>
      </c>
      <c r="F719">
        <v>0</v>
      </c>
      <c r="G719" s="3">
        <v>75.95</v>
      </c>
      <c r="H719" s="2">
        <v>3.6059999999999999</v>
      </c>
      <c r="I719">
        <v>129.2015806</v>
      </c>
      <c r="J719" s="3">
        <v>6.8769999999999998</v>
      </c>
    </row>
    <row r="720" spans="1:10" x14ac:dyDescent="0.25">
      <c r="A720">
        <v>13</v>
      </c>
      <c r="B720" s="1">
        <v>40583</v>
      </c>
      <c r="C720">
        <v>2</v>
      </c>
      <c r="D720">
        <v>2011</v>
      </c>
      <c r="E720" s="2">
        <v>1953628.82</v>
      </c>
      <c r="F720">
        <v>0</v>
      </c>
      <c r="G720" s="3">
        <v>77</v>
      </c>
      <c r="H720" s="2">
        <v>3.58</v>
      </c>
      <c r="I720">
        <v>129.32593550000001</v>
      </c>
      <c r="J720" s="3">
        <v>6.8769999999999998</v>
      </c>
    </row>
    <row r="721" spans="1:10" x14ac:dyDescent="0.25">
      <c r="A721">
        <v>13</v>
      </c>
      <c r="B721" s="1">
        <v>40795</v>
      </c>
      <c r="C721">
        <v>9</v>
      </c>
      <c r="D721">
        <v>2011</v>
      </c>
      <c r="E721" s="2">
        <v>1872921.31</v>
      </c>
      <c r="F721">
        <v>1</v>
      </c>
      <c r="G721" s="3">
        <v>70.19</v>
      </c>
      <c r="H721" s="2">
        <v>3.6190000000000002</v>
      </c>
      <c r="I721">
        <v>129.36861289999999</v>
      </c>
      <c r="J721" s="3">
        <v>6.8769999999999998</v>
      </c>
    </row>
    <row r="722" spans="1:10" x14ac:dyDescent="0.25">
      <c r="A722">
        <v>13</v>
      </c>
      <c r="B722" s="1">
        <v>40734</v>
      </c>
      <c r="C722">
        <v>7</v>
      </c>
      <c r="D722">
        <v>2011</v>
      </c>
      <c r="E722" s="2">
        <v>2067232.56</v>
      </c>
      <c r="F722">
        <v>0</v>
      </c>
      <c r="G722" s="3">
        <v>60.62</v>
      </c>
      <c r="H722" s="2">
        <v>3.5920000000000001</v>
      </c>
      <c r="I722">
        <v>129.69380000000001</v>
      </c>
      <c r="J722" s="3">
        <v>6.3920000000000003</v>
      </c>
    </row>
    <row r="723" spans="1:10" x14ac:dyDescent="0.25">
      <c r="A723">
        <v>13</v>
      </c>
      <c r="B723" s="1">
        <v>40644</v>
      </c>
      <c r="C723">
        <v>4</v>
      </c>
      <c r="D723">
        <v>2011</v>
      </c>
      <c r="E723" s="2">
        <v>2036317.54</v>
      </c>
      <c r="F723">
        <v>0</v>
      </c>
      <c r="G723" s="3">
        <v>43.51</v>
      </c>
      <c r="H723" s="2">
        <v>3.5379999999999998</v>
      </c>
      <c r="I723">
        <v>129.8051935</v>
      </c>
      <c r="J723" s="3">
        <v>6.3920000000000003</v>
      </c>
    </row>
    <row r="724" spans="1:10" x14ac:dyDescent="0.25">
      <c r="A724">
        <v>13</v>
      </c>
      <c r="B724" s="1">
        <v>40858</v>
      </c>
      <c r="C724">
        <v>11</v>
      </c>
      <c r="D724">
        <v>2011</v>
      </c>
      <c r="E724" s="2">
        <v>2111592.09</v>
      </c>
      <c r="F724">
        <v>0</v>
      </c>
      <c r="G724" s="3">
        <v>33.799999999999997</v>
      </c>
      <c r="H724" s="2">
        <v>3.5129999999999999</v>
      </c>
      <c r="I724">
        <v>129.81670969999999</v>
      </c>
      <c r="J724" s="3">
        <v>6.3920000000000003</v>
      </c>
    </row>
    <row r="725" spans="1:10" x14ac:dyDescent="0.25">
      <c r="A725">
        <v>13</v>
      </c>
      <c r="B725" s="1">
        <v>40586</v>
      </c>
      <c r="C725">
        <v>2</v>
      </c>
      <c r="D725">
        <v>2011</v>
      </c>
      <c r="E725" s="2">
        <v>2051315.66</v>
      </c>
      <c r="F725">
        <v>0</v>
      </c>
      <c r="G725" s="3">
        <v>33.94</v>
      </c>
      <c r="H725" s="2">
        <v>3.3889999999999998</v>
      </c>
      <c r="I725">
        <v>129.84596669999999</v>
      </c>
      <c r="J725" s="3">
        <v>6.3920000000000003</v>
      </c>
    </row>
    <row r="726" spans="1:10" x14ac:dyDescent="0.25">
      <c r="A726">
        <v>13</v>
      </c>
      <c r="B726" s="1">
        <v>40798</v>
      </c>
      <c r="C726">
        <v>9</v>
      </c>
      <c r="D726">
        <v>2011</v>
      </c>
      <c r="E726" s="2">
        <v>2462779.06</v>
      </c>
      <c r="F726">
        <v>0</v>
      </c>
      <c r="G726" s="3">
        <v>24.82</v>
      </c>
      <c r="H726" s="2">
        <v>3.3410000000000002</v>
      </c>
      <c r="I726">
        <v>129.85553329999999</v>
      </c>
      <c r="J726" s="3">
        <v>6.3920000000000003</v>
      </c>
    </row>
    <row r="727" spans="1:10" x14ac:dyDescent="0.25">
      <c r="A727">
        <v>13</v>
      </c>
      <c r="B727" s="1">
        <v>41061</v>
      </c>
      <c r="C727">
        <v>6</v>
      </c>
      <c r="D727">
        <v>2012</v>
      </c>
      <c r="E727" s="2">
        <v>1865752.78</v>
      </c>
      <c r="F727">
        <v>0</v>
      </c>
      <c r="G727" s="3">
        <v>33.799999999999997</v>
      </c>
      <c r="H727" s="2">
        <v>3.08</v>
      </c>
      <c r="I727">
        <v>130.15751610000001</v>
      </c>
      <c r="J727" s="3">
        <v>6.1040000000000001</v>
      </c>
    </row>
    <row r="728" spans="1:10" x14ac:dyDescent="0.25">
      <c r="A728">
        <v>13</v>
      </c>
      <c r="B728" s="1">
        <v>40970</v>
      </c>
      <c r="C728">
        <v>3</v>
      </c>
      <c r="D728">
        <v>2012</v>
      </c>
      <c r="E728" s="2">
        <v>1927780.74</v>
      </c>
      <c r="F728">
        <v>0</v>
      </c>
      <c r="G728" s="3">
        <v>31.39</v>
      </c>
      <c r="H728" s="2">
        <v>3.077</v>
      </c>
      <c r="I728">
        <v>130.34967739999999</v>
      </c>
      <c r="J728" s="3">
        <v>6.1040000000000001</v>
      </c>
    </row>
    <row r="729" spans="1:10" x14ac:dyDescent="0.25">
      <c r="A729">
        <v>13</v>
      </c>
      <c r="B729" s="1">
        <v>41184</v>
      </c>
      <c r="C729">
        <v>10</v>
      </c>
      <c r="D729">
        <v>2012</v>
      </c>
      <c r="E729" s="2">
        <v>2069284.57</v>
      </c>
      <c r="F729">
        <v>1</v>
      </c>
      <c r="G729" s="3">
        <v>33.729999999999997</v>
      </c>
      <c r="H729" s="2">
        <v>3.1160000000000001</v>
      </c>
      <c r="I729">
        <v>130.3849032</v>
      </c>
      <c r="J729" s="3">
        <v>6.1040000000000001</v>
      </c>
    </row>
    <row r="730" spans="1:10" x14ac:dyDescent="0.25">
      <c r="A730">
        <v>13</v>
      </c>
      <c r="B730" s="1">
        <v>40942</v>
      </c>
      <c r="C730">
        <v>2</v>
      </c>
      <c r="D730">
        <v>2012</v>
      </c>
      <c r="E730" s="2">
        <v>1969742.76</v>
      </c>
      <c r="F730">
        <v>0</v>
      </c>
      <c r="G730" s="3">
        <v>32.36</v>
      </c>
      <c r="H730" s="2">
        <v>3.242</v>
      </c>
      <c r="I730">
        <v>130.64579309999999</v>
      </c>
      <c r="J730" s="3">
        <v>6.1040000000000001</v>
      </c>
    </row>
    <row r="731" spans="1:10" x14ac:dyDescent="0.25">
      <c r="A731">
        <v>13</v>
      </c>
      <c r="B731" s="1">
        <v>41155</v>
      </c>
      <c r="C731">
        <v>9</v>
      </c>
      <c r="D731">
        <v>2012</v>
      </c>
      <c r="E731" s="2">
        <v>1986445.65</v>
      </c>
      <c r="F731">
        <v>0</v>
      </c>
      <c r="G731" s="3">
        <v>38.24</v>
      </c>
      <c r="H731" s="2">
        <v>3.38</v>
      </c>
      <c r="I731">
        <v>130.74137930000001</v>
      </c>
      <c r="J731" s="3">
        <v>6.1040000000000001</v>
      </c>
    </row>
    <row r="732" spans="1:10" x14ac:dyDescent="0.25">
      <c r="A732">
        <v>13</v>
      </c>
      <c r="B732" s="1">
        <v>41064</v>
      </c>
      <c r="C732">
        <v>6</v>
      </c>
      <c r="D732">
        <v>2012</v>
      </c>
      <c r="E732" s="2">
        <v>2271614.7599999998</v>
      </c>
      <c r="F732">
        <v>0</v>
      </c>
      <c r="G732" s="3">
        <v>48.85</v>
      </c>
      <c r="H732" s="2">
        <v>3.7930000000000001</v>
      </c>
      <c r="I732">
        <v>131.03754839999999</v>
      </c>
      <c r="J732" s="3">
        <v>5.9649999999999999</v>
      </c>
    </row>
    <row r="733" spans="1:10" x14ac:dyDescent="0.25">
      <c r="A733">
        <v>13</v>
      </c>
      <c r="B733" s="1">
        <v>41004</v>
      </c>
      <c r="C733">
        <v>4</v>
      </c>
      <c r="D733">
        <v>2012</v>
      </c>
      <c r="E733" s="2">
        <v>1995994.51</v>
      </c>
      <c r="F733">
        <v>0</v>
      </c>
      <c r="G733" s="3">
        <v>54.41</v>
      </c>
      <c r="H733" s="2">
        <v>3.831</v>
      </c>
      <c r="I733">
        <v>131.136</v>
      </c>
      <c r="J733" s="3">
        <v>5.9649999999999999</v>
      </c>
    </row>
    <row r="734" spans="1:10" x14ac:dyDescent="0.25">
      <c r="A734">
        <v>13</v>
      </c>
      <c r="B734" s="1">
        <v>41218</v>
      </c>
      <c r="C734">
        <v>11</v>
      </c>
      <c r="D734">
        <v>2012</v>
      </c>
      <c r="E734" s="2">
        <v>2080764.17</v>
      </c>
      <c r="F734">
        <v>0</v>
      </c>
      <c r="G734" s="3">
        <v>56.47</v>
      </c>
      <c r="H734" s="2">
        <v>3.8090000000000002</v>
      </c>
      <c r="I734">
        <v>131.1453333</v>
      </c>
      <c r="J734" s="3">
        <v>5.9649999999999999</v>
      </c>
    </row>
    <row r="735" spans="1:10" x14ac:dyDescent="0.25">
      <c r="A735">
        <v>13</v>
      </c>
      <c r="B735" s="1">
        <v>40914</v>
      </c>
      <c r="C735">
        <v>1</v>
      </c>
      <c r="D735">
        <v>2012</v>
      </c>
      <c r="E735" s="2">
        <v>2035431.39</v>
      </c>
      <c r="F735">
        <v>0</v>
      </c>
      <c r="G735" s="3">
        <v>61.11</v>
      </c>
      <c r="H735" s="2">
        <v>3.7879999999999998</v>
      </c>
      <c r="I735">
        <v>130.95922580000001</v>
      </c>
      <c r="J735" s="3">
        <v>5.9649999999999999</v>
      </c>
    </row>
    <row r="736" spans="1:10" x14ac:dyDescent="0.25">
      <c r="A736">
        <v>13</v>
      </c>
      <c r="B736" s="1">
        <v>41127</v>
      </c>
      <c r="C736">
        <v>8</v>
      </c>
      <c r="D736">
        <v>2012</v>
      </c>
      <c r="E736" s="2">
        <v>2182437.9</v>
      </c>
      <c r="F736">
        <v>0</v>
      </c>
      <c r="G736" s="3">
        <v>68.400000000000006</v>
      </c>
      <c r="H736" s="2">
        <v>3.7759999999999998</v>
      </c>
      <c r="I736">
        <v>130.88967740000001</v>
      </c>
      <c r="J736" s="3">
        <v>5.9649999999999999</v>
      </c>
    </row>
    <row r="737" spans="1:10" x14ac:dyDescent="0.25">
      <c r="A737">
        <v>13</v>
      </c>
      <c r="B737" s="1">
        <v>41067</v>
      </c>
      <c r="C737">
        <v>6</v>
      </c>
      <c r="D737">
        <v>2012</v>
      </c>
      <c r="E737" s="2">
        <v>2184980.35</v>
      </c>
      <c r="F737">
        <v>0</v>
      </c>
      <c r="G737" s="3">
        <v>79.23</v>
      </c>
      <c r="H737" s="2">
        <v>3.63</v>
      </c>
      <c r="I737">
        <v>130.7196333</v>
      </c>
      <c r="J737" s="3">
        <v>5.7649999999999997</v>
      </c>
    </row>
    <row r="738" spans="1:10" x14ac:dyDescent="0.25">
      <c r="A738">
        <v>13</v>
      </c>
      <c r="B738" s="1">
        <v>40976</v>
      </c>
      <c r="C738">
        <v>3</v>
      </c>
      <c r="D738">
        <v>2012</v>
      </c>
      <c r="E738" s="2">
        <v>2044148.23</v>
      </c>
      <c r="F738">
        <v>0</v>
      </c>
      <c r="G738" s="3">
        <v>81.99</v>
      </c>
      <c r="H738" s="2">
        <v>3.512</v>
      </c>
      <c r="I738">
        <v>130.73787100000001</v>
      </c>
      <c r="J738" s="3">
        <v>5.7649999999999997</v>
      </c>
    </row>
    <row r="739" spans="1:10" x14ac:dyDescent="0.25">
      <c r="A739">
        <v>13</v>
      </c>
      <c r="B739" s="1">
        <v>41190</v>
      </c>
      <c r="C739">
        <v>10</v>
      </c>
      <c r="D739">
        <v>2012</v>
      </c>
      <c r="E739" s="2">
        <v>2041019.92</v>
      </c>
      <c r="F739">
        <v>0</v>
      </c>
      <c r="G739" s="3">
        <v>81.69</v>
      </c>
      <c r="H739" s="2">
        <v>3.5089999999999999</v>
      </c>
      <c r="I739">
        <v>130.7561613</v>
      </c>
      <c r="J739" s="3">
        <v>5.7649999999999997</v>
      </c>
    </row>
    <row r="740" spans="1:10" x14ac:dyDescent="0.25">
      <c r="A740">
        <v>13</v>
      </c>
      <c r="B740" s="1">
        <v>41099</v>
      </c>
      <c r="C740">
        <v>7</v>
      </c>
      <c r="D740">
        <v>2012</v>
      </c>
      <c r="E740" s="2">
        <v>2165796.31</v>
      </c>
      <c r="F740">
        <v>1</v>
      </c>
      <c r="G740" s="3">
        <v>70.650000000000006</v>
      </c>
      <c r="H740" s="2">
        <v>3.6890000000000001</v>
      </c>
      <c r="I740">
        <v>130.9325484</v>
      </c>
      <c r="J740" s="3">
        <v>5.7649999999999997</v>
      </c>
    </row>
    <row r="741" spans="1:10" x14ac:dyDescent="0.25">
      <c r="A741">
        <v>13</v>
      </c>
      <c r="B741" s="1">
        <v>41039</v>
      </c>
      <c r="C741">
        <v>5</v>
      </c>
      <c r="D741">
        <v>2012</v>
      </c>
      <c r="E741" s="2">
        <v>2041918.74</v>
      </c>
      <c r="F741">
        <v>0</v>
      </c>
      <c r="G741" s="3">
        <v>61.79</v>
      </c>
      <c r="H741" s="2">
        <v>3.8149999999999999</v>
      </c>
      <c r="I741">
        <v>131.0756667</v>
      </c>
      <c r="J741" s="3">
        <v>5.6210000000000004</v>
      </c>
    </row>
    <row r="742" spans="1:10" x14ac:dyDescent="0.25">
      <c r="A742">
        <v>13</v>
      </c>
      <c r="B742" s="1">
        <v>41253</v>
      </c>
      <c r="C742">
        <v>12</v>
      </c>
      <c r="D742">
        <v>2012</v>
      </c>
      <c r="E742" s="2">
        <v>1999079.44</v>
      </c>
      <c r="F742">
        <v>0</v>
      </c>
      <c r="G742" s="3">
        <v>55.1</v>
      </c>
      <c r="H742" s="2">
        <v>3.7970000000000002</v>
      </c>
      <c r="I742">
        <v>131.1083333</v>
      </c>
      <c r="J742" s="3">
        <v>5.6210000000000004</v>
      </c>
    </row>
    <row r="743" spans="1:10" x14ac:dyDescent="0.25">
      <c r="A743">
        <v>14</v>
      </c>
      <c r="B743" s="1">
        <v>40300</v>
      </c>
      <c r="C743">
        <v>5</v>
      </c>
      <c r="D743">
        <v>2010</v>
      </c>
      <c r="E743" s="2">
        <v>2623469.9500000002</v>
      </c>
      <c r="F743">
        <v>0</v>
      </c>
      <c r="G743" s="3">
        <v>27.31</v>
      </c>
      <c r="H743" s="2">
        <v>2.7839999999999998</v>
      </c>
      <c r="I743">
        <v>181.8711898</v>
      </c>
      <c r="J743" s="3">
        <v>8.9920000000000009</v>
      </c>
    </row>
    <row r="744" spans="1:10" x14ac:dyDescent="0.25">
      <c r="A744">
        <v>14</v>
      </c>
      <c r="B744" s="1">
        <v>40514</v>
      </c>
      <c r="C744">
        <v>12</v>
      </c>
      <c r="D744">
        <v>2010</v>
      </c>
      <c r="E744" s="2">
        <v>1704218.84</v>
      </c>
      <c r="F744">
        <v>1</v>
      </c>
      <c r="G744" s="3">
        <v>27.73</v>
      </c>
      <c r="H744" s="2">
        <v>2.7730000000000001</v>
      </c>
      <c r="I744">
        <v>181.98231699999999</v>
      </c>
      <c r="J744" s="3">
        <v>8.9920000000000009</v>
      </c>
    </row>
    <row r="745" spans="1:10" x14ac:dyDescent="0.25">
      <c r="A745">
        <v>14</v>
      </c>
      <c r="B745" s="1">
        <v>40301</v>
      </c>
      <c r="C745">
        <v>5</v>
      </c>
      <c r="D745">
        <v>2010</v>
      </c>
      <c r="E745" s="2">
        <v>2237544.75</v>
      </c>
      <c r="F745">
        <v>0</v>
      </c>
      <c r="G745" s="3">
        <v>37.130000000000003</v>
      </c>
      <c r="H745" s="2">
        <v>2.7770000000000001</v>
      </c>
      <c r="I745">
        <v>182.1201566</v>
      </c>
      <c r="J745" s="3">
        <v>8.9920000000000009</v>
      </c>
    </row>
    <row r="746" spans="1:10" x14ac:dyDescent="0.25">
      <c r="A746">
        <v>14</v>
      </c>
      <c r="B746" s="1">
        <v>40515</v>
      </c>
      <c r="C746">
        <v>12</v>
      </c>
      <c r="D746">
        <v>2010</v>
      </c>
      <c r="E746" s="2">
        <v>2156035.06</v>
      </c>
      <c r="F746">
        <v>0</v>
      </c>
      <c r="G746" s="3">
        <v>45.8</v>
      </c>
      <c r="H746" s="2">
        <v>2.8180000000000001</v>
      </c>
      <c r="I746">
        <v>182.1628441</v>
      </c>
      <c r="J746" s="3">
        <v>8.9920000000000009</v>
      </c>
    </row>
    <row r="747" spans="1:10" x14ac:dyDescent="0.25">
      <c r="A747">
        <v>14</v>
      </c>
      <c r="B747" s="1">
        <v>40213</v>
      </c>
      <c r="C747">
        <v>2</v>
      </c>
      <c r="D747">
        <v>2010</v>
      </c>
      <c r="E747" s="2">
        <v>2495630.5099999998</v>
      </c>
      <c r="F747">
        <v>0</v>
      </c>
      <c r="G747" s="3">
        <v>47.74</v>
      </c>
      <c r="H747" s="2">
        <v>2.85</v>
      </c>
      <c r="I747">
        <v>181.8657537</v>
      </c>
      <c r="J747" s="3">
        <v>8.8989999999999991</v>
      </c>
    </row>
    <row r="748" spans="1:10" x14ac:dyDescent="0.25">
      <c r="A748">
        <v>14</v>
      </c>
      <c r="B748" s="1">
        <v>40425</v>
      </c>
      <c r="C748">
        <v>9</v>
      </c>
      <c r="D748">
        <v>2010</v>
      </c>
      <c r="E748" s="2">
        <v>2258781.2799999998</v>
      </c>
      <c r="F748">
        <v>0</v>
      </c>
      <c r="G748" s="3">
        <v>65.45</v>
      </c>
      <c r="H748" s="2">
        <v>2.8690000000000002</v>
      </c>
      <c r="I748">
        <v>181.75963770000001</v>
      </c>
      <c r="J748" s="3">
        <v>8.8989999999999991</v>
      </c>
    </row>
    <row r="749" spans="1:10" x14ac:dyDescent="0.25">
      <c r="A749">
        <v>14</v>
      </c>
      <c r="B749" s="1">
        <v>40364</v>
      </c>
      <c r="C749">
        <v>7</v>
      </c>
      <c r="D749">
        <v>2010</v>
      </c>
      <c r="E749" s="2">
        <v>2370116.52</v>
      </c>
      <c r="F749">
        <v>0</v>
      </c>
      <c r="G749" s="3">
        <v>70.75</v>
      </c>
      <c r="H749" s="2">
        <v>2.9660000000000002</v>
      </c>
      <c r="I749">
        <v>181.64681540000001</v>
      </c>
      <c r="J749" s="3">
        <v>8.8989999999999991</v>
      </c>
    </row>
    <row r="750" spans="1:10" x14ac:dyDescent="0.25">
      <c r="A750">
        <v>14</v>
      </c>
      <c r="B750" s="1">
        <v>40274</v>
      </c>
      <c r="C750">
        <v>4</v>
      </c>
      <c r="D750">
        <v>2010</v>
      </c>
      <c r="E750" s="2">
        <v>2363601.4700000002</v>
      </c>
      <c r="F750">
        <v>0</v>
      </c>
      <c r="G750" s="3">
        <v>75.930000000000007</v>
      </c>
      <c r="H750" s="2">
        <v>2.847</v>
      </c>
      <c r="I750">
        <v>182.2389876</v>
      </c>
      <c r="J750" s="3">
        <v>8.8989999999999991</v>
      </c>
    </row>
    <row r="751" spans="1:10" x14ac:dyDescent="0.25">
      <c r="A751">
        <v>14</v>
      </c>
      <c r="B751" s="1">
        <v>40488</v>
      </c>
      <c r="C751">
        <v>11</v>
      </c>
      <c r="D751">
        <v>2010</v>
      </c>
      <c r="E751" s="2">
        <v>2249570.04</v>
      </c>
      <c r="F751">
        <v>0</v>
      </c>
      <c r="G751" s="3">
        <v>69.709999999999994</v>
      </c>
      <c r="H751" s="2">
        <v>2.8090000000000002</v>
      </c>
      <c r="I751">
        <v>182.43155709999999</v>
      </c>
      <c r="J751" s="3">
        <v>8.8989999999999991</v>
      </c>
    </row>
    <row r="752" spans="1:10" x14ac:dyDescent="0.25">
      <c r="A752">
        <v>14</v>
      </c>
      <c r="B752" s="1">
        <v>40216</v>
      </c>
      <c r="C752">
        <v>2</v>
      </c>
      <c r="D752">
        <v>2010</v>
      </c>
      <c r="E752" s="2">
        <v>2334788.42</v>
      </c>
      <c r="F752">
        <v>0</v>
      </c>
      <c r="G752" s="3">
        <v>76.61</v>
      </c>
      <c r="H752" s="2">
        <v>2.8149999999999999</v>
      </c>
      <c r="I752">
        <v>182.3187801</v>
      </c>
      <c r="J752" s="3">
        <v>8.7430000000000003</v>
      </c>
    </row>
    <row r="753" spans="1:10" x14ac:dyDescent="0.25">
      <c r="A753">
        <v>14</v>
      </c>
      <c r="B753" s="1">
        <v>40428</v>
      </c>
      <c r="C753">
        <v>9</v>
      </c>
      <c r="D753">
        <v>2010</v>
      </c>
      <c r="E753" s="2">
        <v>2236209.13</v>
      </c>
      <c r="F753">
        <v>0</v>
      </c>
      <c r="G753" s="3">
        <v>82.45</v>
      </c>
      <c r="H753" s="2">
        <v>2.7930000000000001</v>
      </c>
      <c r="I753">
        <v>182.2569603</v>
      </c>
      <c r="J753" s="3">
        <v>8.7430000000000003</v>
      </c>
    </row>
    <row r="754" spans="1:10" x14ac:dyDescent="0.25">
      <c r="A754">
        <v>14</v>
      </c>
      <c r="B754" s="1">
        <v>40337</v>
      </c>
      <c r="C754">
        <v>6</v>
      </c>
      <c r="D754">
        <v>2010</v>
      </c>
      <c r="E754" s="2">
        <v>2219813.5</v>
      </c>
      <c r="F754">
        <v>0</v>
      </c>
      <c r="G754" s="3">
        <v>77.17</v>
      </c>
      <c r="H754" s="2">
        <v>2.7839999999999998</v>
      </c>
      <c r="I754">
        <v>182.53208620000001</v>
      </c>
      <c r="J754" s="3">
        <v>8.7430000000000003</v>
      </c>
    </row>
    <row r="755" spans="1:10" x14ac:dyDescent="0.25">
      <c r="A755">
        <v>14</v>
      </c>
      <c r="B755" s="1">
        <v>40246</v>
      </c>
      <c r="C755">
        <v>3</v>
      </c>
      <c r="D755">
        <v>2010</v>
      </c>
      <c r="E755" s="2">
        <v>2182563.66</v>
      </c>
      <c r="F755">
        <v>0</v>
      </c>
      <c r="G755" s="3">
        <v>78.37</v>
      </c>
      <c r="H755" s="2">
        <v>2.7149999999999999</v>
      </c>
      <c r="I755">
        <v>182.6042922</v>
      </c>
      <c r="J755" s="3">
        <v>8.7430000000000003</v>
      </c>
    </row>
    <row r="756" spans="1:10" x14ac:dyDescent="0.25">
      <c r="A756">
        <v>14</v>
      </c>
      <c r="B756" s="1">
        <v>40460</v>
      </c>
      <c r="C756">
        <v>10</v>
      </c>
      <c r="D756">
        <v>2010</v>
      </c>
      <c r="E756" s="2">
        <v>2191767.7599999998</v>
      </c>
      <c r="F756">
        <v>1</v>
      </c>
      <c r="G756" s="3">
        <v>70.87</v>
      </c>
      <c r="H756" s="2">
        <v>2.6989999999999998</v>
      </c>
      <c r="I756">
        <v>182.59817799999999</v>
      </c>
      <c r="J756" s="3">
        <v>8.7430000000000003</v>
      </c>
    </row>
    <row r="757" spans="1:10" x14ac:dyDescent="0.25">
      <c r="A757">
        <v>14</v>
      </c>
      <c r="B757" s="1">
        <v>40188</v>
      </c>
      <c r="C757">
        <v>1</v>
      </c>
      <c r="D757">
        <v>2010</v>
      </c>
      <c r="E757" s="2">
        <v>1855703.66</v>
      </c>
      <c r="F757">
        <v>0</v>
      </c>
      <c r="G757" s="3">
        <v>70.58</v>
      </c>
      <c r="H757" s="2">
        <v>2.7069999999999999</v>
      </c>
      <c r="I757">
        <v>182.71683849999999</v>
      </c>
      <c r="J757" s="3">
        <v>8.7240000000000002</v>
      </c>
    </row>
    <row r="758" spans="1:10" x14ac:dyDescent="0.25">
      <c r="A758">
        <v>14</v>
      </c>
      <c r="B758" s="1">
        <v>40400</v>
      </c>
      <c r="C758">
        <v>8</v>
      </c>
      <c r="D758">
        <v>2010</v>
      </c>
      <c r="E758" s="2">
        <v>2091663.2</v>
      </c>
      <c r="F758">
        <v>0</v>
      </c>
      <c r="G758" s="3">
        <v>56.49</v>
      </c>
      <c r="H758" s="2">
        <v>2.7639999999999998</v>
      </c>
      <c r="I758">
        <v>182.76400319999999</v>
      </c>
      <c r="J758" s="3">
        <v>8.7240000000000002</v>
      </c>
    </row>
    <row r="759" spans="1:10" x14ac:dyDescent="0.25">
      <c r="A759">
        <v>14</v>
      </c>
      <c r="B759" s="1">
        <v>40309</v>
      </c>
      <c r="C759">
        <v>5</v>
      </c>
      <c r="D759">
        <v>2010</v>
      </c>
      <c r="E759" s="2">
        <v>2078417.47</v>
      </c>
      <c r="F759">
        <v>0</v>
      </c>
      <c r="G759" s="3">
        <v>45.65</v>
      </c>
      <c r="H759" s="2">
        <v>2.9169999999999998</v>
      </c>
      <c r="I759">
        <v>182.9463648</v>
      </c>
      <c r="J759" s="3">
        <v>8.7240000000000002</v>
      </c>
    </row>
    <row r="760" spans="1:10" x14ac:dyDescent="0.25">
      <c r="A760">
        <v>14</v>
      </c>
      <c r="B760" s="1">
        <v>40523</v>
      </c>
      <c r="C760">
        <v>12</v>
      </c>
      <c r="D760">
        <v>2010</v>
      </c>
      <c r="E760" s="2">
        <v>2092189.06</v>
      </c>
      <c r="F760">
        <v>0</v>
      </c>
      <c r="G760" s="3">
        <v>46.14</v>
      </c>
      <c r="H760" s="2">
        <v>2.931</v>
      </c>
      <c r="I760">
        <v>182.99161290000001</v>
      </c>
      <c r="J760" s="3">
        <v>8.7240000000000002</v>
      </c>
    </row>
    <row r="761" spans="1:10" x14ac:dyDescent="0.25">
      <c r="A761">
        <v>14</v>
      </c>
      <c r="B761" s="1">
        <v>40249</v>
      </c>
      <c r="C761">
        <v>3</v>
      </c>
      <c r="D761">
        <v>2010</v>
      </c>
      <c r="E761" s="2">
        <v>2258489.63</v>
      </c>
      <c r="F761">
        <v>0</v>
      </c>
      <c r="G761" s="3">
        <v>40.93</v>
      </c>
      <c r="H761" s="2">
        <v>3.0459999999999998</v>
      </c>
      <c r="I761">
        <v>182.66761539999999</v>
      </c>
      <c r="J761" s="3">
        <v>8.7240000000000002</v>
      </c>
    </row>
    <row r="762" spans="1:10" x14ac:dyDescent="0.25">
      <c r="A762">
        <v>14</v>
      </c>
      <c r="B762" s="1">
        <v>40463</v>
      </c>
      <c r="C762">
        <v>10</v>
      </c>
      <c r="D762">
        <v>2010</v>
      </c>
      <c r="E762" s="2">
        <v>2600519.2599999998</v>
      </c>
      <c r="F762">
        <v>0</v>
      </c>
      <c r="G762" s="3">
        <v>30.54</v>
      </c>
      <c r="H762" s="2">
        <v>3.109</v>
      </c>
      <c r="I762">
        <v>182.55195380000001</v>
      </c>
      <c r="J762" s="3">
        <v>8.7240000000000002</v>
      </c>
    </row>
    <row r="763" spans="1:10" x14ac:dyDescent="0.25">
      <c r="A763">
        <v>14</v>
      </c>
      <c r="B763" s="1">
        <v>40725</v>
      </c>
      <c r="C763">
        <v>7</v>
      </c>
      <c r="D763">
        <v>2011</v>
      </c>
      <c r="E763" s="2">
        <v>1864746.1</v>
      </c>
      <c r="F763">
        <v>0</v>
      </c>
      <c r="G763" s="3">
        <v>34.32</v>
      </c>
      <c r="H763" s="2">
        <v>3.1930000000000001</v>
      </c>
      <c r="I763">
        <v>182.59830579999999</v>
      </c>
      <c r="J763" s="3">
        <v>8.5489999999999995</v>
      </c>
    </row>
    <row r="764" spans="1:10" x14ac:dyDescent="0.25">
      <c r="A764">
        <v>14</v>
      </c>
      <c r="B764" s="1">
        <v>40635</v>
      </c>
      <c r="C764">
        <v>4</v>
      </c>
      <c r="D764">
        <v>2011</v>
      </c>
      <c r="E764" s="2">
        <v>1995891.87</v>
      </c>
      <c r="F764">
        <v>0</v>
      </c>
      <c r="G764" s="3">
        <v>28.73</v>
      </c>
      <c r="H764" s="2">
        <v>3.2309999999999999</v>
      </c>
      <c r="I764">
        <v>183.44085419999999</v>
      </c>
      <c r="J764" s="3">
        <v>8.5489999999999995</v>
      </c>
    </row>
    <row r="765" spans="1:10" x14ac:dyDescent="0.25">
      <c r="A765">
        <v>14</v>
      </c>
      <c r="B765" s="1">
        <v>40849</v>
      </c>
      <c r="C765">
        <v>11</v>
      </c>
      <c r="D765">
        <v>2011</v>
      </c>
      <c r="E765" s="2">
        <v>1980405.03</v>
      </c>
      <c r="F765">
        <v>1</v>
      </c>
      <c r="G765" s="3">
        <v>30.3</v>
      </c>
      <c r="H765" s="2">
        <v>3.2389999999999999</v>
      </c>
      <c r="I765">
        <v>183.70161289999999</v>
      </c>
      <c r="J765" s="3">
        <v>8.5489999999999995</v>
      </c>
    </row>
    <row r="766" spans="1:10" x14ac:dyDescent="0.25">
      <c r="A766">
        <v>14</v>
      </c>
      <c r="B766" s="1">
        <v>40636</v>
      </c>
      <c r="C766">
        <v>4</v>
      </c>
      <c r="D766">
        <v>2011</v>
      </c>
      <c r="E766" s="2">
        <v>2041215.61</v>
      </c>
      <c r="F766">
        <v>0</v>
      </c>
      <c r="G766" s="3">
        <v>38.65</v>
      </c>
      <c r="H766" s="2">
        <v>3.4329999999999998</v>
      </c>
      <c r="I766">
        <v>184.38799109999999</v>
      </c>
      <c r="J766" s="3">
        <v>8.5489999999999995</v>
      </c>
    </row>
    <row r="767" spans="1:10" x14ac:dyDescent="0.25">
      <c r="A767">
        <v>14</v>
      </c>
      <c r="B767" s="1">
        <v>40850</v>
      </c>
      <c r="C767">
        <v>11</v>
      </c>
      <c r="D767">
        <v>2011</v>
      </c>
      <c r="E767" s="2">
        <v>1931104.67</v>
      </c>
      <c r="F767">
        <v>0</v>
      </c>
      <c r="G767" s="3">
        <v>45.01</v>
      </c>
      <c r="H767" s="2">
        <v>3.5819999999999999</v>
      </c>
      <c r="I767">
        <v>184.61341899999999</v>
      </c>
      <c r="J767" s="3">
        <v>8.5489999999999995</v>
      </c>
    </row>
    <row r="768" spans="1:10" x14ac:dyDescent="0.25">
      <c r="A768">
        <v>14</v>
      </c>
      <c r="B768" s="1">
        <v>40547</v>
      </c>
      <c r="C768">
        <v>1</v>
      </c>
      <c r="D768">
        <v>2011</v>
      </c>
      <c r="E768" s="2">
        <v>1869110.55</v>
      </c>
      <c r="F768">
        <v>0</v>
      </c>
      <c r="G768" s="3">
        <v>37.270000000000003</v>
      </c>
      <c r="H768" s="2">
        <v>3.6379999999999999</v>
      </c>
      <c r="I768">
        <v>185.17901670000001</v>
      </c>
      <c r="J768" s="3">
        <v>8.5210000000000008</v>
      </c>
    </row>
    <row r="769" spans="1:10" x14ac:dyDescent="0.25">
      <c r="A769">
        <v>14</v>
      </c>
      <c r="B769" s="1">
        <v>40759</v>
      </c>
      <c r="C769">
        <v>8</v>
      </c>
      <c r="D769">
        <v>2011</v>
      </c>
      <c r="E769" s="2">
        <v>2037798.88</v>
      </c>
      <c r="F769">
        <v>0</v>
      </c>
      <c r="G769" s="3">
        <v>48.71</v>
      </c>
      <c r="H769" s="2">
        <v>3.72</v>
      </c>
      <c r="I769">
        <v>185.36366559999999</v>
      </c>
      <c r="J769" s="3">
        <v>8.5210000000000008</v>
      </c>
    </row>
    <row r="770" spans="1:10" x14ac:dyDescent="0.25">
      <c r="A770">
        <v>14</v>
      </c>
      <c r="B770" s="1">
        <v>40699</v>
      </c>
      <c r="C770">
        <v>6</v>
      </c>
      <c r="D770">
        <v>2011</v>
      </c>
      <c r="E770" s="2">
        <v>2095599.93</v>
      </c>
      <c r="F770">
        <v>0</v>
      </c>
      <c r="G770" s="3">
        <v>58.21</v>
      </c>
      <c r="H770" s="2">
        <v>4.0460000000000003</v>
      </c>
      <c r="I770">
        <v>185.9374378</v>
      </c>
      <c r="J770" s="3">
        <v>8.5210000000000008</v>
      </c>
    </row>
    <row r="771" spans="1:10" x14ac:dyDescent="0.25">
      <c r="A771">
        <v>14</v>
      </c>
      <c r="B771" s="1">
        <v>40608</v>
      </c>
      <c r="C771">
        <v>3</v>
      </c>
      <c r="D771">
        <v>2011</v>
      </c>
      <c r="E771" s="2">
        <v>2079899.47</v>
      </c>
      <c r="F771">
        <v>0</v>
      </c>
      <c r="G771" s="3">
        <v>76.38</v>
      </c>
      <c r="H771" s="2">
        <v>3.9220000000000002</v>
      </c>
      <c r="I771">
        <v>185.75450000000001</v>
      </c>
      <c r="J771" s="3">
        <v>8.5210000000000008</v>
      </c>
    </row>
    <row r="772" spans="1:10" x14ac:dyDescent="0.25">
      <c r="A772">
        <v>14</v>
      </c>
      <c r="B772" s="1">
        <v>40822</v>
      </c>
      <c r="C772">
        <v>10</v>
      </c>
      <c r="D772">
        <v>2011</v>
      </c>
      <c r="E772" s="2">
        <v>2132446</v>
      </c>
      <c r="F772">
        <v>0</v>
      </c>
      <c r="G772" s="3">
        <v>73.88</v>
      </c>
      <c r="H772" s="2">
        <v>3.8809999999999998</v>
      </c>
      <c r="I772">
        <v>185.64869229999999</v>
      </c>
      <c r="J772" s="3">
        <v>8.5210000000000008</v>
      </c>
    </row>
    <row r="773" spans="1:10" x14ac:dyDescent="0.25">
      <c r="A773">
        <v>14</v>
      </c>
      <c r="B773" s="1">
        <v>40550</v>
      </c>
      <c r="C773">
        <v>1</v>
      </c>
      <c r="D773">
        <v>2011</v>
      </c>
      <c r="E773" s="2">
        <v>2074668.19</v>
      </c>
      <c r="F773">
        <v>0</v>
      </c>
      <c r="G773" s="3">
        <v>74.040000000000006</v>
      </c>
      <c r="H773" s="2">
        <v>3.7480000000000002</v>
      </c>
      <c r="I773">
        <v>185.91198850000001</v>
      </c>
      <c r="J773" s="3">
        <v>8.625</v>
      </c>
    </row>
    <row r="774" spans="1:10" x14ac:dyDescent="0.25">
      <c r="A774">
        <v>14</v>
      </c>
      <c r="B774" s="1">
        <v>40762</v>
      </c>
      <c r="C774">
        <v>8</v>
      </c>
      <c r="D774">
        <v>2011</v>
      </c>
      <c r="E774" s="2">
        <v>2063401.06</v>
      </c>
      <c r="F774">
        <v>0</v>
      </c>
      <c r="G774" s="3">
        <v>77.489999999999995</v>
      </c>
      <c r="H774" s="2">
        <v>3.7109999999999999</v>
      </c>
      <c r="I774">
        <v>186.032016</v>
      </c>
      <c r="J774" s="3">
        <v>8.625</v>
      </c>
    </row>
    <row r="775" spans="1:10" x14ac:dyDescent="0.25">
      <c r="A775">
        <v>14</v>
      </c>
      <c r="B775" s="1">
        <v>40671</v>
      </c>
      <c r="C775">
        <v>5</v>
      </c>
      <c r="D775">
        <v>2011</v>
      </c>
      <c r="E775" s="2">
        <v>2066020.69</v>
      </c>
      <c r="F775">
        <v>0</v>
      </c>
      <c r="G775" s="3">
        <v>78.22</v>
      </c>
      <c r="H775" s="2">
        <v>3.8420000000000001</v>
      </c>
      <c r="I775">
        <v>186.37340380000001</v>
      </c>
      <c r="J775" s="3">
        <v>8.625</v>
      </c>
    </row>
    <row r="776" spans="1:10" x14ac:dyDescent="0.25">
      <c r="A776">
        <v>14</v>
      </c>
      <c r="B776" s="1">
        <v>40885</v>
      </c>
      <c r="C776">
        <v>12</v>
      </c>
      <c r="D776">
        <v>2011</v>
      </c>
      <c r="E776" s="2">
        <v>1928773.82</v>
      </c>
      <c r="F776">
        <v>0</v>
      </c>
      <c r="G776" s="3">
        <v>77</v>
      </c>
      <c r="H776" s="2">
        <v>3.8119999999999998</v>
      </c>
      <c r="I776">
        <v>186.4512115</v>
      </c>
      <c r="J776" s="3">
        <v>8.625</v>
      </c>
    </row>
    <row r="777" spans="1:10" x14ac:dyDescent="0.25">
      <c r="A777">
        <v>14</v>
      </c>
      <c r="B777" s="1">
        <v>40583</v>
      </c>
      <c r="C777">
        <v>2</v>
      </c>
      <c r="D777">
        <v>2011</v>
      </c>
      <c r="E777" s="2">
        <v>1750891.47</v>
      </c>
      <c r="F777">
        <v>0</v>
      </c>
      <c r="G777" s="3">
        <v>70.63</v>
      </c>
      <c r="H777" s="2">
        <v>3.7029999999999998</v>
      </c>
      <c r="I777">
        <v>186.61892739999999</v>
      </c>
      <c r="J777" s="3">
        <v>8.625</v>
      </c>
    </row>
    <row r="778" spans="1:10" x14ac:dyDescent="0.25">
      <c r="A778">
        <v>14</v>
      </c>
      <c r="B778" s="1">
        <v>40795</v>
      </c>
      <c r="C778">
        <v>9</v>
      </c>
      <c r="D778">
        <v>2011</v>
      </c>
      <c r="E778" s="2">
        <v>2202742.9</v>
      </c>
      <c r="F778">
        <v>1</v>
      </c>
      <c r="G778" s="3">
        <v>71.48</v>
      </c>
      <c r="H778" s="2">
        <v>3.738</v>
      </c>
      <c r="I778">
        <v>186.67373760000001</v>
      </c>
      <c r="J778" s="3">
        <v>8.625</v>
      </c>
    </row>
    <row r="779" spans="1:10" x14ac:dyDescent="0.25">
      <c r="A779">
        <v>14</v>
      </c>
      <c r="B779" s="1">
        <v>40734</v>
      </c>
      <c r="C779">
        <v>7</v>
      </c>
      <c r="D779">
        <v>2011</v>
      </c>
      <c r="E779" s="2">
        <v>2078796.76</v>
      </c>
      <c r="F779">
        <v>0</v>
      </c>
      <c r="G779" s="3">
        <v>55.82</v>
      </c>
      <c r="H779" s="2">
        <v>3.5830000000000002</v>
      </c>
      <c r="I779">
        <v>187.4837962</v>
      </c>
      <c r="J779" s="3">
        <v>8.5229999999999997</v>
      </c>
    </row>
    <row r="780" spans="1:10" x14ac:dyDescent="0.25">
      <c r="A780">
        <v>14</v>
      </c>
      <c r="B780" s="1">
        <v>40644</v>
      </c>
      <c r="C780">
        <v>4</v>
      </c>
      <c r="D780">
        <v>2011</v>
      </c>
      <c r="E780" s="2">
        <v>2174056.71</v>
      </c>
      <c r="F780">
        <v>0</v>
      </c>
      <c r="G780" s="3">
        <v>43.92</v>
      </c>
      <c r="H780" s="2">
        <v>3.5510000000000002</v>
      </c>
      <c r="I780">
        <v>187.9703629</v>
      </c>
      <c r="J780" s="3">
        <v>8.5229999999999997</v>
      </c>
    </row>
    <row r="781" spans="1:10" x14ac:dyDescent="0.25">
      <c r="A781">
        <v>14</v>
      </c>
      <c r="B781" s="1">
        <v>40858</v>
      </c>
      <c r="C781">
        <v>11</v>
      </c>
      <c r="D781">
        <v>2011</v>
      </c>
      <c r="E781" s="2">
        <v>2081534.65</v>
      </c>
      <c r="F781">
        <v>0</v>
      </c>
      <c r="G781" s="3">
        <v>47.65</v>
      </c>
      <c r="H781" s="2">
        <v>3.53</v>
      </c>
      <c r="I781">
        <v>188.06323449999999</v>
      </c>
      <c r="J781" s="3">
        <v>8.5229999999999997</v>
      </c>
    </row>
    <row r="782" spans="1:10" x14ac:dyDescent="0.25">
      <c r="A782">
        <v>14</v>
      </c>
      <c r="B782" s="1">
        <v>40586</v>
      </c>
      <c r="C782">
        <v>2</v>
      </c>
      <c r="D782">
        <v>2011</v>
      </c>
      <c r="E782" s="2">
        <v>2143080.5699999998</v>
      </c>
      <c r="F782">
        <v>0</v>
      </c>
      <c r="G782" s="3">
        <v>50.19</v>
      </c>
      <c r="H782" s="2">
        <v>3.452</v>
      </c>
      <c r="I782">
        <v>188.50243459999999</v>
      </c>
      <c r="J782" s="3">
        <v>8.5229999999999997</v>
      </c>
    </row>
    <row r="783" spans="1:10" x14ac:dyDescent="0.25">
      <c r="A783">
        <v>14</v>
      </c>
      <c r="B783" s="1">
        <v>40798</v>
      </c>
      <c r="C783">
        <v>9</v>
      </c>
      <c r="D783">
        <v>2011</v>
      </c>
      <c r="E783" s="2">
        <v>2470581.29</v>
      </c>
      <c r="F783">
        <v>0</v>
      </c>
      <c r="G783" s="3">
        <v>46.57</v>
      </c>
      <c r="H783" s="2">
        <v>3.415</v>
      </c>
      <c r="I783">
        <v>188.65446919999999</v>
      </c>
      <c r="J783" s="3">
        <v>8.5229999999999997</v>
      </c>
    </row>
    <row r="784" spans="1:10" x14ac:dyDescent="0.25">
      <c r="A784">
        <v>14</v>
      </c>
      <c r="B784" s="1">
        <v>41061</v>
      </c>
      <c r="C784">
        <v>6</v>
      </c>
      <c r="D784">
        <v>2012</v>
      </c>
      <c r="E784" s="2">
        <v>1859144.96</v>
      </c>
      <c r="F784">
        <v>0</v>
      </c>
      <c r="G784" s="3">
        <v>35.880000000000003</v>
      </c>
      <c r="H784" s="2">
        <v>3.4220000000000002</v>
      </c>
      <c r="I784">
        <v>189.1940558</v>
      </c>
      <c r="J784" s="3">
        <v>8.4239999999999995</v>
      </c>
    </row>
    <row r="785" spans="1:10" x14ac:dyDescent="0.25">
      <c r="A785">
        <v>14</v>
      </c>
      <c r="B785" s="1">
        <v>40970</v>
      </c>
      <c r="C785">
        <v>3</v>
      </c>
      <c r="D785">
        <v>2012</v>
      </c>
      <c r="E785" s="2">
        <v>1877410.36</v>
      </c>
      <c r="F785">
        <v>0</v>
      </c>
      <c r="G785" s="3">
        <v>42.96</v>
      </c>
      <c r="H785" s="2">
        <v>3.617</v>
      </c>
      <c r="I785">
        <v>189.61222770000001</v>
      </c>
      <c r="J785" s="3">
        <v>8.4239999999999995</v>
      </c>
    </row>
    <row r="786" spans="1:10" x14ac:dyDescent="0.25">
      <c r="A786">
        <v>14</v>
      </c>
      <c r="B786" s="1">
        <v>41184</v>
      </c>
      <c r="C786">
        <v>10</v>
      </c>
      <c r="D786">
        <v>2012</v>
      </c>
      <c r="E786" s="2">
        <v>2077256.24</v>
      </c>
      <c r="F786">
        <v>1</v>
      </c>
      <c r="G786" s="3">
        <v>37</v>
      </c>
      <c r="H786" s="2">
        <v>3.64</v>
      </c>
      <c r="I786">
        <v>189.70760480000001</v>
      </c>
      <c r="J786" s="3">
        <v>8.4239999999999995</v>
      </c>
    </row>
    <row r="787" spans="1:10" x14ac:dyDescent="0.25">
      <c r="A787">
        <v>14</v>
      </c>
      <c r="B787" s="1">
        <v>40942</v>
      </c>
      <c r="C787">
        <v>2</v>
      </c>
      <c r="D787">
        <v>2012</v>
      </c>
      <c r="E787" s="2">
        <v>1926004.99</v>
      </c>
      <c r="F787">
        <v>0</v>
      </c>
      <c r="G787" s="3">
        <v>41.55</v>
      </c>
      <c r="H787" s="2">
        <v>3.8159999999999998</v>
      </c>
      <c r="I787">
        <v>190.17149269999999</v>
      </c>
      <c r="J787" s="3">
        <v>8.4239999999999995</v>
      </c>
    </row>
    <row r="788" spans="1:10" x14ac:dyDescent="0.25">
      <c r="A788">
        <v>14</v>
      </c>
      <c r="B788" s="1">
        <v>41155</v>
      </c>
      <c r="C788">
        <v>9</v>
      </c>
      <c r="D788">
        <v>2012</v>
      </c>
      <c r="E788" s="2">
        <v>2020839.31</v>
      </c>
      <c r="F788">
        <v>0</v>
      </c>
      <c r="G788" s="3">
        <v>45.52</v>
      </c>
      <c r="H788" s="2">
        <v>3.8479999999999999</v>
      </c>
      <c r="I788">
        <v>190.3359973</v>
      </c>
      <c r="J788" s="3">
        <v>8.4239999999999995</v>
      </c>
    </row>
    <row r="789" spans="1:10" x14ac:dyDescent="0.25">
      <c r="A789">
        <v>14</v>
      </c>
      <c r="B789" s="1">
        <v>41064</v>
      </c>
      <c r="C789">
        <v>6</v>
      </c>
      <c r="D789">
        <v>2012</v>
      </c>
      <c r="E789" s="2">
        <v>2376022.2599999998</v>
      </c>
      <c r="F789">
        <v>0</v>
      </c>
      <c r="G789" s="3">
        <v>49.73</v>
      </c>
      <c r="H789" s="2">
        <v>3.996</v>
      </c>
      <c r="I789">
        <v>190.68517120000001</v>
      </c>
      <c r="J789" s="3">
        <v>8.5670000000000002</v>
      </c>
    </row>
    <row r="790" spans="1:10" x14ac:dyDescent="0.25">
      <c r="A790">
        <v>14</v>
      </c>
      <c r="B790" s="1">
        <v>41004</v>
      </c>
      <c r="C790">
        <v>4</v>
      </c>
      <c r="D790">
        <v>2012</v>
      </c>
      <c r="E790" s="2">
        <v>1949354.29</v>
      </c>
      <c r="F790">
        <v>0</v>
      </c>
      <c r="G790" s="3">
        <v>55.21</v>
      </c>
      <c r="H790" s="2">
        <v>3.9510000000000001</v>
      </c>
      <c r="I790">
        <v>190.9222115</v>
      </c>
      <c r="J790" s="3">
        <v>8.5670000000000002</v>
      </c>
    </row>
    <row r="791" spans="1:10" x14ac:dyDescent="0.25">
      <c r="A791">
        <v>14</v>
      </c>
      <c r="B791" s="1">
        <v>41218</v>
      </c>
      <c r="C791">
        <v>11</v>
      </c>
      <c r="D791">
        <v>2012</v>
      </c>
      <c r="E791" s="2">
        <v>1987531.05</v>
      </c>
      <c r="F791">
        <v>0</v>
      </c>
      <c r="G791" s="3">
        <v>61.24</v>
      </c>
      <c r="H791" s="2">
        <v>3.8889999999999998</v>
      </c>
      <c r="I791">
        <v>190.97641669999999</v>
      </c>
      <c r="J791" s="3">
        <v>8.5670000000000002</v>
      </c>
    </row>
    <row r="792" spans="1:10" x14ac:dyDescent="0.25">
      <c r="A792">
        <v>14</v>
      </c>
      <c r="B792" s="1">
        <v>40914</v>
      </c>
      <c r="C792">
        <v>1</v>
      </c>
      <c r="D792">
        <v>2012</v>
      </c>
      <c r="E792" s="2">
        <v>2049485.49</v>
      </c>
      <c r="F792">
        <v>0</v>
      </c>
      <c r="G792" s="3">
        <v>74.48</v>
      </c>
      <c r="H792" s="2">
        <v>3.742</v>
      </c>
      <c r="I792">
        <v>191.0091712</v>
      </c>
      <c r="J792" s="3">
        <v>8.5670000000000002</v>
      </c>
    </row>
    <row r="793" spans="1:10" x14ac:dyDescent="0.25">
      <c r="A793">
        <v>14</v>
      </c>
      <c r="B793" s="1">
        <v>41127</v>
      </c>
      <c r="C793">
        <v>8</v>
      </c>
      <c r="D793">
        <v>2012</v>
      </c>
      <c r="E793" s="2">
        <v>2099615.88</v>
      </c>
      <c r="F793">
        <v>0</v>
      </c>
      <c r="G793" s="3">
        <v>64.3</v>
      </c>
      <c r="H793" s="2">
        <v>3.6890000000000001</v>
      </c>
      <c r="I793">
        <v>191.01553290000001</v>
      </c>
      <c r="J793" s="3">
        <v>8.5670000000000002</v>
      </c>
    </row>
    <row r="794" spans="1:10" x14ac:dyDescent="0.25">
      <c r="A794">
        <v>14</v>
      </c>
      <c r="B794" s="1">
        <v>41067</v>
      </c>
      <c r="C794">
        <v>6</v>
      </c>
      <c r="D794">
        <v>2012</v>
      </c>
      <c r="E794" s="2">
        <v>1862128.95</v>
      </c>
      <c r="F794">
        <v>0</v>
      </c>
      <c r="G794" s="3">
        <v>82.99</v>
      </c>
      <c r="H794" s="2">
        <v>3.4750000000000001</v>
      </c>
      <c r="I794">
        <v>191.13388269999999</v>
      </c>
      <c r="J794" s="3">
        <v>8.6839999999999993</v>
      </c>
    </row>
    <row r="795" spans="1:10" x14ac:dyDescent="0.25">
      <c r="A795">
        <v>14</v>
      </c>
      <c r="B795" s="1">
        <v>40976</v>
      </c>
      <c r="C795">
        <v>3</v>
      </c>
      <c r="D795">
        <v>2012</v>
      </c>
      <c r="E795" s="2">
        <v>1656886.46</v>
      </c>
      <c r="F795">
        <v>0</v>
      </c>
      <c r="G795" s="3">
        <v>76.58</v>
      </c>
      <c r="H795" s="2">
        <v>3.6539999999999999</v>
      </c>
      <c r="I795">
        <v>191.16408999999999</v>
      </c>
      <c r="J795" s="3">
        <v>8.6839999999999993</v>
      </c>
    </row>
    <row r="796" spans="1:10" x14ac:dyDescent="0.25">
      <c r="A796">
        <v>14</v>
      </c>
      <c r="B796" s="1">
        <v>41190</v>
      </c>
      <c r="C796">
        <v>10</v>
      </c>
      <c r="D796">
        <v>2012</v>
      </c>
      <c r="E796" s="2">
        <v>1648570.03</v>
      </c>
      <c r="F796">
        <v>0</v>
      </c>
      <c r="G796" s="3">
        <v>78.650000000000006</v>
      </c>
      <c r="H796" s="2">
        <v>3.722</v>
      </c>
      <c r="I796">
        <v>191.16261349999999</v>
      </c>
      <c r="J796" s="3">
        <v>8.6839999999999993</v>
      </c>
    </row>
    <row r="797" spans="1:10" x14ac:dyDescent="0.25">
      <c r="A797">
        <v>14</v>
      </c>
      <c r="B797" s="1">
        <v>41099</v>
      </c>
      <c r="C797">
        <v>7</v>
      </c>
      <c r="D797">
        <v>2012</v>
      </c>
      <c r="E797" s="2">
        <v>1904512.34</v>
      </c>
      <c r="F797">
        <v>1</v>
      </c>
      <c r="G797" s="3">
        <v>75.7</v>
      </c>
      <c r="H797" s="2">
        <v>3.911</v>
      </c>
      <c r="I797">
        <v>191.57767559999999</v>
      </c>
      <c r="J797" s="3">
        <v>8.6839999999999993</v>
      </c>
    </row>
    <row r="798" spans="1:10" x14ac:dyDescent="0.25">
      <c r="A798">
        <v>14</v>
      </c>
      <c r="B798" s="1">
        <v>41039</v>
      </c>
      <c r="C798">
        <v>5</v>
      </c>
      <c r="D798">
        <v>2012</v>
      </c>
      <c r="E798" s="2">
        <v>1687592.16</v>
      </c>
      <c r="F798">
        <v>0</v>
      </c>
      <c r="G798" s="3">
        <v>64.89</v>
      </c>
      <c r="H798" s="2">
        <v>3.9849999999999999</v>
      </c>
      <c r="I798">
        <v>192.1704115</v>
      </c>
      <c r="J798" s="3">
        <v>8.6669999999999998</v>
      </c>
    </row>
    <row r="799" spans="1:10" x14ac:dyDescent="0.25">
      <c r="A799">
        <v>14</v>
      </c>
      <c r="B799" s="1">
        <v>41253</v>
      </c>
      <c r="C799">
        <v>12</v>
      </c>
      <c r="D799">
        <v>2012</v>
      </c>
      <c r="E799" s="2">
        <v>1639585.61</v>
      </c>
      <c r="F799">
        <v>0</v>
      </c>
      <c r="G799" s="3">
        <v>54.47</v>
      </c>
      <c r="H799" s="2">
        <v>4</v>
      </c>
      <c r="I799">
        <v>192.32726539999999</v>
      </c>
      <c r="J799" s="3">
        <v>8.6669999999999998</v>
      </c>
    </row>
    <row r="800" spans="1:10" x14ac:dyDescent="0.25">
      <c r="A800">
        <v>15</v>
      </c>
      <c r="B800" s="1">
        <v>40300</v>
      </c>
      <c r="C800">
        <v>5</v>
      </c>
      <c r="D800">
        <v>2010</v>
      </c>
      <c r="E800" s="2">
        <v>652122.43999999994</v>
      </c>
      <c r="F800">
        <v>0</v>
      </c>
      <c r="G800" s="3">
        <v>19.829999999999998</v>
      </c>
      <c r="H800" s="2">
        <v>2.9540000000000002</v>
      </c>
      <c r="I800">
        <v>131.5279032</v>
      </c>
      <c r="J800" s="3">
        <v>8.35</v>
      </c>
    </row>
    <row r="801" spans="1:10" x14ac:dyDescent="0.25">
      <c r="A801">
        <v>15</v>
      </c>
      <c r="B801" s="1">
        <v>40514</v>
      </c>
      <c r="C801">
        <v>12</v>
      </c>
      <c r="D801">
        <v>2010</v>
      </c>
      <c r="E801" s="2">
        <v>682447.1</v>
      </c>
      <c r="F801">
        <v>1</v>
      </c>
      <c r="G801" s="3">
        <v>22</v>
      </c>
      <c r="H801" s="2">
        <v>2.94</v>
      </c>
      <c r="I801">
        <v>131.58661290000001</v>
      </c>
      <c r="J801" s="3">
        <v>8.35</v>
      </c>
    </row>
    <row r="802" spans="1:10" x14ac:dyDescent="0.25">
      <c r="A802">
        <v>15</v>
      </c>
      <c r="B802" s="1">
        <v>40301</v>
      </c>
      <c r="C802">
        <v>5</v>
      </c>
      <c r="D802">
        <v>2010</v>
      </c>
      <c r="E802" s="2">
        <v>605325.43000000005</v>
      </c>
      <c r="F802">
        <v>0</v>
      </c>
      <c r="G802" s="3">
        <v>31.79</v>
      </c>
      <c r="H802" s="2">
        <v>2.919</v>
      </c>
      <c r="I802">
        <v>131.73500000000001</v>
      </c>
      <c r="J802" s="3">
        <v>8.35</v>
      </c>
    </row>
    <row r="803" spans="1:10" x14ac:dyDescent="0.25">
      <c r="A803">
        <v>15</v>
      </c>
      <c r="B803" s="1">
        <v>40515</v>
      </c>
      <c r="C803">
        <v>12</v>
      </c>
      <c r="D803">
        <v>2010</v>
      </c>
      <c r="E803" s="2">
        <v>604173.59</v>
      </c>
      <c r="F803">
        <v>0</v>
      </c>
      <c r="G803" s="3">
        <v>41.39</v>
      </c>
      <c r="H803" s="2">
        <v>2.9380000000000002</v>
      </c>
      <c r="I803">
        <v>131.78399999999999</v>
      </c>
      <c r="J803" s="3">
        <v>8.35</v>
      </c>
    </row>
    <row r="804" spans="1:10" x14ac:dyDescent="0.25">
      <c r="A804">
        <v>15</v>
      </c>
      <c r="B804" s="1">
        <v>40213</v>
      </c>
      <c r="C804">
        <v>2</v>
      </c>
      <c r="D804">
        <v>2010</v>
      </c>
      <c r="E804" s="2">
        <v>718470.71</v>
      </c>
      <c r="F804">
        <v>0</v>
      </c>
      <c r="G804" s="3">
        <v>45.27</v>
      </c>
      <c r="H804" s="2">
        <v>2.9569999999999999</v>
      </c>
      <c r="I804">
        <v>131.9019677</v>
      </c>
      <c r="J804" s="3">
        <v>8.1850000000000005</v>
      </c>
    </row>
    <row r="805" spans="1:10" x14ac:dyDescent="0.25">
      <c r="A805">
        <v>15</v>
      </c>
      <c r="B805" s="1">
        <v>40425</v>
      </c>
      <c r="C805">
        <v>9</v>
      </c>
      <c r="D805">
        <v>2010</v>
      </c>
      <c r="E805" s="2">
        <v>634605.77</v>
      </c>
      <c r="F805">
        <v>0</v>
      </c>
      <c r="G805" s="3">
        <v>57.77</v>
      </c>
      <c r="H805" s="2">
        <v>2.992</v>
      </c>
      <c r="I805">
        <v>131.94080650000001</v>
      </c>
      <c r="J805" s="3">
        <v>8.1850000000000005</v>
      </c>
    </row>
    <row r="806" spans="1:10" x14ac:dyDescent="0.25">
      <c r="A806">
        <v>15</v>
      </c>
      <c r="B806" s="1">
        <v>40364</v>
      </c>
      <c r="C806">
        <v>7</v>
      </c>
      <c r="D806">
        <v>2010</v>
      </c>
      <c r="E806" s="2">
        <v>661348.88</v>
      </c>
      <c r="F806">
        <v>0</v>
      </c>
      <c r="G806" s="3">
        <v>63.16</v>
      </c>
      <c r="H806" s="2">
        <v>3.0950000000000002</v>
      </c>
      <c r="I806">
        <v>132.1062</v>
      </c>
      <c r="J806" s="3">
        <v>8.1850000000000005</v>
      </c>
    </row>
    <row r="807" spans="1:10" x14ac:dyDescent="0.25">
      <c r="A807">
        <v>15</v>
      </c>
      <c r="B807" s="1">
        <v>40274</v>
      </c>
      <c r="C807">
        <v>4</v>
      </c>
      <c r="D807">
        <v>2010</v>
      </c>
      <c r="E807" s="2">
        <v>693192.5</v>
      </c>
      <c r="F807">
        <v>0</v>
      </c>
      <c r="G807" s="3">
        <v>69.989999999999995</v>
      </c>
      <c r="H807" s="2">
        <v>3.0059999999999998</v>
      </c>
      <c r="I807">
        <v>132.36483870000001</v>
      </c>
      <c r="J807" s="3">
        <v>8.1850000000000005</v>
      </c>
    </row>
    <row r="808" spans="1:10" x14ac:dyDescent="0.25">
      <c r="A808">
        <v>15</v>
      </c>
      <c r="B808" s="1">
        <v>40488</v>
      </c>
      <c r="C808">
        <v>11</v>
      </c>
      <c r="D808">
        <v>2010</v>
      </c>
      <c r="E808" s="2">
        <v>619337.29</v>
      </c>
      <c r="F808">
        <v>0</v>
      </c>
      <c r="G808" s="3">
        <v>61.04</v>
      </c>
      <c r="H808" s="2">
        <v>2.972</v>
      </c>
      <c r="I808">
        <v>132.43574190000001</v>
      </c>
      <c r="J808" s="3">
        <v>8.1850000000000005</v>
      </c>
    </row>
    <row r="809" spans="1:10" x14ac:dyDescent="0.25">
      <c r="A809">
        <v>15</v>
      </c>
      <c r="B809" s="1">
        <v>40216</v>
      </c>
      <c r="C809">
        <v>2</v>
      </c>
      <c r="D809">
        <v>2010</v>
      </c>
      <c r="E809" s="2">
        <v>709337.11</v>
      </c>
      <c r="F809">
        <v>0</v>
      </c>
      <c r="G809" s="3">
        <v>66.13</v>
      </c>
      <c r="H809" s="2">
        <v>2.9580000000000002</v>
      </c>
      <c r="I809">
        <v>132.5218667</v>
      </c>
      <c r="J809" s="3">
        <v>8.0990000000000002</v>
      </c>
    </row>
    <row r="810" spans="1:10" x14ac:dyDescent="0.25">
      <c r="A810">
        <v>15</v>
      </c>
      <c r="B810" s="1">
        <v>40428</v>
      </c>
      <c r="C810">
        <v>9</v>
      </c>
      <c r="D810">
        <v>2010</v>
      </c>
      <c r="E810" s="2">
        <v>691497.62</v>
      </c>
      <c r="F810">
        <v>0</v>
      </c>
      <c r="G810" s="3">
        <v>77.33</v>
      </c>
      <c r="H810" s="2">
        <v>2.94</v>
      </c>
      <c r="I810">
        <v>132.54613330000001</v>
      </c>
      <c r="J810" s="3">
        <v>8.0990000000000002</v>
      </c>
    </row>
    <row r="811" spans="1:10" x14ac:dyDescent="0.25">
      <c r="A811">
        <v>15</v>
      </c>
      <c r="B811" s="1">
        <v>40337</v>
      </c>
      <c r="C811">
        <v>6</v>
      </c>
      <c r="D811">
        <v>2010</v>
      </c>
      <c r="E811" s="2">
        <v>639651.24</v>
      </c>
      <c r="F811">
        <v>0</v>
      </c>
      <c r="G811" s="3">
        <v>72.7</v>
      </c>
      <c r="H811" s="2">
        <v>2.9420000000000002</v>
      </c>
      <c r="I811">
        <v>132.6141935</v>
      </c>
      <c r="J811" s="3">
        <v>8.0990000000000002</v>
      </c>
    </row>
    <row r="812" spans="1:10" x14ac:dyDescent="0.25">
      <c r="A812">
        <v>15</v>
      </c>
      <c r="B812" s="1">
        <v>40246</v>
      </c>
      <c r="C812">
        <v>3</v>
      </c>
      <c r="D812">
        <v>2010</v>
      </c>
      <c r="E812" s="2">
        <v>638647.21</v>
      </c>
      <c r="F812">
        <v>0</v>
      </c>
      <c r="G812" s="3">
        <v>73.17</v>
      </c>
      <c r="H812" s="2">
        <v>2.86</v>
      </c>
      <c r="I812">
        <v>132.72483869999999</v>
      </c>
      <c r="J812" s="3">
        <v>8.0990000000000002</v>
      </c>
    </row>
    <row r="813" spans="1:10" x14ac:dyDescent="0.25">
      <c r="A813">
        <v>15</v>
      </c>
      <c r="B813" s="1">
        <v>40460</v>
      </c>
      <c r="C813">
        <v>10</v>
      </c>
      <c r="D813">
        <v>2010</v>
      </c>
      <c r="E813" s="2">
        <v>641965.19999999995</v>
      </c>
      <c r="F813">
        <v>1</v>
      </c>
      <c r="G813" s="3">
        <v>62.36</v>
      </c>
      <c r="H813" s="2">
        <v>2.8370000000000002</v>
      </c>
      <c r="I813">
        <v>132.75645159999999</v>
      </c>
      <c r="J813" s="3">
        <v>8.0990000000000002</v>
      </c>
    </row>
    <row r="814" spans="1:10" x14ac:dyDescent="0.25">
      <c r="A814">
        <v>15</v>
      </c>
      <c r="B814" s="1">
        <v>40188</v>
      </c>
      <c r="C814">
        <v>1</v>
      </c>
      <c r="D814">
        <v>2010</v>
      </c>
      <c r="E814" s="2">
        <v>566945.94999999995</v>
      </c>
      <c r="F814">
        <v>0</v>
      </c>
      <c r="G814" s="3">
        <v>59.69</v>
      </c>
      <c r="H814" s="2">
        <v>2.84</v>
      </c>
      <c r="I814">
        <v>132.7568</v>
      </c>
      <c r="J814" s="3">
        <v>8.0670000000000002</v>
      </c>
    </row>
    <row r="815" spans="1:10" x14ac:dyDescent="0.25">
      <c r="A815">
        <v>15</v>
      </c>
      <c r="B815" s="1">
        <v>40400</v>
      </c>
      <c r="C815">
        <v>8</v>
      </c>
      <c r="D815">
        <v>2010</v>
      </c>
      <c r="E815" s="2">
        <v>591603.79</v>
      </c>
      <c r="F815">
        <v>0</v>
      </c>
      <c r="G815" s="3">
        <v>52.19</v>
      </c>
      <c r="H815" s="2">
        <v>2.903</v>
      </c>
      <c r="I815">
        <v>132.75166669999999</v>
      </c>
      <c r="J815" s="3">
        <v>8.0670000000000002</v>
      </c>
    </row>
    <row r="816" spans="1:10" x14ac:dyDescent="0.25">
      <c r="A816">
        <v>15</v>
      </c>
      <c r="B816" s="1">
        <v>40309</v>
      </c>
      <c r="C816">
        <v>5</v>
      </c>
      <c r="D816">
        <v>2010</v>
      </c>
      <c r="E816" s="2">
        <v>612987.64</v>
      </c>
      <c r="F816">
        <v>0</v>
      </c>
      <c r="G816" s="3">
        <v>40.29</v>
      </c>
      <c r="H816" s="2">
        <v>3.0489999999999999</v>
      </c>
      <c r="I816">
        <v>132.92458060000001</v>
      </c>
      <c r="J816" s="3">
        <v>8.0670000000000002</v>
      </c>
    </row>
    <row r="817" spans="1:10" x14ac:dyDescent="0.25">
      <c r="A817">
        <v>15</v>
      </c>
      <c r="B817" s="1">
        <v>40523</v>
      </c>
      <c r="C817">
        <v>12</v>
      </c>
      <c r="D817">
        <v>2010</v>
      </c>
      <c r="E817" s="2">
        <v>619639.74</v>
      </c>
      <c r="F817">
        <v>0</v>
      </c>
      <c r="G817" s="3">
        <v>39.630000000000003</v>
      </c>
      <c r="H817" s="2">
        <v>3.0649999999999999</v>
      </c>
      <c r="I817">
        <v>132.97832260000001</v>
      </c>
      <c r="J817" s="3">
        <v>8.0670000000000002</v>
      </c>
    </row>
    <row r="818" spans="1:10" x14ac:dyDescent="0.25">
      <c r="A818">
        <v>15</v>
      </c>
      <c r="B818" s="1">
        <v>40249</v>
      </c>
      <c r="C818">
        <v>3</v>
      </c>
      <c r="D818">
        <v>2010</v>
      </c>
      <c r="E818" s="2">
        <v>754134.95</v>
      </c>
      <c r="F818">
        <v>0</v>
      </c>
      <c r="G818" s="3">
        <v>36</v>
      </c>
      <c r="H818" s="2">
        <v>3.2</v>
      </c>
      <c r="I818">
        <v>132.75666670000001</v>
      </c>
      <c r="J818" s="3">
        <v>8.0670000000000002</v>
      </c>
    </row>
    <row r="819" spans="1:10" x14ac:dyDescent="0.25">
      <c r="A819">
        <v>15</v>
      </c>
      <c r="B819" s="1">
        <v>40463</v>
      </c>
      <c r="C819">
        <v>10</v>
      </c>
      <c r="D819">
        <v>2010</v>
      </c>
      <c r="E819" s="2">
        <v>847294.04</v>
      </c>
      <c r="F819">
        <v>0</v>
      </c>
      <c r="G819" s="3">
        <v>23.97</v>
      </c>
      <c r="H819" s="2">
        <v>3.2549999999999999</v>
      </c>
      <c r="I819">
        <v>132.6764</v>
      </c>
      <c r="J819" s="3">
        <v>8.0670000000000002</v>
      </c>
    </row>
    <row r="820" spans="1:10" x14ac:dyDescent="0.25">
      <c r="A820">
        <v>15</v>
      </c>
      <c r="B820" s="1">
        <v>40725</v>
      </c>
      <c r="C820">
        <v>7</v>
      </c>
      <c r="D820">
        <v>2011</v>
      </c>
      <c r="E820" s="2">
        <v>509640.77</v>
      </c>
      <c r="F820">
        <v>0</v>
      </c>
      <c r="G820" s="3">
        <v>30.53</v>
      </c>
      <c r="H820" s="2">
        <v>3.351</v>
      </c>
      <c r="I820">
        <v>132.88232260000001</v>
      </c>
      <c r="J820" s="3">
        <v>7.7709999999999999</v>
      </c>
    </row>
    <row r="821" spans="1:10" x14ac:dyDescent="0.25">
      <c r="A821">
        <v>15</v>
      </c>
      <c r="B821" s="1">
        <v>40635</v>
      </c>
      <c r="C821">
        <v>4</v>
      </c>
      <c r="D821">
        <v>2011</v>
      </c>
      <c r="E821" s="2">
        <v>556550.85</v>
      </c>
      <c r="F821">
        <v>0</v>
      </c>
      <c r="G821" s="3">
        <v>20.69</v>
      </c>
      <c r="H821" s="2">
        <v>3.4</v>
      </c>
      <c r="I821">
        <v>133.18341939999999</v>
      </c>
      <c r="J821" s="3">
        <v>7.7709999999999999</v>
      </c>
    </row>
    <row r="822" spans="1:10" x14ac:dyDescent="0.25">
      <c r="A822">
        <v>15</v>
      </c>
      <c r="B822" s="1">
        <v>40849</v>
      </c>
      <c r="C822">
        <v>11</v>
      </c>
      <c r="D822">
        <v>2011</v>
      </c>
      <c r="E822" s="2">
        <v>582864.35</v>
      </c>
      <c r="F822">
        <v>1</v>
      </c>
      <c r="G822" s="3">
        <v>21.64</v>
      </c>
      <c r="H822" s="2">
        <v>3.4159999999999999</v>
      </c>
      <c r="I822">
        <v>133.26087100000001</v>
      </c>
      <c r="J822" s="3">
        <v>7.7709999999999999</v>
      </c>
    </row>
    <row r="823" spans="1:10" x14ac:dyDescent="0.25">
      <c r="A823">
        <v>15</v>
      </c>
      <c r="B823" s="1">
        <v>40636</v>
      </c>
      <c r="C823">
        <v>4</v>
      </c>
      <c r="D823">
        <v>2011</v>
      </c>
      <c r="E823" s="2">
        <v>573374.49</v>
      </c>
      <c r="F823">
        <v>0</v>
      </c>
      <c r="G823" s="3">
        <v>28.16</v>
      </c>
      <c r="H823" s="2">
        <v>3.605</v>
      </c>
      <c r="I823">
        <v>133.61414289999999</v>
      </c>
      <c r="J823" s="3">
        <v>7.7709999999999999</v>
      </c>
    </row>
    <row r="824" spans="1:10" x14ac:dyDescent="0.25">
      <c r="A824">
        <v>15</v>
      </c>
      <c r="B824" s="1">
        <v>40850</v>
      </c>
      <c r="C824">
        <v>11</v>
      </c>
      <c r="D824">
        <v>2011</v>
      </c>
      <c r="E824" s="2">
        <v>537035.28</v>
      </c>
      <c r="F824">
        <v>0</v>
      </c>
      <c r="G824" s="3">
        <v>34.270000000000003</v>
      </c>
      <c r="H824" s="2">
        <v>3.7519999999999998</v>
      </c>
      <c r="I824">
        <v>133.7361429</v>
      </c>
      <c r="J824" s="3">
        <v>7.7709999999999999</v>
      </c>
    </row>
    <row r="825" spans="1:10" x14ac:dyDescent="0.25">
      <c r="A825">
        <v>15</v>
      </c>
      <c r="B825" s="1">
        <v>40547</v>
      </c>
      <c r="C825">
        <v>1</v>
      </c>
      <c r="D825">
        <v>2011</v>
      </c>
      <c r="E825" s="2">
        <v>542556.05000000005</v>
      </c>
      <c r="F825">
        <v>0</v>
      </c>
      <c r="G825" s="3">
        <v>30.34</v>
      </c>
      <c r="H825" s="2">
        <v>3.8109999999999999</v>
      </c>
      <c r="I825">
        <v>134.06825810000001</v>
      </c>
      <c r="J825" s="3">
        <v>7.6580000000000004</v>
      </c>
    </row>
    <row r="826" spans="1:10" x14ac:dyDescent="0.25">
      <c r="A826">
        <v>15</v>
      </c>
      <c r="B826" s="1">
        <v>40759</v>
      </c>
      <c r="C826">
        <v>8</v>
      </c>
      <c r="D826">
        <v>2011</v>
      </c>
      <c r="E826" s="2">
        <v>587370.81000000006</v>
      </c>
      <c r="F826">
        <v>0</v>
      </c>
      <c r="G826" s="3">
        <v>40.94</v>
      </c>
      <c r="H826" s="2">
        <v>3.895</v>
      </c>
      <c r="I826">
        <v>134.17777419999999</v>
      </c>
      <c r="J826" s="3">
        <v>7.6580000000000004</v>
      </c>
    </row>
    <row r="827" spans="1:10" x14ac:dyDescent="0.25">
      <c r="A827">
        <v>15</v>
      </c>
      <c r="B827" s="1">
        <v>40699</v>
      </c>
      <c r="C827">
        <v>6</v>
      </c>
      <c r="D827">
        <v>2011</v>
      </c>
      <c r="E827" s="2">
        <v>630522.67000000004</v>
      </c>
      <c r="F827">
        <v>0</v>
      </c>
      <c r="G827" s="3">
        <v>49.87</v>
      </c>
      <c r="H827" s="2">
        <v>4.1920000000000002</v>
      </c>
      <c r="I827">
        <v>134.51436670000001</v>
      </c>
      <c r="J827" s="3">
        <v>7.6580000000000004</v>
      </c>
    </row>
    <row r="828" spans="1:10" x14ac:dyDescent="0.25">
      <c r="A828">
        <v>15</v>
      </c>
      <c r="B828" s="1">
        <v>40608</v>
      </c>
      <c r="C828">
        <v>3</v>
      </c>
      <c r="D828">
        <v>2011</v>
      </c>
      <c r="E828" s="2">
        <v>695396.19</v>
      </c>
      <c r="F828">
        <v>0</v>
      </c>
      <c r="G828" s="3">
        <v>69.8</v>
      </c>
      <c r="H828" s="2">
        <v>4.069</v>
      </c>
      <c r="I828">
        <v>134.85516129999999</v>
      </c>
      <c r="J828" s="3">
        <v>7.6580000000000004</v>
      </c>
    </row>
    <row r="829" spans="1:10" x14ac:dyDescent="0.25">
      <c r="A829">
        <v>15</v>
      </c>
      <c r="B829" s="1">
        <v>40822</v>
      </c>
      <c r="C829">
        <v>10</v>
      </c>
      <c r="D829">
        <v>2011</v>
      </c>
      <c r="E829" s="2">
        <v>642679.81000000006</v>
      </c>
      <c r="F829">
        <v>0</v>
      </c>
      <c r="G829" s="3">
        <v>69.86</v>
      </c>
      <c r="H829" s="2">
        <v>4.0250000000000004</v>
      </c>
      <c r="I829">
        <v>134.94254839999999</v>
      </c>
      <c r="J829" s="3">
        <v>7.6580000000000004</v>
      </c>
    </row>
    <row r="830" spans="1:10" x14ac:dyDescent="0.25">
      <c r="A830">
        <v>15</v>
      </c>
      <c r="B830" s="1">
        <v>40550</v>
      </c>
      <c r="C830">
        <v>1</v>
      </c>
      <c r="D830">
        <v>2011</v>
      </c>
      <c r="E830" s="2">
        <v>674669.16</v>
      </c>
      <c r="F830">
        <v>0</v>
      </c>
      <c r="G830" s="3">
        <v>67.430000000000007</v>
      </c>
      <c r="H830" s="2">
        <v>3.9159999999999999</v>
      </c>
      <c r="I830">
        <v>135.4468</v>
      </c>
      <c r="J830" s="3">
        <v>7.806</v>
      </c>
    </row>
    <row r="831" spans="1:10" x14ac:dyDescent="0.25">
      <c r="A831">
        <v>15</v>
      </c>
      <c r="B831" s="1">
        <v>40762</v>
      </c>
      <c r="C831">
        <v>8</v>
      </c>
      <c r="D831">
        <v>2011</v>
      </c>
      <c r="E831" s="2">
        <v>635118.48</v>
      </c>
      <c r="F831">
        <v>0</v>
      </c>
      <c r="G831" s="3">
        <v>73.47</v>
      </c>
      <c r="H831" s="2">
        <v>3.8860000000000001</v>
      </c>
      <c r="I831">
        <v>135.62833330000001</v>
      </c>
      <c r="J831" s="3">
        <v>7.806</v>
      </c>
    </row>
    <row r="832" spans="1:10" x14ac:dyDescent="0.25">
      <c r="A832">
        <v>15</v>
      </c>
      <c r="B832" s="1">
        <v>40671</v>
      </c>
      <c r="C832">
        <v>5</v>
      </c>
      <c r="D832">
        <v>2011</v>
      </c>
      <c r="E832" s="2">
        <v>607961.21</v>
      </c>
      <c r="F832">
        <v>0</v>
      </c>
      <c r="G832" s="3">
        <v>73.63</v>
      </c>
      <c r="H832" s="2">
        <v>4.0199999999999996</v>
      </c>
      <c r="I832">
        <v>136.05403229999999</v>
      </c>
      <c r="J832" s="3">
        <v>7.806</v>
      </c>
    </row>
    <row r="833" spans="1:10" x14ac:dyDescent="0.25">
      <c r="A833">
        <v>15</v>
      </c>
      <c r="B833" s="1">
        <v>40885</v>
      </c>
      <c r="C833">
        <v>12</v>
      </c>
      <c r="D833">
        <v>2011</v>
      </c>
      <c r="E833" s="2">
        <v>590836.37</v>
      </c>
      <c r="F833">
        <v>0</v>
      </c>
      <c r="G833" s="3">
        <v>70.63</v>
      </c>
      <c r="H833" s="2">
        <v>3.9950000000000001</v>
      </c>
      <c r="I833">
        <v>136.14412899999999</v>
      </c>
      <c r="J833" s="3">
        <v>7.806</v>
      </c>
    </row>
    <row r="834" spans="1:10" x14ac:dyDescent="0.25">
      <c r="A834">
        <v>15</v>
      </c>
      <c r="B834" s="1">
        <v>40583</v>
      </c>
      <c r="C834">
        <v>2</v>
      </c>
      <c r="D834">
        <v>2011</v>
      </c>
      <c r="E834" s="2">
        <v>649159.68000000005</v>
      </c>
      <c r="F834">
        <v>0</v>
      </c>
      <c r="G834" s="3">
        <v>67.63</v>
      </c>
      <c r="H834" s="2">
        <v>3.879</v>
      </c>
      <c r="I834">
        <v>136.24409679999999</v>
      </c>
      <c r="J834" s="3">
        <v>7.806</v>
      </c>
    </row>
    <row r="835" spans="1:10" x14ac:dyDescent="0.25">
      <c r="A835">
        <v>15</v>
      </c>
      <c r="B835" s="1">
        <v>40795</v>
      </c>
      <c r="C835">
        <v>9</v>
      </c>
      <c r="D835">
        <v>2011</v>
      </c>
      <c r="E835" s="2">
        <v>607593.51</v>
      </c>
      <c r="F835">
        <v>1</v>
      </c>
      <c r="G835" s="3">
        <v>67.59</v>
      </c>
      <c r="H835" s="2">
        <v>3.93</v>
      </c>
      <c r="I835">
        <v>136.27458060000001</v>
      </c>
      <c r="J835" s="3">
        <v>7.806</v>
      </c>
    </row>
    <row r="836" spans="1:10" x14ac:dyDescent="0.25">
      <c r="A836">
        <v>15</v>
      </c>
      <c r="B836" s="1">
        <v>40734</v>
      </c>
      <c r="C836">
        <v>7</v>
      </c>
      <c r="D836">
        <v>2011</v>
      </c>
      <c r="E836" s="2">
        <v>579068.88</v>
      </c>
      <c r="F836">
        <v>0</v>
      </c>
      <c r="G836" s="3">
        <v>51.24</v>
      </c>
      <c r="H836" s="2">
        <v>3.7749999999999999</v>
      </c>
      <c r="I836">
        <v>136.47200000000001</v>
      </c>
      <c r="J836" s="3">
        <v>7.8659999999999997</v>
      </c>
    </row>
    <row r="837" spans="1:10" x14ac:dyDescent="0.25">
      <c r="A837">
        <v>15</v>
      </c>
      <c r="B837" s="1">
        <v>40644</v>
      </c>
      <c r="C837">
        <v>4</v>
      </c>
      <c r="D837">
        <v>2011</v>
      </c>
      <c r="E837" s="2">
        <v>615121.78</v>
      </c>
      <c r="F837">
        <v>0</v>
      </c>
      <c r="G837" s="3">
        <v>43.39</v>
      </c>
      <c r="H837" s="2">
        <v>3.738</v>
      </c>
      <c r="I837">
        <v>136.47512900000001</v>
      </c>
      <c r="J837" s="3">
        <v>7.8659999999999997</v>
      </c>
    </row>
    <row r="838" spans="1:10" x14ac:dyDescent="0.25">
      <c r="A838">
        <v>15</v>
      </c>
      <c r="B838" s="1">
        <v>40858</v>
      </c>
      <c r="C838">
        <v>11</v>
      </c>
      <c r="D838">
        <v>2011</v>
      </c>
      <c r="E838" s="2">
        <v>618949.81999999995</v>
      </c>
      <c r="F838">
        <v>0</v>
      </c>
      <c r="G838" s="3">
        <v>47.13</v>
      </c>
      <c r="H838" s="2">
        <v>3.7189999999999999</v>
      </c>
      <c r="I838">
        <v>136.46180649999999</v>
      </c>
      <c r="J838" s="3">
        <v>7.8659999999999997</v>
      </c>
    </row>
    <row r="839" spans="1:10" x14ac:dyDescent="0.25">
      <c r="A839">
        <v>15</v>
      </c>
      <c r="B839" s="1">
        <v>40586</v>
      </c>
      <c r="C839">
        <v>2</v>
      </c>
      <c r="D839">
        <v>2011</v>
      </c>
      <c r="E839" s="2">
        <v>699028.66</v>
      </c>
      <c r="F839">
        <v>0</v>
      </c>
      <c r="G839" s="3">
        <v>45.67</v>
      </c>
      <c r="H839" s="2">
        <v>3.6659999999999999</v>
      </c>
      <c r="I839">
        <v>136.49093329999999</v>
      </c>
      <c r="J839" s="3">
        <v>7.8659999999999997</v>
      </c>
    </row>
    <row r="840" spans="1:10" x14ac:dyDescent="0.25">
      <c r="A840">
        <v>15</v>
      </c>
      <c r="B840" s="1">
        <v>40798</v>
      </c>
      <c r="C840">
        <v>9</v>
      </c>
      <c r="D840">
        <v>2011</v>
      </c>
      <c r="E840" s="2">
        <v>764565.55</v>
      </c>
      <c r="F840">
        <v>0</v>
      </c>
      <c r="G840" s="3">
        <v>38.53</v>
      </c>
      <c r="H840" s="2">
        <v>3.6269999999999998</v>
      </c>
      <c r="I840">
        <v>136.50306670000001</v>
      </c>
      <c r="J840" s="3">
        <v>7.8659999999999997</v>
      </c>
    </row>
    <row r="841" spans="1:10" x14ac:dyDescent="0.25">
      <c r="A841">
        <v>15</v>
      </c>
      <c r="B841" s="1">
        <v>41061</v>
      </c>
      <c r="C841">
        <v>6</v>
      </c>
      <c r="D841">
        <v>2012</v>
      </c>
      <c r="E841" s="2">
        <v>516087.65</v>
      </c>
      <c r="F841">
        <v>0</v>
      </c>
      <c r="G841" s="3">
        <v>30.24</v>
      </c>
      <c r="H841" s="2">
        <v>3.585</v>
      </c>
      <c r="I841">
        <v>136.69812899999999</v>
      </c>
      <c r="J841" s="3">
        <v>7.9429999999999996</v>
      </c>
    </row>
    <row r="842" spans="1:10" x14ac:dyDescent="0.25">
      <c r="A842">
        <v>15</v>
      </c>
      <c r="B842" s="1">
        <v>40970</v>
      </c>
      <c r="C842">
        <v>3</v>
      </c>
      <c r="D842">
        <v>2012</v>
      </c>
      <c r="E842" s="2">
        <v>523831.64</v>
      </c>
      <c r="F842">
        <v>0</v>
      </c>
      <c r="G842" s="3">
        <v>35.299999999999997</v>
      </c>
      <c r="H842" s="2">
        <v>3.7959999999999998</v>
      </c>
      <c r="I842">
        <v>137.06325810000001</v>
      </c>
      <c r="J842" s="3">
        <v>7.9429999999999996</v>
      </c>
    </row>
    <row r="843" spans="1:10" x14ac:dyDescent="0.25">
      <c r="A843">
        <v>15</v>
      </c>
      <c r="B843" s="1">
        <v>41184</v>
      </c>
      <c r="C843">
        <v>10</v>
      </c>
      <c r="D843">
        <v>2012</v>
      </c>
      <c r="E843" s="2">
        <v>628218.22</v>
      </c>
      <c r="F843">
        <v>1</v>
      </c>
      <c r="G843" s="3">
        <v>31.91</v>
      </c>
      <c r="H843" s="2">
        <v>3.8260000000000001</v>
      </c>
      <c r="I843">
        <v>137.1666774</v>
      </c>
      <c r="J843" s="3">
        <v>7.9429999999999996</v>
      </c>
    </row>
    <row r="844" spans="1:10" x14ac:dyDescent="0.25">
      <c r="A844">
        <v>15</v>
      </c>
      <c r="B844" s="1">
        <v>40942</v>
      </c>
      <c r="C844">
        <v>2</v>
      </c>
      <c r="D844">
        <v>2012</v>
      </c>
      <c r="E844" s="2">
        <v>541292.64</v>
      </c>
      <c r="F844">
        <v>0</v>
      </c>
      <c r="G844" s="3">
        <v>33.24</v>
      </c>
      <c r="H844" s="2">
        <v>3.9830000000000001</v>
      </c>
      <c r="I844">
        <v>137.42389660000001</v>
      </c>
      <c r="J844" s="3">
        <v>7.9429999999999996</v>
      </c>
    </row>
    <row r="845" spans="1:10" x14ac:dyDescent="0.25">
      <c r="A845">
        <v>15</v>
      </c>
      <c r="B845" s="1">
        <v>41155</v>
      </c>
      <c r="C845">
        <v>9</v>
      </c>
      <c r="D845">
        <v>2012</v>
      </c>
      <c r="E845" s="2">
        <v>545120.67000000004</v>
      </c>
      <c r="F845">
        <v>0</v>
      </c>
      <c r="G845" s="3">
        <v>36.97</v>
      </c>
      <c r="H845" s="2">
        <v>4.0209999999999999</v>
      </c>
      <c r="I845">
        <v>137.50668970000001</v>
      </c>
      <c r="J845" s="3">
        <v>7.9429999999999996</v>
      </c>
    </row>
    <row r="846" spans="1:10" x14ac:dyDescent="0.25">
      <c r="A846">
        <v>15</v>
      </c>
      <c r="B846" s="1">
        <v>41064</v>
      </c>
      <c r="C846">
        <v>6</v>
      </c>
      <c r="D846">
        <v>2012</v>
      </c>
      <c r="E846" s="2">
        <v>659950.36</v>
      </c>
      <c r="F846">
        <v>0</v>
      </c>
      <c r="G846" s="3">
        <v>40.01</v>
      </c>
      <c r="H846" s="2">
        <v>4.1429999999999998</v>
      </c>
      <c r="I846">
        <v>137.79709679999999</v>
      </c>
      <c r="J846" s="3">
        <v>8.15</v>
      </c>
    </row>
    <row r="847" spans="1:10" x14ac:dyDescent="0.25">
      <c r="A847">
        <v>15</v>
      </c>
      <c r="B847" s="1">
        <v>41004</v>
      </c>
      <c r="C847">
        <v>4</v>
      </c>
      <c r="D847">
        <v>2012</v>
      </c>
      <c r="E847" s="2">
        <v>577868.38</v>
      </c>
      <c r="F847">
        <v>0</v>
      </c>
      <c r="G847" s="3">
        <v>51.04</v>
      </c>
      <c r="H847" s="2">
        <v>4.1239999999999997</v>
      </c>
      <c r="I847">
        <v>138.03319999999999</v>
      </c>
      <c r="J847" s="3">
        <v>8.15</v>
      </c>
    </row>
    <row r="848" spans="1:10" x14ac:dyDescent="0.25">
      <c r="A848">
        <v>15</v>
      </c>
      <c r="B848" s="1">
        <v>41218</v>
      </c>
      <c r="C848">
        <v>11</v>
      </c>
      <c r="D848">
        <v>2012</v>
      </c>
      <c r="E848" s="2">
        <v>579539.94999999995</v>
      </c>
      <c r="F848">
        <v>0</v>
      </c>
      <c r="G848" s="3">
        <v>54.23</v>
      </c>
      <c r="H848" s="2">
        <v>4.0549999999999997</v>
      </c>
      <c r="I848">
        <v>138.08826669999999</v>
      </c>
      <c r="J848" s="3">
        <v>8.15</v>
      </c>
    </row>
    <row r="849" spans="1:10" x14ac:dyDescent="0.25">
      <c r="A849">
        <v>15</v>
      </c>
      <c r="B849" s="1">
        <v>40914</v>
      </c>
      <c r="C849">
        <v>1</v>
      </c>
      <c r="D849">
        <v>2012</v>
      </c>
      <c r="E849" s="2">
        <v>663971.26</v>
      </c>
      <c r="F849">
        <v>0</v>
      </c>
      <c r="G849" s="3">
        <v>67.61</v>
      </c>
      <c r="H849" s="2">
        <v>3.915</v>
      </c>
      <c r="I849">
        <v>138.11380650000001</v>
      </c>
      <c r="J849" s="3">
        <v>8.15</v>
      </c>
    </row>
    <row r="850" spans="1:10" x14ac:dyDescent="0.25">
      <c r="A850">
        <v>15</v>
      </c>
      <c r="B850" s="1">
        <v>41127</v>
      </c>
      <c r="C850">
        <v>8</v>
      </c>
      <c r="D850">
        <v>2012</v>
      </c>
      <c r="E850" s="2">
        <v>611390.67000000004</v>
      </c>
      <c r="F850">
        <v>0</v>
      </c>
      <c r="G850" s="3">
        <v>59.35</v>
      </c>
      <c r="H850" s="2">
        <v>3.871</v>
      </c>
      <c r="I850">
        <v>138.11741939999999</v>
      </c>
      <c r="J850" s="3">
        <v>8.15</v>
      </c>
    </row>
    <row r="851" spans="1:10" x14ac:dyDescent="0.25">
      <c r="A851">
        <v>15</v>
      </c>
      <c r="B851" s="1">
        <v>41067</v>
      </c>
      <c r="C851">
        <v>6</v>
      </c>
      <c r="D851">
        <v>2012</v>
      </c>
      <c r="E851" s="2">
        <v>678024.75</v>
      </c>
      <c r="F851">
        <v>0</v>
      </c>
      <c r="G851" s="3">
        <v>74.64</v>
      </c>
      <c r="H851" s="2">
        <v>3.6459999999999999</v>
      </c>
      <c r="I851">
        <v>138.22963329999999</v>
      </c>
      <c r="J851" s="3">
        <v>8.1929999999999996</v>
      </c>
    </row>
    <row r="852" spans="1:10" x14ac:dyDescent="0.25">
      <c r="A852">
        <v>15</v>
      </c>
      <c r="B852" s="1">
        <v>40976</v>
      </c>
      <c r="C852">
        <v>3</v>
      </c>
      <c r="D852">
        <v>2012</v>
      </c>
      <c r="E852" s="2">
        <v>590739.62</v>
      </c>
      <c r="F852">
        <v>0</v>
      </c>
      <c r="G852" s="3">
        <v>73.13</v>
      </c>
      <c r="H852" s="2">
        <v>3.819</v>
      </c>
      <c r="I852">
        <v>138.17358060000001</v>
      </c>
      <c r="J852" s="3">
        <v>8.1929999999999996</v>
      </c>
    </row>
    <row r="853" spans="1:10" x14ac:dyDescent="0.25">
      <c r="A853">
        <v>15</v>
      </c>
      <c r="B853" s="1">
        <v>41190</v>
      </c>
      <c r="C853">
        <v>10</v>
      </c>
      <c r="D853">
        <v>2012</v>
      </c>
      <c r="E853" s="2">
        <v>590453.63</v>
      </c>
      <c r="F853">
        <v>0</v>
      </c>
      <c r="G853" s="3">
        <v>73.989999999999995</v>
      </c>
      <c r="H853" s="2">
        <v>3.863</v>
      </c>
      <c r="I853">
        <v>138.1437742</v>
      </c>
      <c r="J853" s="3">
        <v>8.1929999999999996</v>
      </c>
    </row>
    <row r="854" spans="1:10" x14ac:dyDescent="0.25">
      <c r="A854">
        <v>15</v>
      </c>
      <c r="B854" s="1">
        <v>41099</v>
      </c>
      <c r="C854">
        <v>7</v>
      </c>
      <c r="D854">
        <v>2012</v>
      </c>
      <c r="E854" s="2">
        <v>587259.81999999995</v>
      </c>
      <c r="F854">
        <v>1</v>
      </c>
      <c r="G854" s="3">
        <v>71.61</v>
      </c>
      <c r="H854" s="2">
        <v>4.0759999999999996</v>
      </c>
      <c r="I854">
        <v>138.47293550000001</v>
      </c>
      <c r="J854" s="3">
        <v>8.1929999999999996</v>
      </c>
    </row>
    <row r="855" spans="1:10" x14ac:dyDescent="0.25">
      <c r="A855">
        <v>15</v>
      </c>
      <c r="B855" s="1">
        <v>41039</v>
      </c>
      <c r="C855">
        <v>5</v>
      </c>
      <c r="D855">
        <v>2012</v>
      </c>
      <c r="E855" s="2">
        <v>573498.64</v>
      </c>
      <c r="F855">
        <v>0</v>
      </c>
      <c r="G855" s="3">
        <v>59.57</v>
      </c>
      <c r="H855" s="2">
        <v>4.1509999999999998</v>
      </c>
      <c r="I855">
        <v>138.82560000000001</v>
      </c>
      <c r="J855" s="3">
        <v>7.992</v>
      </c>
    </row>
    <row r="856" spans="1:10" x14ac:dyDescent="0.25">
      <c r="A856">
        <v>15</v>
      </c>
      <c r="B856" s="1">
        <v>41253</v>
      </c>
      <c r="C856">
        <v>12</v>
      </c>
      <c r="D856">
        <v>2012</v>
      </c>
      <c r="E856" s="2">
        <v>551799.63</v>
      </c>
      <c r="F856">
        <v>0</v>
      </c>
      <c r="G856" s="3">
        <v>49.12</v>
      </c>
      <c r="H856" s="2">
        <v>4.1859999999999999</v>
      </c>
      <c r="I856">
        <v>138.9117</v>
      </c>
      <c r="J856" s="3">
        <v>7.992</v>
      </c>
    </row>
    <row r="857" spans="1:10" x14ac:dyDescent="0.25">
      <c r="A857">
        <v>16</v>
      </c>
      <c r="B857" s="1">
        <v>40300</v>
      </c>
      <c r="C857">
        <v>5</v>
      </c>
      <c r="D857">
        <v>2010</v>
      </c>
      <c r="E857" s="2">
        <v>477409.3</v>
      </c>
      <c r="F857">
        <v>0</v>
      </c>
      <c r="G857" s="3">
        <v>19.79</v>
      </c>
      <c r="H857" s="2">
        <v>2.58</v>
      </c>
      <c r="I857">
        <v>189.38169740000001</v>
      </c>
      <c r="J857" s="3">
        <v>7.0389999999999997</v>
      </c>
    </row>
    <row r="858" spans="1:10" x14ac:dyDescent="0.25">
      <c r="A858">
        <v>16</v>
      </c>
      <c r="B858" s="1">
        <v>40514</v>
      </c>
      <c r="C858">
        <v>12</v>
      </c>
      <c r="D858">
        <v>2010</v>
      </c>
      <c r="E858" s="2">
        <v>472044.28</v>
      </c>
      <c r="F858">
        <v>1</v>
      </c>
      <c r="G858" s="3">
        <v>20.87</v>
      </c>
      <c r="H858" s="2">
        <v>2.5720000000000001</v>
      </c>
      <c r="I858">
        <v>189.46427249999999</v>
      </c>
      <c r="J858" s="3">
        <v>7.0389999999999997</v>
      </c>
    </row>
    <row r="859" spans="1:10" x14ac:dyDescent="0.25">
      <c r="A859">
        <v>16</v>
      </c>
      <c r="B859" s="1">
        <v>40301</v>
      </c>
      <c r="C859">
        <v>5</v>
      </c>
      <c r="D859">
        <v>2010</v>
      </c>
      <c r="E859" s="2">
        <v>444181.85</v>
      </c>
      <c r="F859">
        <v>0</v>
      </c>
      <c r="G859" s="3">
        <v>27.92</v>
      </c>
      <c r="H859" s="2">
        <v>2.62</v>
      </c>
      <c r="I859">
        <v>189.66950489999999</v>
      </c>
      <c r="J859" s="3">
        <v>7.0389999999999997</v>
      </c>
    </row>
    <row r="860" spans="1:10" x14ac:dyDescent="0.25">
      <c r="A860">
        <v>16</v>
      </c>
      <c r="B860" s="1">
        <v>40515</v>
      </c>
      <c r="C860">
        <v>12</v>
      </c>
      <c r="D860">
        <v>2010</v>
      </c>
      <c r="E860" s="2">
        <v>445393.74</v>
      </c>
      <c r="F860">
        <v>0</v>
      </c>
      <c r="G860" s="3">
        <v>28.64</v>
      </c>
      <c r="H860" s="2">
        <v>2.6840000000000002</v>
      </c>
      <c r="I860">
        <v>189.73720750000001</v>
      </c>
      <c r="J860" s="3">
        <v>7.0389999999999997</v>
      </c>
    </row>
    <row r="861" spans="1:10" x14ac:dyDescent="0.25">
      <c r="A861">
        <v>16</v>
      </c>
      <c r="B861" s="1">
        <v>40213</v>
      </c>
      <c r="C861">
        <v>2</v>
      </c>
      <c r="D861">
        <v>2010</v>
      </c>
      <c r="E861" s="2">
        <v>490503.69</v>
      </c>
      <c r="F861">
        <v>0</v>
      </c>
      <c r="G861" s="3">
        <v>36.19</v>
      </c>
      <c r="H861" s="2">
        <v>2.7250000000000001</v>
      </c>
      <c r="I861">
        <v>189.70482150000001</v>
      </c>
      <c r="J861" s="3">
        <v>6.8419999999999996</v>
      </c>
    </row>
    <row r="862" spans="1:10" x14ac:dyDescent="0.25">
      <c r="A862">
        <v>16</v>
      </c>
      <c r="B862" s="1">
        <v>40425</v>
      </c>
      <c r="C862">
        <v>9</v>
      </c>
      <c r="D862">
        <v>2010</v>
      </c>
      <c r="E862" s="2">
        <v>424083.99</v>
      </c>
      <c r="F862">
        <v>0</v>
      </c>
      <c r="G862" s="3">
        <v>34.21</v>
      </c>
      <c r="H862" s="2">
        <v>2.75</v>
      </c>
      <c r="I862">
        <v>189.69010119999999</v>
      </c>
      <c r="J862" s="3">
        <v>6.8419999999999996</v>
      </c>
    </row>
    <row r="863" spans="1:10" x14ac:dyDescent="0.25">
      <c r="A863">
        <v>16</v>
      </c>
      <c r="B863" s="1">
        <v>40364</v>
      </c>
      <c r="C863">
        <v>7</v>
      </c>
      <c r="D863">
        <v>2010</v>
      </c>
      <c r="E863" s="2">
        <v>403217.22</v>
      </c>
      <c r="F863">
        <v>0</v>
      </c>
      <c r="G863" s="3">
        <v>37.43</v>
      </c>
      <c r="H863" s="2">
        <v>2.7709999999999999</v>
      </c>
      <c r="I863">
        <v>189.53124829999999</v>
      </c>
      <c r="J863" s="3">
        <v>6.8419999999999996</v>
      </c>
    </row>
    <row r="864" spans="1:10" x14ac:dyDescent="0.25">
      <c r="A864">
        <v>16</v>
      </c>
      <c r="B864" s="1">
        <v>40274</v>
      </c>
      <c r="C864">
        <v>4</v>
      </c>
      <c r="D864">
        <v>2010</v>
      </c>
      <c r="E864" s="2">
        <v>516295.81</v>
      </c>
      <c r="F864">
        <v>0</v>
      </c>
      <c r="G864" s="3">
        <v>53.76</v>
      </c>
      <c r="H864" s="2">
        <v>2.7</v>
      </c>
      <c r="I864">
        <v>189.42265800000001</v>
      </c>
      <c r="J864" s="3">
        <v>6.8419999999999996</v>
      </c>
    </row>
    <row r="865" spans="1:10" x14ac:dyDescent="0.25">
      <c r="A865">
        <v>16</v>
      </c>
      <c r="B865" s="1">
        <v>40488</v>
      </c>
      <c r="C865">
        <v>11</v>
      </c>
      <c r="D865">
        <v>2010</v>
      </c>
      <c r="E865" s="2">
        <v>535587.31000000006</v>
      </c>
      <c r="F865">
        <v>0</v>
      </c>
      <c r="G865" s="3">
        <v>62.63</v>
      </c>
      <c r="H865" s="2">
        <v>2.6840000000000002</v>
      </c>
      <c r="I865">
        <v>189.4000734</v>
      </c>
      <c r="J865" s="3">
        <v>6.8419999999999996</v>
      </c>
    </row>
    <row r="866" spans="1:10" x14ac:dyDescent="0.25">
      <c r="A866">
        <v>16</v>
      </c>
      <c r="B866" s="1">
        <v>40216</v>
      </c>
      <c r="C866">
        <v>2</v>
      </c>
      <c r="D866">
        <v>2010</v>
      </c>
      <c r="E866" s="2">
        <v>610641.42000000004</v>
      </c>
      <c r="F866">
        <v>0</v>
      </c>
      <c r="G866" s="3">
        <v>64.44</v>
      </c>
      <c r="H866" s="2">
        <v>2.7280000000000002</v>
      </c>
      <c r="I866">
        <v>189.48826030000001</v>
      </c>
      <c r="J866" s="3">
        <v>6.8680000000000003</v>
      </c>
    </row>
    <row r="867" spans="1:10" x14ac:dyDescent="0.25">
      <c r="A867">
        <v>16</v>
      </c>
      <c r="B867" s="1">
        <v>40428</v>
      </c>
      <c r="C867">
        <v>9</v>
      </c>
      <c r="D867">
        <v>2010</v>
      </c>
      <c r="E867" s="2">
        <v>614253.32999999996</v>
      </c>
      <c r="F867">
        <v>0</v>
      </c>
      <c r="G867" s="3">
        <v>61.79</v>
      </c>
      <c r="H867" s="2">
        <v>2.7109999999999999</v>
      </c>
      <c r="I867">
        <v>189.52312760000001</v>
      </c>
      <c r="J867" s="3">
        <v>6.8680000000000003</v>
      </c>
    </row>
    <row r="868" spans="1:10" x14ac:dyDescent="0.25">
      <c r="A868">
        <v>16</v>
      </c>
      <c r="B868" s="1">
        <v>40337</v>
      </c>
      <c r="C868">
        <v>6</v>
      </c>
      <c r="D868">
        <v>2010</v>
      </c>
      <c r="E868" s="2">
        <v>586936.44999999995</v>
      </c>
      <c r="F868">
        <v>0</v>
      </c>
      <c r="G868" s="3">
        <v>67.42</v>
      </c>
      <c r="H868" s="2">
        <v>2.69</v>
      </c>
      <c r="I868">
        <v>190.09900279999999</v>
      </c>
      <c r="J868" s="3">
        <v>6.8680000000000003</v>
      </c>
    </row>
    <row r="869" spans="1:10" x14ac:dyDescent="0.25">
      <c r="A869">
        <v>16</v>
      </c>
      <c r="B869" s="1">
        <v>40246</v>
      </c>
      <c r="C869">
        <v>3</v>
      </c>
      <c r="D869">
        <v>2010</v>
      </c>
      <c r="E869" s="2">
        <v>542087.89</v>
      </c>
      <c r="F869">
        <v>0</v>
      </c>
      <c r="G869" s="3">
        <v>58.02</v>
      </c>
      <c r="H869" s="2">
        <v>2.7730000000000001</v>
      </c>
      <c r="I869">
        <v>190.3621607</v>
      </c>
      <c r="J869" s="3">
        <v>6.8680000000000003</v>
      </c>
    </row>
    <row r="870" spans="1:10" x14ac:dyDescent="0.25">
      <c r="A870">
        <v>16</v>
      </c>
      <c r="B870" s="1">
        <v>40460</v>
      </c>
      <c r="C870">
        <v>10</v>
      </c>
      <c r="D870">
        <v>2010</v>
      </c>
      <c r="E870" s="2">
        <v>537518.56999999995</v>
      </c>
      <c r="F870">
        <v>1</v>
      </c>
      <c r="G870" s="3">
        <v>57.24</v>
      </c>
      <c r="H870" s="2">
        <v>2.78</v>
      </c>
      <c r="I870">
        <v>190.3958293</v>
      </c>
      <c r="J870" s="3">
        <v>6.8680000000000003</v>
      </c>
    </row>
    <row r="871" spans="1:10" x14ac:dyDescent="0.25">
      <c r="A871">
        <v>16</v>
      </c>
      <c r="B871" s="1">
        <v>40188</v>
      </c>
      <c r="C871">
        <v>1</v>
      </c>
      <c r="D871">
        <v>2010</v>
      </c>
      <c r="E871" s="2">
        <v>463977.54</v>
      </c>
      <c r="F871">
        <v>0</v>
      </c>
      <c r="G871" s="3">
        <v>59.39</v>
      </c>
      <c r="H871" s="2">
        <v>2.7589999999999999</v>
      </c>
      <c r="I871">
        <v>190.67382409999999</v>
      </c>
      <c r="J871" s="3">
        <v>6.9859999999999998</v>
      </c>
    </row>
    <row r="872" spans="1:10" x14ac:dyDescent="0.25">
      <c r="A872">
        <v>16</v>
      </c>
      <c r="B872" s="1">
        <v>40400</v>
      </c>
      <c r="C872">
        <v>8</v>
      </c>
      <c r="D872">
        <v>2010</v>
      </c>
      <c r="E872" s="2">
        <v>442894.2</v>
      </c>
      <c r="F872">
        <v>0</v>
      </c>
      <c r="G872" s="3">
        <v>54.29</v>
      </c>
      <c r="H872" s="2">
        <v>2.7450000000000001</v>
      </c>
      <c r="I872">
        <v>190.77632180000001</v>
      </c>
      <c r="J872" s="3">
        <v>6.9859999999999998</v>
      </c>
    </row>
    <row r="873" spans="1:10" x14ac:dyDescent="0.25">
      <c r="A873">
        <v>16</v>
      </c>
      <c r="B873" s="1">
        <v>40309</v>
      </c>
      <c r="C873">
        <v>5</v>
      </c>
      <c r="D873">
        <v>2010</v>
      </c>
      <c r="E873" s="2">
        <v>446905.02</v>
      </c>
      <c r="F873">
        <v>0</v>
      </c>
      <c r="G873" s="3">
        <v>39.94</v>
      </c>
      <c r="H873" s="2">
        <v>2.7290000000000001</v>
      </c>
      <c r="I873">
        <v>190.9964377</v>
      </c>
      <c r="J873" s="3">
        <v>6.9859999999999998</v>
      </c>
    </row>
    <row r="874" spans="1:10" x14ac:dyDescent="0.25">
      <c r="A874">
        <v>16</v>
      </c>
      <c r="B874" s="1">
        <v>40523</v>
      </c>
      <c r="C874">
        <v>12</v>
      </c>
      <c r="D874">
        <v>2010</v>
      </c>
      <c r="E874" s="2">
        <v>453632.76</v>
      </c>
      <c r="F874">
        <v>0</v>
      </c>
      <c r="G874" s="3">
        <v>34.04</v>
      </c>
      <c r="H874" s="2">
        <v>2.7370000000000001</v>
      </c>
      <c r="I874">
        <v>191.0411474</v>
      </c>
      <c r="J874" s="3">
        <v>6.9859999999999998</v>
      </c>
    </row>
    <row r="875" spans="1:10" x14ac:dyDescent="0.25">
      <c r="A875">
        <v>16</v>
      </c>
      <c r="B875" s="1">
        <v>40249</v>
      </c>
      <c r="C875">
        <v>3</v>
      </c>
      <c r="D875">
        <v>2010</v>
      </c>
      <c r="E875" s="2">
        <v>512260.59</v>
      </c>
      <c r="F875">
        <v>0</v>
      </c>
      <c r="G875" s="3">
        <v>23.68</v>
      </c>
      <c r="H875" s="2">
        <v>2.7120000000000002</v>
      </c>
      <c r="I875">
        <v>190.99314369999999</v>
      </c>
      <c r="J875" s="3">
        <v>6.9859999999999998</v>
      </c>
    </row>
    <row r="876" spans="1:10" x14ac:dyDescent="0.25">
      <c r="A876">
        <v>16</v>
      </c>
      <c r="B876" s="1">
        <v>40463</v>
      </c>
      <c r="C876">
        <v>10</v>
      </c>
      <c r="D876">
        <v>2010</v>
      </c>
      <c r="E876" s="2">
        <v>570103.64</v>
      </c>
      <c r="F876">
        <v>0</v>
      </c>
      <c r="G876" s="3">
        <v>32.020000000000003</v>
      </c>
      <c r="H876" s="2">
        <v>2.7280000000000002</v>
      </c>
      <c r="I876">
        <v>190.97410690000001</v>
      </c>
      <c r="J876" s="3">
        <v>6.9859999999999998</v>
      </c>
    </row>
    <row r="877" spans="1:10" x14ac:dyDescent="0.25">
      <c r="A877">
        <v>16</v>
      </c>
      <c r="B877" s="1">
        <v>40725</v>
      </c>
      <c r="C877">
        <v>7</v>
      </c>
      <c r="D877">
        <v>2011</v>
      </c>
      <c r="E877" s="2">
        <v>573545.96</v>
      </c>
      <c r="F877">
        <v>0</v>
      </c>
      <c r="G877" s="3">
        <v>12.39</v>
      </c>
      <c r="H877" s="2">
        <v>2.8820000000000001</v>
      </c>
      <c r="I877">
        <v>191.3683815</v>
      </c>
      <c r="J877" s="3">
        <v>6.6139999999999999</v>
      </c>
    </row>
    <row r="878" spans="1:10" x14ac:dyDescent="0.25">
      <c r="A878">
        <v>16</v>
      </c>
      <c r="B878" s="1">
        <v>40635</v>
      </c>
      <c r="C878">
        <v>4</v>
      </c>
      <c r="D878">
        <v>2011</v>
      </c>
      <c r="E878" s="2">
        <v>479263.15</v>
      </c>
      <c r="F878">
        <v>0</v>
      </c>
      <c r="G878" s="3">
        <v>13.64</v>
      </c>
      <c r="H878" s="2">
        <v>3.0110000000000001</v>
      </c>
      <c r="I878">
        <v>191.76258949999999</v>
      </c>
      <c r="J878" s="3">
        <v>6.6139999999999999</v>
      </c>
    </row>
    <row r="879" spans="1:10" x14ac:dyDescent="0.25">
      <c r="A879">
        <v>16</v>
      </c>
      <c r="B879" s="1">
        <v>40849</v>
      </c>
      <c r="C879">
        <v>11</v>
      </c>
      <c r="D879">
        <v>2011</v>
      </c>
      <c r="E879" s="2">
        <v>466806.89</v>
      </c>
      <c r="F879">
        <v>1</v>
      </c>
      <c r="G879" s="3">
        <v>15.02</v>
      </c>
      <c r="H879" s="2">
        <v>3.0369999999999999</v>
      </c>
      <c r="I879">
        <v>191.85728810000001</v>
      </c>
      <c r="J879" s="3">
        <v>6.6139999999999999</v>
      </c>
    </row>
    <row r="880" spans="1:10" x14ac:dyDescent="0.25">
      <c r="A880">
        <v>16</v>
      </c>
      <c r="B880" s="1">
        <v>40636</v>
      </c>
      <c r="C880">
        <v>4</v>
      </c>
      <c r="D880">
        <v>2011</v>
      </c>
      <c r="E880" s="2">
        <v>484829.07</v>
      </c>
      <c r="F880">
        <v>0</v>
      </c>
      <c r="G880" s="3">
        <v>31.77</v>
      </c>
      <c r="H880" s="2">
        <v>3.2320000000000002</v>
      </c>
      <c r="I880">
        <v>192.01160039999999</v>
      </c>
      <c r="J880" s="3">
        <v>6.6139999999999999</v>
      </c>
    </row>
    <row r="881" spans="1:10" x14ac:dyDescent="0.25">
      <c r="A881">
        <v>16</v>
      </c>
      <c r="B881" s="1">
        <v>40850</v>
      </c>
      <c r="C881">
        <v>11</v>
      </c>
      <c r="D881">
        <v>2011</v>
      </c>
      <c r="E881" s="2">
        <v>457504.35</v>
      </c>
      <c r="F881">
        <v>0</v>
      </c>
      <c r="G881" s="3">
        <v>29.36</v>
      </c>
      <c r="H881" s="2">
        <v>3.3719999999999999</v>
      </c>
      <c r="I881">
        <v>192.05848399999999</v>
      </c>
      <c r="J881" s="3">
        <v>6.6139999999999999</v>
      </c>
    </row>
    <row r="882" spans="1:10" x14ac:dyDescent="0.25">
      <c r="A882">
        <v>16</v>
      </c>
      <c r="B882" s="1">
        <v>40547</v>
      </c>
      <c r="C882">
        <v>1</v>
      </c>
      <c r="D882">
        <v>2011</v>
      </c>
      <c r="E882" s="2">
        <v>459756.11</v>
      </c>
      <c r="F882">
        <v>0</v>
      </c>
      <c r="G882" s="3">
        <v>35.75</v>
      </c>
      <c r="H882" s="2">
        <v>3.4609999999999999</v>
      </c>
      <c r="I882">
        <v>192.26917069999999</v>
      </c>
      <c r="J882" s="3">
        <v>6.3390000000000004</v>
      </c>
    </row>
    <row r="883" spans="1:10" x14ac:dyDescent="0.25">
      <c r="A883">
        <v>16</v>
      </c>
      <c r="B883" s="1">
        <v>40759</v>
      </c>
      <c r="C883">
        <v>8</v>
      </c>
      <c r="D883">
        <v>2011</v>
      </c>
      <c r="E883" s="2">
        <v>439276.5</v>
      </c>
      <c r="F883">
        <v>0</v>
      </c>
      <c r="G883" s="3">
        <v>38.04</v>
      </c>
      <c r="H883" s="2">
        <v>3.532</v>
      </c>
      <c r="I883">
        <v>192.3418571</v>
      </c>
      <c r="J883" s="3">
        <v>6.3390000000000004</v>
      </c>
    </row>
    <row r="884" spans="1:10" x14ac:dyDescent="0.25">
      <c r="A884">
        <v>16</v>
      </c>
      <c r="B884" s="1">
        <v>40699</v>
      </c>
      <c r="C884">
        <v>6</v>
      </c>
      <c r="D884">
        <v>2011</v>
      </c>
      <c r="E884" s="2">
        <v>423805.22</v>
      </c>
      <c r="F884">
        <v>0</v>
      </c>
      <c r="G884" s="3">
        <v>38.64</v>
      </c>
      <c r="H884" s="2">
        <v>3.7349999999999999</v>
      </c>
      <c r="I884">
        <v>192.72520059999999</v>
      </c>
      <c r="J884" s="3">
        <v>6.3390000000000004</v>
      </c>
    </row>
    <row r="885" spans="1:10" x14ac:dyDescent="0.25">
      <c r="A885">
        <v>16</v>
      </c>
      <c r="B885" s="1">
        <v>40608</v>
      </c>
      <c r="C885">
        <v>3</v>
      </c>
      <c r="D885">
        <v>2011</v>
      </c>
      <c r="E885" s="2">
        <v>531080.31000000006</v>
      </c>
      <c r="F885">
        <v>0</v>
      </c>
      <c r="G885" s="3">
        <v>54.08</v>
      </c>
      <c r="H885" s="2">
        <v>3.7629999999999999</v>
      </c>
      <c r="I885">
        <v>192.8418131</v>
      </c>
      <c r="J885" s="3">
        <v>6.3390000000000004</v>
      </c>
    </row>
    <row r="886" spans="1:10" x14ac:dyDescent="0.25">
      <c r="A886">
        <v>16</v>
      </c>
      <c r="B886" s="1">
        <v>40822</v>
      </c>
      <c r="C886">
        <v>10</v>
      </c>
      <c r="D886">
        <v>2011</v>
      </c>
      <c r="E886" s="2">
        <v>600952.06000000006</v>
      </c>
      <c r="F886">
        <v>0</v>
      </c>
      <c r="G886" s="3">
        <v>55.78</v>
      </c>
      <c r="H886" s="2">
        <v>3.7349999999999999</v>
      </c>
      <c r="I886">
        <v>192.84706120000001</v>
      </c>
      <c r="J886" s="3">
        <v>6.3390000000000004</v>
      </c>
    </row>
    <row r="887" spans="1:10" x14ac:dyDescent="0.25">
      <c r="A887">
        <v>16</v>
      </c>
      <c r="B887" s="1">
        <v>40550</v>
      </c>
      <c r="C887">
        <v>1</v>
      </c>
      <c r="D887">
        <v>2011</v>
      </c>
      <c r="E887" s="2">
        <v>608737.56000000006</v>
      </c>
      <c r="F887">
        <v>0</v>
      </c>
      <c r="G887" s="3">
        <v>63.59</v>
      </c>
      <c r="H887" s="2">
        <v>3.597</v>
      </c>
      <c r="I887">
        <v>193.09305520000001</v>
      </c>
      <c r="J887" s="3">
        <v>6.3380000000000001</v>
      </c>
    </row>
    <row r="888" spans="1:10" x14ac:dyDescent="0.25">
      <c r="A888">
        <v>16</v>
      </c>
      <c r="B888" s="1">
        <v>40762</v>
      </c>
      <c r="C888">
        <v>8</v>
      </c>
      <c r="D888">
        <v>2011</v>
      </c>
      <c r="E888" s="2">
        <v>634634.66</v>
      </c>
      <c r="F888">
        <v>0</v>
      </c>
      <c r="G888" s="3">
        <v>65</v>
      </c>
      <c r="H888" s="2">
        <v>3.54</v>
      </c>
      <c r="I888">
        <v>193.18784479999999</v>
      </c>
      <c r="J888" s="3">
        <v>6.3380000000000001</v>
      </c>
    </row>
    <row r="889" spans="1:10" x14ac:dyDescent="0.25">
      <c r="A889">
        <v>16</v>
      </c>
      <c r="B889" s="1">
        <v>40671</v>
      </c>
      <c r="C889">
        <v>5</v>
      </c>
      <c r="D889">
        <v>2011</v>
      </c>
      <c r="E889" s="2">
        <v>592981.32999999996</v>
      </c>
      <c r="F889">
        <v>0</v>
      </c>
      <c r="G889" s="3">
        <v>63.96</v>
      </c>
      <c r="H889" s="2">
        <v>3.5539999999999998</v>
      </c>
      <c r="I889">
        <v>193.91101330000001</v>
      </c>
      <c r="J889" s="3">
        <v>6.3380000000000001</v>
      </c>
    </row>
    <row r="890" spans="1:10" x14ac:dyDescent="0.25">
      <c r="A890">
        <v>16</v>
      </c>
      <c r="B890" s="1">
        <v>40885</v>
      </c>
      <c r="C890">
        <v>12</v>
      </c>
      <c r="D890">
        <v>2011</v>
      </c>
      <c r="E890" s="2">
        <v>563884.47</v>
      </c>
      <c r="F890">
        <v>0</v>
      </c>
      <c r="G890" s="3">
        <v>67.09</v>
      </c>
      <c r="H890" s="2">
        <v>3.5419999999999998</v>
      </c>
      <c r="I890">
        <v>194.11050169999999</v>
      </c>
      <c r="J890" s="3">
        <v>6.3380000000000001</v>
      </c>
    </row>
    <row r="891" spans="1:10" x14ac:dyDescent="0.25">
      <c r="A891">
        <v>16</v>
      </c>
      <c r="B891" s="1">
        <v>40583</v>
      </c>
      <c r="C891">
        <v>2</v>
      </c>
      <c r="D891">
        <v>2011</v>
      </c>
      <c r="E891" s="2">
        <v>580805.32999999996</v>
      </c>
      <c r="F891">
        <v>0</v>
      </c>
      <c r="G891" s="3">
        <v>63.44</v>
      </c>
      <c r="H891" s="2">
        <v>3.5110000000000001</v>
      </c>
      <c r="I891">
        <v>194.5092113</v>
      </c>
      <c r="J891" s="3">
        <v>6.3380000000000001</v>
      </c>
    </row>
    <row r="892" spans="1:10" x14ac:dyDescent="0.25">
      <c r="A892">
        <v>16</v>
      </c>
      <c r="B892" s="1">
        <v>40795</v>
      </c>
      <c r="C892">
        <v>9</v>
      </c>
      <c r="D892">
        <v>2011</v>
      </c>
      <c r="E892" s="2">
        <v>574622.56000000006</v>
      </c>
      <c r="F892">
        <v>1</v>
      </c>
      <c r="G892" s="3">
        <v>56.99</v>
      </c>
      <c r="H892" s="2">
        <v>3.5659999999999998</v>
      </c>
      <c r="I892">
        <v>194.6387853</v>
      </c>
      <c r="J892" s="3">
        <v>6.3380000000000001</v>
      </c>
    </row>
    <row r="893" spans="1:10" x14ac:dyDescent="0.25">
      <c r="A893">
        <v>16</v>
      </c>
      <c r="B893" s="1">
        <v>40734</v>
      </c>
      <c r="C893">
        <v>7</v>
      </c>
      <c r="D893">
        <v>2011</v>
      </c>
      <c r="E893" s="2">
        <v>482926.93</v>
      </c>
      <c r="F893">
        <v>0</v>
      </c>
      <c r="G893" s="3">
        <v>48.91</v>
      </c>
      <c r="H893" s="2">
        <v>3.4980000000000002</v>
      </c>
      <c r="I893">
        <v>194.94597239999999</v>
      </c>
      <c r="J893" s="3">
        <v>6.2320000000000002</v>
      </c>
    </row>
    <row r="894" spans="1:10" x14ac:dyDescent="0.25">
      <c r="A894">
        <v>16</v>
      </c>
      <c r="B894" s="1">
        <v>40644</v>
      </c>
      <c r="C894">
        <v>4</v>
      </c>
      <c r="D894">
        <v>2011</v>
      </c>
      <c r="E894" s="2">
        <v>511059.95</v>
      </c>
      <c r="F894">
        <v>0</v>
      </c>
      <c r="G894" s="3">
        <v>33.43</v>
      </c>
      <c r="H894" s="2">
        <v>3.5270000000000001</v>
      </c>
      <c r="I894">
        <v>195.48479589999999</v>
      </c>
      <c r="J894" s="3">
        <v>6.2320000000000002</v>
      </c>
    </row>
    <row r="895" spans="1:10" x14ac:dyDescent="0.25">
      <c r="A895">
        <v>16</v>
      </c>
      <c r="B895" s="1">
        <v>40858</v>
      </c>
      <c r="C895">
        <v>11</v>
      </c>
      <c r="D895">
        <v>2011</v>
      </c>
      <c r="E895" s="2">
        <v>513181.31</v>
      </c>
      <c r="F895">
        <v>0</v>
      </c>
      <c r="G895" s="3">
        <v>29.56</v>
      </c>
      <c r="H895" s="2">
        <v>3.5049999999999999</v>
      </c>
      <c r="I895">
        <v>195.6376941</v>
      </c>
      <c r="J895" s="3">
        <v>6.2320000000000002</v>
      </c>
    </row>
    <row r="896" spans="1:10" x14ac:dyDescent="0.25">
      <c r="A896">
        <v>16</v>
      </c>
      <c r="B896" s="1">
        <v>40586</v>
      </c>
      <c r="C896">
        <v>2</v>
      </c>
      <c r="D896">
        <v>2011</v>
      </c>
      <c r="E896" s="2">
        <v>530492.84</v>
      </c>
      <c r="F896">
        <v>0</v>
      </c>
      <c r="G896" s="3">
        <v>27.83</v>
      </c>
      <c r="H896" s="2">
        <v>3.3780000000000001</v>
      </c>
      <c r="I896">
        <v>195.82232870000001</v>
      </c>
      <c r="J896" s="3">
        <v>6.2320000000000002</v>
      </c>
    </row>
    <row r="897" spans="1:10" x14ac:dyDescent="0.25">
      <c r="A897">
        <v>16</v>
      </c>
      <c r="B897" s="1">
        <v>40798</v>
      </c>
      <c r="C897">
        <v>9</v>
      </c>
      <c r="D897">
        <v>2011</v>
      </c>
      <c r="E897" s="2">
        <v>574798.86</v>
      </c>
      <c r="F897">
        <v>0</v>
      </c>
      <c r="G897" s="3">
        <v>14.44</v>
      </c>
      <c r="H897" s="2">
        <v>3.331</v>
      </c>
      <c r="I897">
        <v>195.8742575</v>
      </c>
      <c r="J897" s="3">
        <v>6.2320000000000002</v>
      </c>
    </row>
    <row r="898" spans="1:10" x14ac:dyDescent="0.25">
      <c r="A898">
        <v>16</v>
      </c>
      <c r="B898" s="1">
        <v>41061</v>
      </c>
      <c r="C898">
        <v>6</v>
      </c>
      <c r="D898">
        <v>2012</v>
      </c>
      <c r="E898" s="2">
        <v>564538.06999999995</v>
      </c>
      <c r="F898">
        <v>0</v>
      </c>
      <c r="G898" s="3">
        <v>26.49</v>
      </c>
      <c r="H898" s="2">
        <v>3.0950000000000002</v>
      </c>
      <c r="I898">
        <v>196.5458309</v>
      </c>
      <c r="J898" s="3">
        <v>6.1619999999999999</v>
      </c>
    </row>
    <row r="899" spans="1:10" x14ac:dyDescent="0.25">
      <c r="A899">
        <v>16</v>
      </c>
      <c r="B899" s="1">
        <v>40970</v>
      </c>
      <c r="C899">
        <v>3</v>
      </c>
      <c r="D899">
        <v>2012</v>
      </c>
      <c r="E899" s="2">
        <v>475905.1</v>
      </c>
      <c r="F899">
        <v>0</v>
      </c>
      <c r="G899" s="3">
        <v>25.53</v>
      </c>
      <c r="H899" s="2">
        <v>3.0310000000000001</v>
      </c>
      <c r="I899">
        <v>196.8728921</v>
      </c>
      <c r="J899" s="3">
        <v>6.1619999999999999</v>
      </c>
    </row>
    <row r="900" spans="1:10" x14ac:dyDescent="0.25">
      <c r="A900">
        <v>16</v>
      </c>
      <c r="B900" s="1">
        <v>41184</v>
      </c>
      <c r="C900">
        <v>10</v>
      </c>
      <c r="D900">
        <v>2012</v>
      </c>
      <c r="E900" s="2">
        <v>473766.97</v>
      </c>
      <c r="F900">
        <v>1</v>
      </c>
      <c r="G900" s="3">
        <v>23.69</v>
      </c>
      <c r="H900" s="2">
        <v>3.1030000000000002</v>
      </c>
      <c r="I900">
        <v>196.91950560000001</v>
      </c>
      <c r="J900" s="3">
        <v>6.1619999999999999</v>
      </c>
    </row>
    <row r="901" spans="1:10" x14ac:dyDescent="0.25">
      <c r="A901">
        <v>16</v>
      </c>
      <c r="B901" s="1">
        <v>40942</v>
      </c>
      <c r="C901">
        <v>2</v>
      </c>
      <c r="D901">
        <v>2012</v>
      </c>
      <c r="E901" s="2">
        <v>464189.09</v>
      </c>
      <c r="F901">
        <v>0</v>
      </c>
      <c r="G901" s="3">
        <v>23.4</v>
      </c>
      <c r="H901" s="2">
        <v>3.1909999999999998</v>
      </c>
      <c r="I901">
        <v>196.9565303</v>
      </c>
      <c r="J901" s="3">
        <v>6.1619999999999999</v>
      </c>
    </row>
    <row r="902" spans="1:10" x14ac:dyDescent="0.25">
      <c r="A902">
        <v>16</v>
      </c>
      <c r="B902" s="1">
        <v>41155</v>
      </c>
      <c r="C902">
        <v>9</v>
      </c>
      <c r="D902">
        <v>2012</v>
      </c>
      <c r="E902" s="2">
        <v>495951.66</v>
      </c>
      <c r="F902">
        <v>0</v>
      </c>
      <c r="G902" s="3">
        <v>28.16</v>
      </c>
      <c r="H902" s="2">
        <v>3.286</v>
      </c>
      <c r="I902">
        <v>196.96315989999999</v>
      </c>
      <c r="J902" s="3">
        <v>6.1619999999999999</v>
      </c>
    </row>
    <row r="903" spans="1:10" x14ac:dyDescent="0.25">
      <c r="A903">
        <v>16</v>
      </c>
      <c r="B903" s="1">
        <v>41064</v>
      </c>
      <c r="C903">
        <v>6</v>
      </c>
      <c r="D903">
        <v>2012</v>
      </c>
      <c r="E903" s="2">
        <v>502662.07</v>
      </c>
      <c r="F903">
        <v>0</v>
      </c>
      <c r="G903" s="3">
        <v>48.93</v>
      </c>
      <c r="H903" s="2">
        <v>3.8540000000000001</v>
      </c>
      <c r="I903">
        <v>197.5971285</v>
      </c>
      <c r="J903" s="3">
        <v>6.1689999999999996</v>
      </c>
    </row>
    <row r="904" spans="1:10" x14ac:dyDescent="0.25">
      <c r="A904">
        <v>16</v>
      </c>
      <c r="B904" s="1">
        <v>41004</v>
      </c>
      <c r="C904">
        <v>4</v>
      </c>
      <c r="D904">
        <v>2012</v>
      </c>
      <c r="E904" s="2">
        <v>426959.62</v>
      </c>
      <c r="F904">
        <v>0</v>
      </c>
      <c r="G904" s="3">
        <v>51.34</v>
      </c>
      <c r="H904" s="2">
        <v>3.903</v>
      </c>
      <c r="I904">
        <v>197.60635339999999</v>
      </c>
      <c r="J904" s="3">
        <v>6.1689999999999996</v>
      </c>
    </row>
    <row r="905" spans="1:10" x14ac:dyDescent="0.25">
      <c r="A905">
        <v>16</v>
      </c>
      <c r="B905" s="1">
        <v>41218</v>
      </c>
      <c r="C905">
        <v>11</v>
      </c>
      <c r="D905">
        <v>2012</v>
      </c>
      <c r="E905" s="2">
        <v>479855</v>
      </c>
      <c r="F905">
        <v>0</v>
      </c>
      <c r="G905" s="3">
        <v>53.57</v>
      </c>
      <c r="H905" s="2">
        <v>3.87</v>
      </c>
      <c r="I905">
        <v>197.5481609</v>
      </c>
      <c r="J905" s="3">
        <v>6.1689999999999996</v>
      </c>
    </row>
    <row r="906" spans="1:10" x14ac:dyDescent="0.25">
      <c r="A906">
        <v>16</v>
      </c>
      <c r="B906" s="1">
        <v>40914</v>
      </c>
      <c r="C906">
        <v>1</v>
      </c>
      <c r="D906">
        <v>2012</v>
      </c>
      <c r="E906" s="2">
        <v>532311.93000000005</v>
      </c>
      <c r="F906">
        <v>0</v>
      </c>
      <c r="G906" s="3">
        <v>58.97</v>
      </c>
      <c r="H906" s="2">
        <v>3.7639999999999998</v>
      </c>
      <c r="I906">
        <v>197.6218954</v>
      </c>
      <c r="J906" s="3">
        <v>6.1689999999999996</v>
      </c>
    </row>
    <row r="907" spans="1:10" x14ac:dyDescent="0.25">
      <c r="A907">
        <v>16</v>
      </c>
      <c r="B907" s="1">
        <v>41127</v>
      </c>
      <c r="C907">
        <v>8</v>
      </c>
      <c r="D907">
        <v>2012</v>
      </c>
      <c r="E907" s="2">
        <v>603618.89</v>
      </c>
      <c r="F907">
        <v>0</v>
      </c>
      <c r="G907" s="3">
        <v>65.430000000000007</v>
      </c>
      <c r="H907" s="2">
        <v>3.7410000000000001</v>
      </c>
      <c r="I907">
        <v>197.6551863</v>
      </c>
      <c r="J907" s="3">
        <v>6.1689999999999996</v>
      </c>
    </row>
    <row r="908" spans="1:10" x14ac:dyDescent="0.25">
      <c r="A908">
        <v>16</v>
      </c>
      <c r="B908" s="1">
        <v>41067</v>
      </c>
      <c r="C908">
        <v>6</v>
      </c>
      <c r="D908">
        <v>2012</v>
      </c>
      <c r="E908" s="2">
        <v>641763.53</v>
      </c>
      <c r="F908">
        <v>0</v>
      </c>
      <c r="G908" s="3">
        <v>70.489999999999995</v>
      </c>
      <c r="H908" s="2">
        <v>3.6459999999999999</v>
      </c>
      <c r="I908">
        <v>197.83221950000001</v>
      </c>
      <c r="J908" s="3">
        <v>6.0609999999999999</v>
      </c>
    </row>
    <row r="909" spans="1:10" x14ac:dyDescent="0.25">
      <c r="A909">
        <v>16</v>
      </c>
      <c r="B909" s="1">
        <v>40976</v>
      </c>
      <c r="C909">
        <v>3</v>
      </c>
      <c r="D909">
        <v>2012</v>
      </c>
      <c r="E909" s="2">
        <v>584000.71</v>
      </c>
      <c r="F909">
        <v>0</v>
      </c>
      <c r="G909" s="3">
        <v>68.59</v>
      </c>
      <c r="H909" s="2">
        <v>3.528</v>
      </c>
      <c r="I909">
        <v>198.02938929999999</v>
      </c>
      <c r="J909" s="3">
        <v>6.0609999999999999</v>
      </c>
    </row>
    <row r="910" spans="1:10" x14ac:dyDescent="0.25">
      <c r="A910">
        <v>16</v>
      </c>
      <c r="B910" s="1">
        <v>41190</v>
      </c>
      <c r="C910">
        <v>10</v>
      </c>
      <c r="D910">
        <v>2012</v>
      </c>
      <c r="E910" s="2">
        <v>554036.84</v>
      </c>
      <c r="F910">
        <v>0</v>
      </c>
      <c r="G910" s="3">
        <v>70.239999999999995</v>
      </c>
      <c r="H910" s="2">
        <v>3.5089999999999999</v>
      </c>
      <c r="I910">
        <v>198.0795651</v>
      </c>
      <c r="J910" s="3">
        <v>6.0609999999999999</v>
      </c>
    </row>
    <row r="911" spans="1:10" x14ac:dyDescent="0.25">
      <c r="A911">
        <v>16</v>
      </c>
      <c r="B911" s="1">
        <v>41099</v>
      </c>
      <c r="C911">
        <v>7</v>
      </c>
      <c r="D911">
        <v>2012</v>
      </c>
      <c r="E911" s="2">
        <v>537138.57999999996</v>
      </c>
      <c r="F911">
        <v>1</v>
      </c>
      <c r="G911" s="3">
        <v>60.09</v>
      </c>
      <c r="H911" s="2">
        <v>3.5960000000000001</v>
      </c>
      <c r="I911">
        <v>198.0950484</v>
      </c>
      <c r="J911" s="3">
        <v>6.0609999999999999</v>
      </c>
    </row>
    <row r="912" spans="1:10" x14ac:dyDescent="0.25">
      <c r="A912">
        <v>16</v>
      </c>
      <c r="B912" s="1">
        <v>41039</v>
      </c>
      <c r="C912">
        <v>5</v>
      </c>
      <c r="D912">
        <v>2012</v>
      </c>
      <c r="E912" s="2">
        <v>471281.68</v>
      </c>
      <c r="F912">
        <v>0</v>
      </c>
      <c r="G912" s="3">
        <v>50.46</v>
      </c>
      <c r="H912" s="2">
        <v>3.7789999999999999</v>
      </c>
      <c r="I912">
        <v>198.8221322</v>
      </c>
      <c r="J912" s="3">
        <v>5.8470000000000004</v>
      </c>
    </row>
    <row r="913" spans="1:10" x14ac:dyDescent="0.25">
      <c r="A913">
        <v>16</v>
      </c>
      <c r="B913" s="1">
        <v>41253</v>
      </c>
      <c r="C913">
        <v>12</v>
      </c>
      <c r="D913">
        <v>2012</v>
      </c>
      <c r="E913" s="2">
        <v>491817.19</v>
      </c>
      <c r="F913">
        <v>0</v>
      </c>
      <c r="G913" s="3">
        <v>43.26</v>
      </c>
      <c r="H913" s="2">
        <v>3.76</v>
      </c>
      <c r="I913">
        <v>199.0539368</v>
      </c>
      <c r="J913" s="3">
        <v>5.8470000000000004</v>
      </c>
    </row>
    <row r="914" spans="1:10" x14ac:dyDescent="0.25">
      <c r="A914">
        <v>17</v>
      </c>
      <c r="B914" s="1">
        <v>40300</v>
      </c>
      <c r="C914">
        <v>5</v>
      </c>
      <c r="D914">
        <v>2010</v>
      </c>
      <c r="E914" s="2">
        <v>789036.02</v>
      </c>
      <c r="F914">
        <v>0</v>
      </c>
      <c r="G914" s="3">
        <v>23.11</v>
      </c>
      <c r="H914" s="2">
        <v>2.6659999999999999</v>
      </c>
      <c r="I914">
        <v>126.4420645</v>
      </c>
      <c r="J914" s="3">
        <v>6.548</v>
      </c>
    </row>
    <row r="915" spans="1:10" x14ac:dyDescent="0.25">
      <c r="A915">
        <v>17</v>
      </c>
      <c r="B915" s="1">
        <v>40514</v>
      </c>
      <c r="C915">
        <v>12</v>
      </c>
      <c r="D915">
        <v>2010</v>
      </c>
      <c r="E915" s="2">
        <v>841951.91</v>
      </c>
      <c r="F915">
        <v>1</v>
      </c>
      <c r="G915" s="3">
        <v>18.36</v>
      </c>
      <c r="H915" s="2">
        <v>2.6709999999999998</v>
      </c>
      <c r="I915">
        <v>126.49625810000001</v>
      </c>
      <c r="J915" s="3">
        <v>6.548</v>
      </c>
    </row>
    <row r="916" spans="1:10" x14ac:dyDescent="0.25">
      <c r="A916">
        <v>17</v>
      </c>
      <c r="B916" s="1">
        <v>40301</v>
      </c>
      <c r="C916">
        <v>5</v>
      </c>
      <c r="D916">
        <v>2010</v>
      </c>
      <c r="E916" s="2">
        <v>783300.05</v>
      </c>
      <c r="F916">
        <v>0</v>
      </c>
      <c r="G916" s="3">
        <v>31.58</v>
      </c>
      <c r="H916" s="2">
        <v>2.681</v>
      </c>
      <c r="I916">
        <v>126.5782857</v>
      </c>
      <c r="J916" s="3">
        <v>6.548</v>
      </c>
    </row>
    <row r="917" spans="1:10" x14ac:dyDescent="0.25">
      <c r="A917">
        <v>17</v>
      </c>
      <c r="B917" s="1">
        <v>40515</v>
      </c>
      <c r="C917">
        <v>12</v>
      </c>
      <c r="D917">
        <v>2010</v>
      </c>
      <c r="E917" s="2">
        <v>763961.82</v>
      </c>
      <c r="F917">
        <v>0</v>
      </c>
      <c r="G917" s="3">
        <v>29.71</v>
      </c>
      <c r="H917" s="2">
        <v>2.7330000000000001</v>
      </c>
      <c r="I917">
        <v>126.60428570000001</v>
      </c>
      <c r="J917" s="3">
        <v>6.548</v>
      </c>
    </row>
    <row r="918" spans="1:10" x14ac:dyDescent="0.25">
      <c r="A918">
        <v>17</v>
      </c>
      <c r="B918" s="1">
        <v>40213</v>
      </c>
      <c r="C918">
        <v>2</v>
      </c>
      <c r="D918">
        <v>2010</v>
      </c>
      <c r="E918" s="2">
        <v>848521.17</v>
      </c>
      <c r="F918">
        <v>0</v>
      </c>
      <c r="G918" s="3">
        <v>36.94</v>
      </c>
      <c r="H918" s="2">
        <v>2.8420000000000001</v>
      </c>
      <c r="I918">
        <v>126.6034839</v>
      </c>
      <c r="J918" s="3">
        <v>6.6349999999999998</v>
      </c>
    </row>
    <row r="919" spans="1:10" x14ac:dyDescent="0.25">
      <c r="A919">
        <v>17</v>
      </c>
      <c r="B919" s="1">
        <v>40425</v>
      </c>
      <c r="C919">
        <v>9</v>
      </c>
      <c r="D919">
        <v>2010</v>
      </c>
      <c r="E919" s="2">
        <v>770228.02</v>
      </c>
      <c r="F919">
        <v>0</v>
      </c>
      <c r="G919" s="3">
        <v>34.049999999999997</v>
      </c>
      <c r="H919" s="2">
        <v>2.8769999999999998</v>
      </c>
      <c r="I919">
        <v>126.6019032</v>
      </c>
      <c r="J919" s="3">
        <v>6.6349999999999998</v>
      </c>
    </row>
    <row r="920" spans="1:10" x14ac:dyDescent="0.25">
      <c r="A920">
        <v>17</v>
      </c>
      <c r="B920" s="1">
        <v>40364</v>
      </c>
      <c r="C920">
        <v>7</v>
      </c>
      <c r="D920">
        <v>2010</v>
      </c>
      <c r="E920" s="2">
        <v>843848.65</v>
      </c>
      <c r="F920">
        <v>0</v>
      </c>
      <c r="G920" s="3">
        <v>40.26</v>
      </c>
      <c r="H920" s="2">
        <v>2.948</v>
      </c>
      <c r="I920">
        <v>126.2898</v>
      </c>
      <c r="J920" s="3">
        <v>6.6349999999999998</v>
      </c>
    </row>
    <row r="921" spans="1:10" x14ac:dyDescent="0.25">
      <c r="A921">
        <v>17</v>
      </c>
      <c r="B921" s="1">
        <v>40274</v>
      </c>
      <c r="C921">
        <v>4</v>
      </c>
      <c r="D921">
        <v>2010</v>
      </c>
      <c r="E921" s="2">
        <v>876902.87</v>
      </c>
      <c r="F921">
        <v>0</v>
      </c>
      <c r="G921" s="3">
        <v>53.79</v>
      </c>
      <c r="H921" s="2">
        <v>2.871</v>
      </c>
      <c r="I921">
        <v>126.1360645</v>
      </c>
      <c r="J921" s="3">
        <v>6.6349999999999998</v>
      </c>
    </row>
    <row r="922" spans="1:10" x14ac:dyDescent="0.25">
      <c r="A922">
        <v>17</v>
      </c>
      <c r="B922" s="1">
        <v>40488</v>
      </c>
      <c r="C922">
        <v>11</v>
      </c>
      <c r="D922">
        <v>2010</v>
      </c>
      <c r="E922" s="2">
        <v>845252.21</v>
      </c>
      <c r="F922">
        <v>0</v>
      </c>
      <c r="G922" s="3">
        <v>57.14</v>
      </c>
      <c r="H922" s="2">
        <v>2.8410000000000002</v>
      </c>
      <c r="I922">
        <v>126.1119032</v>
      </c>
      <c r="J922" s="3">
        <v>6.6349999999999998</v>
      </c>
    </row>
    <row r="923" spans="1:10" x14ac:dyDescent="0.25">
      <c r="A923">
        <v>17</v>
      </c>
      <c r="B923" s="1">
        <v>40216</v>
      </c>
      <c r="C923">
        <v>2</v>
      </c>
      <c r="D923">
        <v>2010</v>
      </c>
      <c r="E923" s="2">
        <v>958875.37</v>
      </c>
      <c r="F923">
        <v>0</v>
      </c>
      <c r="G923" s="3">
        <v>68.98</v>
      </c>
      <c r="H923" s="2">
        <v>2.8140000000000001</v>
      </c>
      <c r="I923">
        <v>126.1392</v>
      </c>
      <c r="J923" s="3">
        <v>6.6970000000000001</v>
      </c>
    </row>
    <row r="924" spans="1:10" x14ac:dyDescent="0.25">
      <c r="A924">
        <v>17</v>
      </c>
      <c r="B924" s="1">
        <v>40428</v>
      </c>
      <c r="C924">
        <v>9</v>
      </c>
      <c r="D924">
        <v>2010</v>
      </c>
      <c r="E924" s="2">
        <v>836915.92</v>
      </c>
      <c r="F924">
        <v>0</v>
      </c>
      <c r="G924" s="3">
        <v>62.41</v>
      </c>
      <c r="H924" s="2">
        <v>2.802</v>
      </c>
      <c r="I924">
        <v>126.15179999999999</v>
      </c>
      <c r="J924" s="3">
        <v>6.6970000000000001</v>
      </c>
    </row>
    <row r="925" spans="1:10" x14ac:dyDescent="0.25">
      <c r="A925">
        <v>17</v>
      </c>
      <c r="B925" s="1">
        <v>40337</v>
      </c>
      <c r="C925">
        <v>6</v>
      </c>
      <c r="D925">
        <v>2010</v>
      </c>
      <c r="E925" s="2">
        <v>795301.17</v>
      </c>
      <c r="F925">
        <v>0</v>
      </c>
      <c r="G925" s="3">
        <v>70.53</v>
      </c>
      <c r="H925" s="2">
        <v>2.802</v>
      </c>
      <c r="I925">
        <v>126.0854516</v>
      </c>
      <c r="J925" s="3">
        <v>6.6970000000000001</v>
      </c>
    </row>
    <row r="926" spans="1:10" x14ac:dyDescent="0.25">
      <c r="A926">
        <v>17</v>
      </c>
      <c r="B926" s="1">
        <v>40246</v>
      </c>
      <c r="C926">
        <v>3</v>
      </c>
      <c r="D926">
        <v>2010</v>
      </c>
      <c r="E926" s="2">
        <v>834373.73</v>
      </c>
      <c r="F926">
        <v>0</v>
      </c>
      <c r="G926" s="3">
        <v>57.86</v>
      </c>
      <c r="H926" s="2">
        <v>2.8679999999999999</v>
      </c>
      <c r="I926">
        <v>126.1019355</v>
      </c>
      <c r="J926" s="3">
        <v>6.6970000000000001</v>
      </c>
    </row>
    <row r="927" spans="1:10" x14ac:dyDescent="0.25">
      <c r="A927">
        <v>17</v>
      </c>
      <c r="B927" s="1">
        <v>40460</v>
      </c>
      <c r="C927">
        <v>10</v>
      </c>
      <c r="D927">
        <v>2010</v>
      </c>
      <c r="E927" s="2">
        <v>1200888.28</v>
      </c>
      <c r="F927">
        <v>1</v>
      </c>
      <c r="G927" s="3">
        <v>56.28</v>
      </c>
      <c r="H927" s="2">
        <v>2.87</v>
      </c>
      <c r="I927">
        <v>126.1145806</v>
      </c>
      <c r="J927" s="3">
        <v>6.6970000000000001</v>
      </c>
    </row>
    <row r="928" spans="1:10" x14ac:dyDescent="0.25">
      <c r="A928">
        <v>17</v>
      </c>
      <c r="B928" s="1">
        <v>40188</v>
      </c>
      <c r="C928">
        <v>1</v>
      </c>
      <c r="D928">
        <v>2010</v>
      </c>
      <c r="E928" s="2">
        <v>829207.27</v>
      </c>
      <c r="F928">
        <v>0</v>
      </c>
      <c r="G928" s="3">
        <v>60.07</v>
      </c>
      <c r="H928" s="2">
        <v>2.8530000000000002</v>
      </c>
      <c r="I928">
        <v>126.2346</v>
      </c>
      <c r="J928" s="3">
        <v>6.8849999999999998</v>
      </c>
    </row>
    <row r="929" spans="1:10" x14ac:dyDescent="0.25">
      <c r="A929">
        <v>17</v>
      </c>
      <c r="B929" s="1">
        <v>40400</v>
      </c>
      <c r="C929">
        <v>8</v>
      </c>
      <c r="D929">
        <v>2010</v>
      </c>
      <c r="E929" s="2">
        <v>827738.06</v>
      </c>
      <c r="F929">
        <v>0</v>
      </c>
      <c r="G929" s="3">
        <v>58.06</v>
      </c>
      <c r="H929" s="2">
        <v>2.8410000000000002</v>
      </c>
      <c r="I929">
        <v>126.2791667</v>
      </c>
      <c r="J929" s="3">
        <v>6.8849999999999998</v>
      </c>
    </row>
    <row r="930" spans="1:10" x14ac:dyDescent="0.25">
      <c r="A930">
        <v>17</v>
      </c>
      <c r="B930" s="1">
        <v>40309</v>
      </c>
      <c r="C930">
        <v>5</v>
      </c>
      <c r="D930">
        <v>2010</v>
      </c>
      <c r="E930" s="2">
        <v>818434.49</v>
      </c>
      <c r="F930">
        <v>0</v>
      </c>
      <c r="G930" s="3">
        <v>42.54</v>
      </c>
      <c r="H930" s="2">
        <v>2.831</v>
      </c>
      <c r="I930">
        <v>126.4912903</v>
      </c>
      <c r="J930" s="3">
        <v>6.8849999999999998</v>
      </c>
    </row>
    <row r="931" spans="1:10" x14ac:dyDescent="0.25">
      <c r="A931">
        <v>17</v>
      </c>
      <c r="B931" s="1">
        <v>40523</v>
      </c>
      <c r="C931">
        <v>12</v>
      </c>
      <c r="D931">
        <v>2010</v>
      </c>
      <c r="E931" s="2">
        <v>855459.96</v>
      </c>
      <c r="F931">
        <v>0</v>
      </c>
      <c r="G931" s="3">
        <v>36.32</v>
      </c>
      <c r="H931" s="2">
        <v>2.831</v>
      </c>
      <c r="I931">
        <v>126.54616129999999</v>
      </c>
      <c r="J931" s="3">
        <v>6.8849999999999998</v>
      </c>
    </row>
    <row r="932" spans="1:10" x14ac:dyDescent="0.25">
      <c r="A932">
        <v>17</v>
      </c>
      <c r="B932" s="1">
        <v>40249</v>
      </c>
      <c r="C932">
        <v>3</v>
      </c>
      <c r="D932">
        <v>2010</v>
      </c>
      <c r="E932" s="2">
        <v>926573.81</v>
      </c>
      <c r="F932">
        <v>0</v>
      </c>
      <c r="G932" s="3">
        <v>22.47</v>
      </c>
      <c r="H932" s="2">
        <v>2.8119999999999998</v>
      </c>
      <c r="I932">
        <v>126.7313333</v>
      </c>
      <c r="J932" s="3">
        <v>6.8849999999999998</v>
      </c>
    </row>
    <row r="933" spans="1:10" x14ac:dyDescent="0.25">
      <c r="A933">
        <v>17</v>
      </c>
      <c r="B933" s="1">
        <v>40463</v>
      </c>
      <c r="C933">
        <v>10</v>
      </c>
      <c r="D933">
        <v>2010</v>
      </c>
      <c r="E933" s="2">
        <v>962475.55</v>
      </c>
      <c r="F933">
        <v>0</v>
      </c>
      <c r="G933" s="3">
        <v>31.64</v>
      </c>
      <c r="H933" s="2">
        <v>2.8170000000000002</v>
      </c>
      <c r="I933">
        <v>126.79340000000001</v>
      </c>
      <c r="J933" s="3">
        <v>6.8849999999999998</v>
      </c>
    </row>
    <row r="934" spans="1:10" x14ac:dyDescent="0.25">
      <c r="A934">
        <v>17</v>
      </c>
      <c r="B934" s="1">
        <v>40725</v>
      </c>
      <c r="C934">
        <v>7</v>
      </c>
      <c r="D934">
        <v>2011</v>
      </c>
      <c r="E934" s="2">
        <v>1083071.1399999999</v>
      </c>
      <c r="F934">
        <v>0</v>
      </c>
      <c r="G934" s="3">
        <v>6.23</v>
      </c>
      <c r="H934" s="2">
        <v>2.891</v>
      </c>
      <c r="I934">
        <v>127.1917742</v>
      </c>
      <c r="J934" s="3">
        <v>6.8659999999999997</v>
      </c>
    </row>
    <row r="935" spans="1:10" x14ac:dyDescent="0.25">
      <c r="A935">
        <v>17</v>
      </c>
      <c r="B935" s="1">
        <v>40635</v>
      </c>
      <c r="C935">
        <v>4</v>
      </c>
      <c r="D935">
        <v>2011</v>
      </c>
      <c r="E935" s="2">
        <v>816603.05</v>
      </c>
      <c r="F935">
        <v>0</v>
      </c>
      <c r="G935" s="3">
        <v>11.29</v>
      </c>
      <c r="H935" s="2">
        <v>2.9740000000000002</v>
      </c>
      <c r="I935">
        <v>127.7195806</v>
      </c>
      <c r="J935" s="3">
        <v>6.8659999999999997</v>
      </c>
    </row>
    <row r="936" spans="1:10" x14ac:dyDescent="0.25">
      <c r="A936">
        <v>17</v>
      </c>
      <c r="B936" s="1">
        <v>40849</v>
      </c>
      <c r="C936">
        <v>11</v>
      </c>
      <c r="D936">
        <v>2011</v>
      </c>
      <c r="E936" s="2">
        <v>813211.46</v>
      </c>
      <c r="F936">
        <v>1</v>
      </c>
      <c r="G936" s="3">
        <v>14.19</v>
      </c>
      <c r="H936" s="2">
        <v>3.0339999999999998</v>
      </c>
      <c r="I936">
        <v>127.859129</v>
      </c>
      <c r="J936" s="3">
        <v>6.8659999999999997</v>
      </c>
    </row>
    <row r="937" spans="1:10" x14ac:dyDescent="0.25">
      <c r="A937">
        <v>17</v>
      </c>
      <c r="B937" s="1">
        <v>40636</v>
      </c>
      <c r="C937">
        <v>4</v>
      </c>
      <c r="D937">
        <v>2011</v>
      </c>
      <c r="E937" s="2">
        <v>816138.33</v>
      </c>
      <c r="F937">
        <v>0</v>
      </c>
      <c r="G937" s="3">
        <v>24.21</v>
      </c>
      <c r="H937" s="2">
        <v>3.23</v>
      </c>
      <c r="I937">
        <v>128.26474999999999</v>
      </c>
      <c r="J937" s="3">
        <v>6.8659999999999997</v>
      </c>
    </row>
    <row r="938" spans="1:10" x14ac:dyDescent="0.25">
      <c r="A938">
        <v>17</v>
      </c>
      <c r="B938" s="1">
        <v>40850</v>
      </c>
      <c r="C938">
        <v>11</v>
      </c>
      <c r="D938">
        <v>2011</v>
      </c>
      <c r="E938" s="2">
        <v>779602.36</v>
      </c>
      <c r="F938">
        <v>0</v>
      </c>
      <c r="G938" s="3">
        <v>32.42</v>
      </c>
      <c r="H938" s="2">
        <v>3.3460000000000001</v>
      </c>
      <c r="I938">
        <v>128.39949999999999</v>
      </c>
      <c r="J938" s="3">
        <v>6.8659999999999997</v>
      </c>
    </row>
    <row r="939" spans="1:10" x14ac:dyDescent="0.25">
      <c r="A939">
        <v>17</v>
      </c>
      <c r="B939" s="1">
        <v>40547</v>
      </c>
      <c r="C939">
        <v>1</v>
      </c>
      <c r="D939">
        <v>2011</v>
      </c>
      <c r="E939" s="2">
        <v>795859.23</v>
      </c>
      <c r="F939">
        <v>0</v>
      </c>
      <c r="G939" s="3">
        <v>39.380000000000003</v>
      </c>
      <c r="H939" s="2">
        <v>3.4870000000000001</v>
      </c>
      <c r="I939">
        <v>128.71993549999999</v>
      </c>
      <c r="J939" s="3">
        <v>6.774</v>
      </c>
    </row>
    <row r="940" spans="1:10" x14ac:dyDescent="0.25">
      <c r="A940">
        <v>17</v>
      </c>
      <c r="B940" s="1">
        <v>40759</v>
      </c>
      <c r="C940">
        <v>8</v>
      </c>
      <c r="D940">
        <v>2011</v>
      </c>
      <c r="E940" s="2">
        <v>811855.72</v>
      </c>
      <c r="F940">
        <v>0</v>
      </c>
      <c r="G940" s="3">
        <v>39.159999999999997</v>
      </c>
      <c r="H940" s="2">
        <v>3.5470000000000002</v>
      </c>
      <c r="I940">
        <v>128.82380649999999</v>
      </c>
      <c r="J940" s="3">
        <v>6.774</v>
      </c>
    </row>
    <row r="941" spans="1:10" x14ac:dyDescent="0.25">
      <c r="A941">
        <v>17</v>
      </c>
      <c r="B941" s="1">
        <v>40699</v>
      </c>
      <c r="C941">
        <v>6</v>
      </c>
      <c r="D941">
        <v>2011</v>
      </c>
      <c r="E941" s="2">
        <v>882132.28</v>
      </c>
      <c r="F941">
        <v>0</v>
      </c>
      <c r="G941" s="3">
        <v>45.66</v>
      </c>
      <c r="H941" s="2">
        <v>3.7440000000000002</v>
      </c>
      <c r="I941">
        <v>129.04443330000001</v>
      </c>
      <c r="J941" s="3">
        <v>6.774</v>
      </c>
    </row>
    <row r="942" spans="1:10" x14ac:dyDescent="0.25">
      <c r="A942">
        <v>17</v>
      </c>
      <c r="B942" s="1">
        <v>40608</v>
      </c>
      <c r="C942">
        <v>3</v>
      </c>
      <c r="D942">
        <v>2011</v>
      </c>
      <c r="E942" s="2">
        <v>895020.48</v>
      </c>
      <c r="F942">
        <v>0</v>
      </c>
      <c r="G942" s="3">
        <v>49.61</v>
      </c>
      <c r="H942" s="2">
        <v>3.7519999999999998</v>
      </c>
      <c r="I942">
        <v>129.04903229999999</v>
      </c>
      <c r="J942" s="3">
        <v>6.774</v>
      </c>
    </row>
    <row r="943" spans="1:10" x14ac:dyDescent="0.25">
      <c r="A943">
        <v>17</v>
      </c>
      <c r="B943" s="1">
        <v>40822</v>
      </c>
      <c r="C943">
        <v>10</v>
      </c>
      <c r="D943">
        <v>2011</v>
      </c>
      <c r="E943" s="2">
        <v>881190.46</v>
      </c>
      <c r="F943">
        <v>0</v>
      </c>
      <c r="G943" s="3">
        <v>54.57</v>
      </c>
      <c r="H943" s="2">
        <v>3.7320000000000002</v>
      </c>
      <c r="I943">
        <v>129.03570970000001</v>
      </c>
      <c r="J943" s="3">
        <v>6.774</v>
      </c>
    </row>
    <row r="944" spans="1:10" x14ac:dyDescent="0.25">
      <c r="A944">
        <v>17</v>
      </c>
      <c r="B944" s="1">
        <v>40550</v>
      </c>
      <c r="C944">
        <v>1</v>
      </c>
      <c r="D944">
        <v>2011</v>
      </c>
      <c r="E944" s="2">
        <v>940554.34</v>
      </c>
      <c r="F944">
        <v>0</v>
      </c>
      <c r="G944" s="3">
        <v>67.39</v>
      </c>
      <c r="H944" s="2">
        <v>3.613</v>
      </c>
      <c r="I944">
        <v>129.08940000000001</v>
      </c>
      <c r="J944" s="3">
        <v>6.7450000000000001</v>
      </c>
    </row>
    <row r="945" spans="1:10" x14ac:dyDescent="0.25">
      <c r="A945">
        <v>17</v>
      </c>
      <c r="B945" s="1">
        <v>40762</v>
      </c>
      <c r="C945">
        <v>8</v>
      </c>
      <c r="D945">
        <v>2011</v>
      </c>
      <c r="E945" s="2">
        <v>915064.22</v>
      </c>
      <c r="F945">
        <v>0</v>
      </c>
      <c r="G945" s="3">
        <v>70.599999999999994</v>
      </c>
      <c r="H945" s="2">
        <v>3.5630000000000002</v>
      </c>
      <c r="I945">
        <v>129.11250000000001</v>
      </c>
      <c r="J945" s="3">
        <v>6.7450000000000001</v>
      </c>
    </row>
    <row r="946" spans="1:10" x14ac:dyDescent="0.25">
      <c r="A946">
        <v>17</v>
      </c>
      <c r="B946" s="1">
        <v>40671</v>
      </c>
      <c r="C946">
        <v>5</v>
      </c>
      <c r="D946">
        <v>2011</v>
      </c>
      <c r="E946" s="2">
        <v>866184.92</v>
      </c>
      <c r="F946">
        <v>0</v>
      </c>
      <c r="G946" s="3">
        <v>65.709999999999994</v>
      </c>
      <c r="H946" s="2">
        <v>3.5950000000000002</v>
      </c>
      <c r="I946">
        <v>129.18464520000001</v>
      </c>
      <c r="J946" s="3">
        <v>6.7450000000000001</v>
      </c>
    </row>
    <row r="947" spans="1:10" x14ac:dyDescent="0.25">
      <c r="A947">
        <v>17</v>
      </c>
      <c r="B947" s="1">
        <v>40885</v>
      </c>
      <c r="C947">
        <v>12</v>
      </c>
      <c r="D947">
        <v>2011</v>
      </c>
      <c r="E947" s="2">
        <v>800819.79</v>
      </c>
      <c r="F947">
        <v>0</v>
      </c>
      <c r="G947" s="3">
        <v>64.790000000000006</v>
      </c>
      <c r="H947" s="2">
        <v>3.6059999999999999</v>
      </c>
      <c r="I947">
        <v>129.2015806</v>
      </c>
      <c r="J947" s="3">
        <v>6.7450000000000001</v>
      </c>
    </row>
    <row r="948" spans="1:10" x14ac:dyDescent="0.25">
      <c r="A948">
        <v>17</v>
      </c>
      <c r="B948" s="1">
        <v>40583</v>
      </c>
      <c r="C948">
        <v>2</v>
      </c>
      <c r="D948">
        <v>2011</v>
      </c>
      <c r="E948" s="2">
        <v>847380.07</v>
      </c>
      <c r="F948">
        <v>0</v>
      </c>
      <c r="G948" s="3">
        <v>69.31</v>
      </c>
      <c r="H948" s="2">
        <v>3.58</v>
      </c>
      <c r="I948">
        <v>129.32593550000001</v>
      </c>
      <c r="J948" s="3">
        <v>6.7450000000000001</v>
      </c>
    </row>
    <row r="949" spans="1:10" x14ac:dyDescent="0.25">
      <c r="A949">
        <v>17</v>
      </c>
      <c r="B949" s="1">
        <v>40795</v>
      </c>
      <c r="C949">
        <v>9</v>
      </c>
      <c r="D949">
        <v>2011</v>
      </c>
      <c r="E949" s="2">
        <v>1161900.18</v>
      </c>
      <c r="F949">
        <v>1</v>
      </c>
      <c r="G949" s="3">
        <v>61.94</v>
      </c>
      <c r="H949" s="2">
        <v>3.6190000000000002</v>
      </c>
      <c r="I949">
        <v>129.36861289999999</v>
      </c>
      <c r="J949" s="3">
        <v>6.7450000000000001</v>
      </c>
    </row>
    <row r="950" spans="1:10" x14ac:dyDescent="0.25">
      <c r="A950">
        <v>17</v>
      </c>
      <c r="B950" s="1">
        <v>40734</v>
      </c>
      <c r="C950">
        <v>7</v>
      </c>
      <c r="D950">
        <v>2011</v>
      </c>
      <c r="E950" s="2">
        <v>918006.9</v>
      </c>
      <c r="F950">
        <v>0</v>
      </c>
      <c r="G950" s="3">
        <v>54.4</v>
      </c>
      <c r="H950" s="2">
        <v>3.5920000000000001</v>
      </c>
      <c r="I950">
        <v>129.69380000000001</v>
      </c>
      <c r="J950" s="3">
        <v>6.617</v>
      </c>
    </row>
    <row r="951" spans="1:10" x14ac:dyDescent="0.25">
      <c r="A951">
        <v>17</v>
      </c>
      <c r="B951" s="1">
        <v>40644</v>
      </c>
      <c r="C951">
        <v>4</v>
      </c>
      <c r="D951">
        <v>2011</v>
      </c>
      <c r="E951" s="2">
        <v>927657.63</v>
      </c>
      <c r="F951">
        <v>0</v>
      </c>
      <c r="G951" s="3">
        <v>37.520000000000003</v>
      </c>
      <c r="H951" s="2">
        <v>3.5379999999999998</v>
      </c>
      <c r="I951">
        <v>129.8051935</v>
      </c>
      <c r="J951" s="3">
        <v>6.617</v>
      </c>
    </row>
    <row r="952" spans="1:10" x14ac:dyDescent="0.25">
      <c r="A952">
        <v>17</v>
      </c>
      <c r="B952" s="1">
        <v>40858</v>
      </c>
      <c r="C952">
        <v>11</v>
      </c>
      <c r="D952">
        <v>2011</v>
      </c>
      <c r="E952" s="2">
        <v>914759.2</v>
      </c>
      <c r="F952">
        <v>0</v>
      </c>
      <c r="G952" s="3">
        <v>27.61</v>
      </c>
      <c r="H952" s="2">
        <v>3.5129999999999999</v>
      </c>
      <c r="I952">
        <v>129.81670969999999</v>
      </c>
      <c r="J952" s="3">
        <v>6.617</v>
      </c>
    </row>
    <row r="953" spans="1:10" x14ac:dyDescent="0.25">
      <c r="A953">
        <v>17</v>
      </c>
      <c r="B953" s="1">
        <v>40586</v>
      </c>
      <c r="C953">
        <v>2</v>
      </c>
      <c r="D953">
        <v>2011</v>
      </c>
      <c r="E953" s="2">
        <v>945267.68</v>
      </c>
      <c r="F953">
        <v>0</v>
      </c>
      <c r="G953" s="3">
        <v>26.47</v>
      </c>
      <c r="H953" s="2">
        <v>3.3889999999999998</v>
      </c>
      <c r="I953">
        <v>129.84596669999999</v>
      </c>
      <c r="J953" s="3">
        <v>6.617</v>
      </c>
    </row>
    <row r="954" spans="1:10" x14ac:dyDescent="0.25">
      <c r="A954">
        <v>17</v>
      </c>
      <c r="B954" s="1">
        <v>40798</v>
      </c>
      <c r="C954">
        <v>9</v>
      </c>
      <c r="D954">
        <v>2011</v>
      </c>
      <c r="E954" s="2">
        <v>976522.93</v>
      </c>
      <c r="F954">
        <v>0</v>
      </c>
      <c r="G954" s="3">
        <v>17.559999999999999</v>
      </c>
      <c r="H954" s="2">
        <v>3.3410000000000002</v>
      </c>
      <c r="I954">
        <v>129.85553329999999</v>
      </c>
      <c r="J954" s="3">
        <v>6.617</v>
      </c>
    </row>
    <row r="955" spans="1:10" x14ac:dyDescent="0.25">
      <c r="A955">
        <v>17</v>
      </c>
      <c r="B955" s="1">
        <v>41061</v>
      </c>
      <c r="C955">
        <v>6</v>
      </c>
      <c r="D955">
        <v>2012</v>
      </c>
      <c r="E955" s="2">
        <v>1198104.22</v>
      </c>
      <c r="F955">
        <v>0</v>
      </c>
      <c r="G955" s="3">
        <v>27.64</v>
      </c>
      <c r="H955" s="2">
        <v>3.08</v>
      </c>
      <c r="I955">
        <v>130.15751610000001</v>
      </c>
      <c r="J955" s="3">
        <v>6.4029999999999996</v>
      </c>
    </row>
    <row r="956" spans="1:10" x14ac:dyDescent="0.25">
      <c r="A956">
        <v>17</v>
      </c>
      <c r="B956" s="1">
        <v>40970</v>
      </c>
      <c r="C956">
        <v>3</v>
      </c>
      <c r="D956">
        <v>2012</v>
      </c>
      <c r="E956" s="2">
        <v>864852.85</v>
      </c>
      <c r="F956">
        <v>0</v>
      </c>
      <c r="G956" s="3">
        <v>26.26</v>
      </c>
      <c r="H956" s="2">
        <v>3.077</v>
      </c>
      <c r="I956">
        <v>130.34967739999999</v>
      </c>
      <c r="J956" s="3">
        <v>6.4029999999999996</v>
      </c>
    </row>
    <row r="957" spans="1:10" x14ac:dyDescent="0.25">
      <c r="A957">
        <v>17</v>
      </c>
      <c r="B957" s="1">
        <v>41184</v>
      </c>
      <c r="C957">
        <v>10</v>
      </c>
      <c r="D957">
        <v>2012</v>
      </c>
      <c r="E957" s="2">
        <v>880165.7</v>
      </c>
      <c r="F957">
        <v>1</v>
      </c>
      <c r="G957" s="3">
        <v>23.63</v>
      </c>
      <c r="H957" s="2">
        <v>3.1160000000000001</v>
      </c>
      <c r="I957">
        <v>130.3849032</v>
      </c>
      <c r="J957" s="3">
        <v>6.4029999999999996</v>
      </c>
    </row>
    <row r="958" spans="1:10" x14ac:dyDescent="0.25">
      <c r="A958">
        <v>17</v>
      </c>
      <c r="B958" s="1">
        <v>40942</v>
      </c>
      <c r="C958">
        <v>2</v>
      </c>
      <c r="D958">
        <v>2012</v>
      </c>
      <c r="E958" s="2">
        <v>856178.47</v>
      </c>
      <c r="F958">
        <v>0</v>
      </c>
      <c r="G958" s="3">
        <v>26.28</v>
      </c>
      <c r="H958" s="2">
        <v>3.242</v>
      </c>
      <c r="I958">
        <v>130.64579309999999</v>
      </c>
      <c r="J958" s="3">
        <v>6.4029999999999996</v>
      </c>
    </row>
    <row r="959" spans="1:10" x14ac:dyDescent="0.25">
      <c r="A959">
        <v>17</v>
      </c>
      <c r="B959" s="1">
        <v>41155</v>
      </c>
      <c r="C959">
        <v>9</v>
      </c>
      <c r="D959">
        <v>2012</v>
      </c>
      <c r="E959" s="2">
        <v>860224.98</v>
      </c>
      <c r="F959">
        <v>0</v>
      </c>
      <c r="G959" s="3">
        <v>32.020000000000003</v>
      </c>
      <c r="H959" s="2">
        <v>3.38</v>
      </c>
      <c r="I959">
        <v>130.74137930000001</v>
      </c>
      <c r="J959" s="3">
        <v>6.4029999999999996</v>
      </c>
    </row>
    <row r="960" spans="1:10" x14ac:dyDescent="0.25">
      <c r="A960">
        <v>17</v>
      </c>
      <c r="B960" s="1">
        <v>41064</v>
      </c>
      <c r="C960">
        <v>6</v>
      </c>
      <c r="D960">
        <v>2012</v>
      </c>
      <c r="E960" s="2">
        <v>986922.62</v>
      </c>
      <c r="F960">
        <v>0</v>
      </c>
      <c r="G960" s="3">
        <v>43.92</v>
      </c>
      <c r="H960" s="2">
        <v>3.7930000000000001</v>
      </c>
      <c r="I960">
        <v>131.03754839999999</v>
      </c>
      <c r="J960" s="3">
        <v>6.2350000000000003</v>
      </c>
    </row>
    <row r="961" spans="1:10" x14ac:dyDescent="0.25">
      <c r="A961">
        <v>17</v>
      </c>
      <c r="B961" s="1">
        <v>41004</v>
      </c>
      <c r="C961">
        <v>4</v>
      </c>
      <c r="D961">
        <v>2012</v>
      </c>
      <c r="E961" s="2">
        <v>930121.14</v>
      </c>
      <c r="F961">
        <v>0</v>
      </c>
      <c r="G961" s="3">
        <v>48.86</v>
      </c>
      <c r="H961" s="2">
        <v>3.831</v>
      </c>
      <c r="I961">
        <v>131.136</v>
      </c>
      <c r="J961" s="3">
        <v>6.2350000000000003</v>
      </c>
    </row>
    <row r="962" spans="1:10" x14ac:dyDescent="0.25">
      <c r="A962">
        <v>17</v>
      </c>
      <c r="B962" s="1">
        <v>41218</v>
      </c>
      <c r="C962">
        <v>11</v>
      </c>
      <c r="D962">
        <v>2012</v>
      </c>
      <c r="E962" s="2">
        <v>944100.3</v>
      </c>
      <c r="F962">
        <v>0</v>
      </c>
      <c r="G962" s="3">
        <v>49.96</v>
      </c>
      <c r="H962" s="2">
        <v>3.8090000000000002</v>
      </c>
      <c r="I962">
        <v>131.1453333</v>
      </c>
      <c r="J962" s="3">
        <v>6.2350000000000003</v>
      </c>
    </row>
    <row r="963" spans="1:10" x14ac:dyDescent="0.25">
      <c r="A963">
        <v>17</v>
      </c>
      <c r="B963" s="1">
        <v>40914</v>
      </c>
      <c r="C963">
        <v>1</v>
      </c>
      <c r="D963">
        <v>2012</v>
      </c>
      <c r="E963" s="2">
        <v>938914.28</v>
      </c>
      <c r="F963">
        <v>0</v>
      </c>
      <c r="G963" s="3">
        <v>54.13</v>
      </c>
      <c r="H963" s="2">
        <v>3.7879999999999998</v>
      </c>
      <c r="I963">
        <v>130.95922580000001</v>
      </c>
      <c r="J963" s="3">
        <v>6.2350000000000003</v>
      </c>
    </row>
    <row r="964" spans="1:10" x14ac:dyDescent="0.25">
      <c r="A964">
        <v>17</v>
      </c>
      <c r="B964" s="1">
        <v>41127</v>
      </c>
      <c r="C964">
        <v>8</v>
      </c>
      <c r="D964">
        <v>2012</v>
      </c>
      <c r="E964" s="2">
        <v>987990.24</v>
      </c>
      <c r="F964">
        <v>0</v>
      </c>
      <c r="G964" s="3">
        <v>60.51</v>
      </c>
      <c r="H964" s="2">
        <v>3.7759999999999998</v>
      </c>
      <c r="I964">
        <v>130.88967740000001</v>
      </c>
      <c r="J964" s="3">
        <v>6.2350000000000003</v>
      </c>
    </row>
    <row r="965" spans="1:10" x14ac:dyDescent="0.25">
      <c r="A965">
        <v>17</v>
      </c>
      <c r="B965" s="1">
        <v>41067</v>
      </c>
      <c r="C965">
        <v>6</v>
      </c>
      <c r="D965">
        <v>2012</v>
      </c>
      <c r="E965" s="2">
        <v>1046782.52</v>
      </c>
      <c r="F965">
        <v>0</v>
      </c>
      <c r="G965" s="3">
        <v>68.91</v>
      </c>
      <c r="H965" s="2">
        <v>3.63</v>
      </c>
      <c r="I965">
        <v>130.7196333</v>
      </c>
      <c r="J965" s="3">
        <v>5.9359999999999999</v>
      </c>
    </row>
    <row r="966" spans="1:10" x14ac:dyDescent="0.25">
      <c r="A966">
        <v>17</v>
      </c>
      <c r="B966" s="1">
        <v>40976</v>
      </c>
      <c r="C966">
        <v>3</v>
      </c>
      <c r="D966">
        <v>2012</v>
      </c>
      <c r="E966" s="2">
        <v>877813.33</v>
      </c>
      <c r="F966">
        <v>0</v>
      </c>
      <c r="G966" s="3">
        <v>72.94</v>
      </c>
      <c r="H966" s="2">
        <v>3.512</v>
      </c>
      <c r="I966">
        <v>130.73787100000001</v>
      </c>
      <c r="J966" s="3">
        <v>5.9359999999999999</v>
      </c>
    </row>
    <row r="967" spans="1:10" x14ac:dyDescent="0.25">
      <c r="A967">
        <v>17</v>
      </c>
      <c r="B967" s="1">
        <v>41190</v>
      </c>
      <c r="C967">
        <v>10</v>
      </c>
      <c r="D967">
        <v>2012</v>
      </c>
      <c r="E967" s="2">
        <v>849074.04</v>
      </c>
      <c r="F967">
        <v>0</v>
      </c>
      <c r="G967" s="3">
        <v>73.290000000000006</v>
      </c>
      <c r="H967" s="2">
        <v>3.5089999999999999</v>
      </c>
      <c r="I967">
        <v>130.7561613</v>
      </c>
      <c r="J967" s="3">
        <v>5.9359999999999999</v>
      </c>
    </row>
    <row r="968" spans="1:10" x14ac:dyDescent="0.25">
      <c r="A968">
        <v>17</v>
      </c>
      <c r="B968" s="1">
        <v>41099</v>
      </c>
      <c r="C968">
        <v>7</v>
      </c>
      <c r="D968">
        <v>2012</v>
      </c>
      <c r="E968" s="2">
        <v>1255633.29</v>
      </c>
      <c r="F968">
        <v>1</v>
      </c>
      <c r="G968" s="3">
        <v>61.99</v>
      </c>
      <c r="H968" s="2">
        <v>3.6890000000000001</v>
      </c>
      <c r="I968">
        <v>130.9325484</v>
      </c>
      <c r="J968" s="3">
        <v>5.9359999999999999</v>
      </c>
    </row>
    <row r="969" spans="1:10" x14ac:dyDescent="0.25">
      <c r="A969">
        <v>17</v>
      </c>
      <c r="B969" s="1">
        <v>41039</v>
      </c>
      <c r="C969">
        <v>5</v>
      </c>
      <c r="D969">
        <v>2012</v>
      </c>
      <c r="E969" s="2">
        <v>952609.17</v>
      </c>
      <c r="F969">
        <v>0</v>
      </c>
      <c r="G969" s="3">
        <v>52.81</v>
      </c>
      <c r="H969" s="2">
        <v>3.8149999999999999</v>
      </c>
      <c r="I969">
        <v>131.0756667</v>
      </c>
      <c r="J969" s="3">
        <v>5.5270000000000001</v>
      </c>
    </row>
    <row r="970" spans="1:10" x14ac:dyDescent="0.25">
      <c r="A970">
        <v>17</v>
      </c>
      <c r="B970" s="1">
        <v>41253</v>
      </c>
      <c r="C970">
        <v>12</v>
      </c>
      <c r="D970">
        <v>2012</v>
      </c>
      <c r="E970" s="2">
        <v>919878.34</v>
      </c>
      <c r="F970">
        <v>0</v>
      </c>
      <c r="G970" s="3">
        <v>44.82</v>
      </c>
      <c r="H970" s="2">
        <v>3.7970000000000002</v>
      </c>
      <c r="I970">
        <v>131.1083333</v>
      </c>
      <c r="J970" s="3">
        <v>5.5270000000000001</v>
      </c>
    </row>
    <row r="971" spans="1:10" x14ac:dyDescent="0.25">
      <c r="A971">
        <v>18</v>
      </c>
      <c r="B971" s="1">
        <v>40300</v>
      </c>
      <c r="C971">
        <v>5</v>
      </c>
      <c r="D971">
        <v>2010</v>
      </c>
      <c r="E971" s="2">
        <v>1205307.5</v>
      </c>
      <c r="F971">
        <v>0</v>
      </c>
      <c r="G971" s="3">
        <v>21.33</v>
      </c>
      <c r="H971" s="2">
        <v>2.7879999999999998</v>
      </c>
      <c r="I971">
        <v>131.5279032</v>
      </c>
      <c r="J971" s="3">
        <v>9.202</v>
      </c>
    </row>
    <row r="972" spans="1:10" x14ac:dyDescent="0.25">
      <c r="A972">
        <v>18</v>
      </c>
      <c r="B972" s="1">
        <v>40514</v>
      </c>
      <c r="C972">
        <v>12</v>
      </c>
      <c r="D972">
        <v>2010</v>
      </c>
      <c r="E972" s="2">
        <v>1187880.7</v>
      </c>
      <c r="F972">
        <v>1</v>
      </c>
      <c r="G972" s="3">
        <v>26.41</v>
      </c>
      <c r="H972" s="2">
        <v>2.7709999999999999</v>
      </c>
      <c r="I972">
        <v>131.58661290000001</v>
      </c>
      <c r="J972" s="3">
        <v>9.202</v>
      </c>
    </row>
    <row r="973" spans="1:10" x14ac:dyDescent="0.25">
      <c r="A973">
        <v>18</v>
      </c>
      <c r="B973" s="1">
        <v>40301</v>
      </c>
      <c r="C973">
        <v>5</v>
      </c>
      <c r="D973">
        <v>2010</v>
      </c>
      <c r="E973" s="2">
        <v>1179738.5</v>
      </c>
      <c r="F973">
        <v>0</v>
      </c>
      <c r="G973" s="3">
        <v>37.17</v>
      </c>
      <c r="H973" s="2">
        <v>2.766</v>
      </c>
      <c r="I973">
        <v>131.73500000000001</v>
      </c>
      <c r="J973" s="3">
        <v>9.202</v>
      </c>
    </row>
    <row r="974" spans="1:10" x14ac:dyDescent="0.25">
      <c r="A974">
        <v>18</v>
      </c>
      <c r="B974" s="1">
        <v>40515</v>
      </c>
      <c r="C974">
        <v>12</v>
      </c>
      <c r="D974">
        <v>2010</v>
      </c>
      <c r="E974" s="2">
        <v>1138800.32</v>
      </c>
      <c r="F974">
        <v>0</v>
      </c>
      <c r="G974" s="3">
        <v>42.39</v>
      </c>
      <c r="H974" s="2">
        <v>2.8050000000000002</v>
      </c>
      <c r="I974">
        <v>131.78399999999999</v>
      </c>
      <c r="J974" s="3">
        <v>9.202</v>
      </c>
    </row>
    <row r="975" spans="1:10" x14ac:dyDescent="0.25">
      <c r="A975">
        <v>18</v>
      </c>
      <c r="B975" s="1">
        <v>40213</v>
      </c>
      <c r="C975">
        <v>2</v>
      </c>
      <c r="D975">
        <v>2010</v>
      </c>
      <c r="E975" s="2">
        <v>1254107.8400000001</v>
      </c>
      <c r="F975">
        <v>0</v>
      </c>
      <c r="G975" s="3">
        <v>45.63</v>
      </c>
      <c r="H975" s="2">
        <v>2.8260000000000001</v>
      </c>
      <c r="I975">
        <v>131.9019677</v>
      </c>
      <c r="J975" s="3">
        <v>9.2690000000000001</v>
      </c>
    </row>
    <row r="976" spans="1:10" x14ac:dyDescent="0.25">
      <c r="A976">
        <v>18</v>
      </c>
      <c r="B976" s="1">
        <v>40425</v>
      </c>
      <c r="C976">
        <v>9</v>
      </c>
      <c r="D976">
        <v>2010</v>
      </c>
      <c r="E976" s="2">
        <v>1174447.55</v>
      </c>
      <c r="F976">
        <v>0</v>
      </c>
      <c r="G976" s="3">
        <v>59.91</v>
      </c>
      <c r="H976" s="2">
        <v>2.8490000000000002</v>
      </c>
      <c r="I976">
        <v>131.94080650000001</v>
      </c>
      <c r="J976" s="3">
        <v>9.2690000000000001</v>
      </c>
    </row>
    <row r="977" spans="1:10" x14ac:dyDescent="0.25">
      <c r="A977">
        <v>18</v>
      </c>
      <c r="B977" s="1">
        <v>40364</v>
      </c>
      <c r="C977">
        <v>7</v>
      </c>
      <c r="D977">
        <v>2010</v>
      </c>
      <c r="E977" s="2">
        <v>1222255.47</v>
      </c>
      <c r="F977">
        <v>0</v>
      </c>
      <c r="G977" s="3">
        <v>65.64</v>
      </c>
      <c r="H977" s="2">
        <v>2.9809999999999999</v>
      </c>
      <c r="I977">
        <v>132.1062</v>
      </c>
      <c r="J977" s="3">
        <v>9.2690000000000001</v>
      </c>
    </row>
    <row r="978" spans="1:10" x14ac:dyDescent="0.25">
      <c r="A978">
        <v>18</v>
      </c>
      <c r="B978" s="1">
        <v>40274</v>
      </c>
      <c r="C978">
        <v>4</v>
      </c>
      <c r="D978">
        <v>2010</v>
      </c>
      <c r="E978" s="2">
        <v>1271311.76</v>
      </c>
      <c r="F978">
        <v>0</v>
      </c>
      <c r="G978" s="3">
        <v>70.28</v>
      </c>
      <c r="H978" s="2">
        <v>2.8570000000000002</v>
      </c>
      <c r="I978">
        <v>132.36483870000001</v>
      </c>
      <c r="J978" s="3">
        <v>9.2690000000000001</v>
      </c>
    </row>
    <row r="979" spans="1:10" x14ac:dyDescent="0.25">
      <c r="A979">
        <v>18</v>
      </c>
      <c r="B979" s="1">
        <v>40488</v>
      </c>
      <c r="C979">
        <v>11</v>
      </c>
      <c r="D979">
        <v>2010</v>
      </c>
      <c r="E979" s="2">
        <v>1173521.82</v>
      </c>
      <c r="F979">
        <v>0</v>
      </c>
      <c r="G979" s="3">
        <v>64.08</v>
      </c>
      <c r="H979" s="2">
        <v>2.83</v>
      </c>
      <c r="I979">
        <v>132.43574190000001</v>
      </c>
      <c r="J979" s="3">
        <v>9.2690000000000001</v>
      </c>
    </row>
    <row r="980" spans="1:10" x14ac:dyDescent="0.25">
      <c r="A980">
        <v>18</v>
      </c>
      <c r="B980" s="1">
        <v>40216</v>
      </c>
      <c r="C980">
        <v>2</v>
      </c>
      <c r="D980">
        <v>2010</v>
      </c>
      <c r="E980" s="2">
        <v>1257928.3500000001</v>
      </c>
      <c r="F980">
        <v>0</v>
      </c>
      <c r="G980" s="3">
        <v>71.22</v>
      </c>
      <c r="H980" s="2">
        <v>2.8149999999999999</v>
      </c>
      <c r="I980">
        <v>132.5218667</v>
      </c>
      <c r="J980" s="3">
        <v>9.3420000000000005</v>
      </c>
    </row>
    <row r="981" spans="1:10" x14ac:dyDescent="0.25">
      <c r="A981">
        <v>18</v>
      </c>
      <c r="B981" s="1">
        <v>40428</v>
      </c>
      <c r="C981">
        <v>9</v>
      </c>
      <c r="D981">
        <v>2010</v>
      </c>
      <c r="E981" s="2">
        <v>1171391.4099999999</v>
      </c>
      <c r="F981">
        <v>0</v>
      </c>
      <c r="G981" s="3">
        <v>79.75</v>
      </c>
      <c r="H981" s="2">
        <v>2.806</v>
      </c>
      <c r="I981">
        <v>132.54613330000001</v>
      </c>
      <c r="J981" s="3">
        <v>9.3420000000000005</v>
      </c>
    </row>
    <row r="982" spans="1:10" x14ac:dyDescent="0.25">
      <c r="A982">
        <v>18</v>
      </c>
      <c r="B982" s="1">
        <v>40337</v>
      </c>
      <c r="C982">
        <v>6</v>
      </c>
      <c r="D982">
        <v>2010</v>
      </c>
      <c r="E982" s="2">
        <v>1166117.8500000001</v>
      </c>
      <c r="F982">
        <v>0</v>
      </c>
      <c r="G982" s="3">
        <v>73.67</v>
      </c>
      <c r="H982" s="2">
        <v>2.7919999999999998</v>
      </c>
      <c r="I982">
        <v>132.6141935</v>
      </c>
      <c r="J982" s="3">
        <v>9.3420000000000005</v>
      </c>
    </row>
    <row r="983" spans="1:10" x14ac:dyDescent="0.25">
      <c r="A983">
        <v>18</v>
      </c>
      <c r="B983" s="1">
        <v>40246</v>
      </c>
      <c r="C983">
        <v>3</v>
      </c>
      <c r="D983">
        <v>2010</v>
      </c>
      <c r="E983" s="2">
        <v>1187359.77</v>
      </c>
      <c r="F983">
        <v>0</v>
      </c>
      <c r="G983" s="3">
        <v>75.42</v>
      </c>
      <c r="H983" s="2">
        <v>2.7349999999999999</v>
      </c>
      <c r="I983">
        <v>132.72483869999999</v>
      </c>
      <c r="J983" s="3">
        <v>9.3420000000000005</v>
      </c>
    </row>
    <row r="984" spans="1:10" x14ac:dyDescent="0.25">
      <c r="A984">
        <v>18</v>
      </c>
      <c r="B984" s="1">
        <v>40460</v>
      </c>
      <c r="C984">
        <v>10</v>
      </c>
      <c r="D984">
        <v>2010</v>
      </c>
      <c r="E984" s="2">
        <v>1011201.12</v>
      </c>
      <c r="F984">
        <v>1</v>
      </c>
      <c r="G984" s="3">
        <v>67.09</v>
      </c>
      <c r="H984" s="2">
        <v>2.7170000000000001</v>
      </c>
      <c r="I984">
        <v>132.75645159999999</v>
      </c>
      <c r="J984" s="3">
        <v>9.3420000000000005</v>
      </c>
    </row>
    <row r="985" spans="1:10" x14ac:dyDescent="0.25">
      <c r="A985">
        <v>18</v>
      </c>
      <c r="B985" s="1">
        <v>40188</v>
      </c>
      <c r="C985">
        <v>1</v>
      </c>
      <c r="D985">
        <v>2010</v>
      </c>
      <c r="E985" s="2">
        <v>948977.5</v>
      </c>
      <c r="F985">
        <v>0</v>
      </c>
      <c r="G985" s="3">
        <v>67.760000000000005</v>
      </c>
      <c r="H985" s="2">
        <v>2.7170000000000001</v>
      </c>
      <c r="I985">
        <v>132.7568</v>
      </c>
      <c r="J985" s="3">
        <v>9.3309999999999995</v>
      </c>
    </row>
    <row r="986" spans="1:10" x14ac:dyDescent="0.25">
      <c r="A986">
        <v>18</v>
      </c>
      <c r="B986" s="1">
        <v>40400</v>
      </c>
      <c r="C986">
        <v>8</v>
      </c>
      <c r="D986">
        <v>2010</v>
      </c>
      <c r="E986" s="2">
        <v>1107432.71</v>
      </c>
      <c r="F986">
        <v>0</v>
      </c>
      <c r="G986" s="3">
        <v>54.73</v>
      </c>
      <c r="H986" s="2">
        <v>2.7759999999999998</v>
      </c>
      <c r="I986">
        <v>132.75166669999999</v>
      </c>
      <c r="J986" s="3">
        <v>9.3309999999999995</v>
      </c>
    </row>
    <row r="987" spans="1:10" x14ac:dyDescent="0.25">
      <c r="A987">
        <v>18</v>
      </c>
      <c r="B987" s="1">
        <v>40309</v>
      </c>
      <c r="C987">
        <v>5</v>
      </c>
      <c r="D987">
        <v>2010</v>
      </c>
      <c r="E987" s="2">
        <v>1089530.94</v>
      </c>
      <c r="F987">
        <v>0</v>
      </c>
      <c r="G987" s="3">
        <v>42.05</v>
      </c>
      <c r="H987" s="2">
        <v>2.9380000000000002</v>
      </c>
      <c r="I987">
        <v>132.92458060000001</v>
      </c>
      <c r="J987" s="3">
        <v>9.3309999999999995</v>
      </c>
    </row>
    <row r="988" spans="1:10" x14ac:dyDescent="0.25">
      <c r="A988">
        <v>18</v>
      </c>
      <c r="B988" s="1">
        <v>40523</v>
      </c>
      <c r="C988">
        <v>12</v>
      </c>
      <c r="D988">
        <v>2010</v>
      </c>
      <c r="E988" s="2">
        <v>1081322.1200000001</v>
      </c>
      <c r="F988">
        <v>0</v>
      </c>
      <c r="G988" s="3">
        <v>43.17</v>
      </c>
      <c r="H988" s="2">
        <v>2.9609999999999999</v>
      </c>
      <c r="I988">
        <v>132.97832260000001</v>
      </c>
      <c r="J988" s="3">
        <v>9.3309999999999995</v>
      </c>
    </row>
    <row r="989" spans="1:10" x14ac:dyDescent="0.25">
      <c r="A989">
        <v>18</v>
      </c>
      <c r="B989" s="1">
        <v>40249</v>
      </c>
      <c r="C989">
        <v>3</v>
      </c>
      <c r="D989">
        <v>2010</v>
      </c>
      <c r="E989" s="2">
        <v>1211026.1299999999</v>
      </c>
      <c r="F989">
        <v>0</v>
      </c>
      <c r="G989" s="3">
        <v>37.090000000000003</v>
      </c>
      <c r="H989" s="2">
        <v>3.0649999999999999</v>
      </c>
      <c r="I989">
        <v>132.75666670000001</v>
      </c>
      <c r="J989" s="3">
        <v>9.3309999999999995</v>
      </c>
    </row>
    <row r="990" spans="1:10" x14ac:dyDescent="0.25">
      <c r="A990">
        <v>18</v>
      </c>
      <c r="B990" s="1">
        <v>40463</v>
      </c>
      <c r="C990">
        <v>10</v>
      </c>
      <c r="D990">
        <v>2010</v>
      </c>
      <c r="E990" s="2">
        <v>1416168.98</v>
      </c>
      <c r="F990">
        <v>0</v>
      </c>
      <c r="G990" s="3">
        <v>25.64</v>
      </c>
      <c r="H990" s="2">
        <v>3.1320000000000001</v>
      </c>
      <c r="I990">
        <v>132.6764</v>
      </c>
      <c r="J990" s="3">
        <v>9.3309999999999995</v>
      </c>
    </row>
    <row r="991" spans="1:10" x14ac:dyDescent="0.25">
      <c r="A991">
        <v>18</v>
      </c>
      <c r="B991" s="1">
        <v>40725</v>
      </c>
      <c r="C991">
        <v>7</v>
      </c>
      <c r="D991">
        <v>2011</v>
      </c>
      <c r="E991" s="2">
        <v>933960.3</v>
      </c>
      <c r="F991">
        <v>0</v>
      </c>
      <c r="G991" s="3">
        <v>30.1</v>
      </c>
      <c r="H991" s="2">
        <v>3.1930000000000001</v>
      </c>
      <c r="I991">
        <v>132.88232260000001</v>
      </c>
      <c r="J991" s="3">
        <v>9.1310000000000002</v>
      </c>
    </row>
    <row r="992" spans="1:10" x14ac:dyDescent="0.25">
      <c r="A992">
        <v>18</v>
      </c>
      <c r="B992" s="1">
        <v>40635</v>
      </c>
      <c r="C992">
        <v>4</v>
      </c>
      <c r="D992">
        <v>2011</v>
      </c>
      <c r="E992" s="2">
        <v>1055841.24</v>
      </c>
      <c r="F992">
        <v>0</v>
      </c>
      <c r="G992" s="3">
        <v>20.79</v>
      </c>
      <c r="H992" s="2">
        <v>3.24</v>
      </c>
      <c r="I992">
        <v>133.18341939999999</v>
      </c>
      <c r="J992" s="3">
        <v>9.1310000000000002</v>
      </c>
    </row>
    <row r="993" spans="1:10" x14ac:dyDescent="0.25">
      <c r="A993">
        <v>18</v>
      </c>
      <c r="B993" s="1">
        <v>40849</v>
      </c>
      <c r="C993">
        <v>11</v>
      </c>
      <c r="D993">
        <v>2011</v>
      </c>
      <c r="E993" s="2">
        <v>1122053.58</v>
      </c>
      <c r="F993">
        <v>1</v>
      </c>
      <c r="G993" s="3">
        <v>24.3</v>
      </c>
      <c r="H993" s="2">
        <v>3.2549999999999999</v>
      </c>
      <c r="I993">
        <v>133.26087100000001</v>
      </c>
      <c r="J993" s="3">
        <v>9.1310000000000002</v>
      </c>
    </row>
    <row r="994" spans="1:10" x14ac:dyDescent="0.25">
      <c r="A994">
        <v>18</v>
      </c>
      <c r="B994" s="1">
        <v>40636</v>
      </c>
      <c r="C994">
        <v>4</v>
      </c>
      <c r="D994">
        <v>2011</v>
      </c>
      <c r="E994" s="2">
        <v>1063310.6200000001</v>
      </c>
      <c r="F994">
        <v>0</v>
      </c>
      <c r="G994" s="3">
        <v>28.49</v>
      </c>
      <c r="H994" s="2">
        <v>3.4369999999999998</v>
      </c>
      <c r="I994">
        <v>133.61414289999999</v>
      </c>
      <c r="J994" s="3">
        <v>9.1310000000000002</v>
      </c>
    </row>
    <row r="995" spans="1:10" x14ac:dyDescent="0.25">
      <c r="A995">
        <v>18</v>
      </c>
      <c r="B995" s="1">
        <v>40850</v>
      </c>
      <c r="C995">
        <v>11</v>
      </c>
      <c r="D995">
        <v>2011</v>
      </c>
      <c r="E995" s="2">
        <v>1002714.25</v>
      </c>
      <c r="F995">
        <v>0</v>
      </c>
      <c r="G995" s="3">
        <v>38.4</v>
      </c>
      <c r="H995" s="2">
        <v>3.6</v>
      </c>
      <c r="I995">
        <v>133.7361429</v>
      </c>
      <c r="J995" s="3">
        <v>9.1310000000000002</v>
      </c>
    </row>
    <row r="996" spans="1:10" x14ac:dyDescent="0.25">
      <c r="A996">
        <v>18</v>
      </c>
      <c r="B996" s="1">
        <v>40547</v>
      </c>
      <c r="C996">
        <v>1</v>
      </c>
      <c r="D996">
        <v>2011</v>
      </c>
      <c r="E996" s="2">
        <v>938083.17</v>
      </c>
      <c r="F996">
        <v>0</v>
      </c>
      <c r="G996" s="3">
        <v>35.06</v>
      </c>
      <c r="H996" s="2">
        <v>3.6379999999999999</v>
      </c>
      <c r="I996">
        <v>134.06825810000001</v>
      </c>
      <c r="J996" s="3">
        <v>8.9749999999999996</v>
      </c>
    </row>
    <row r="997" spans="1:10" x14ac:dyDescent="0.25">
      <c r="A997">
        <v>18</v>
      </c>
      <c r="B997" s="1">
        <v>40759</v>
      </c>
      <c r="C997">
        <v>8</v>
      </c>
      <c r="D997">
        <v>2011</v>
      </c>
      <c r="E997" s="2">
        <v>1018541.3</v>
      </c>
      <c r="F997">
        <v>0</v>
      </c>
      <c r="G997" s="3">
        <v>43.32</v>
      </c>
      <c r="H997" s="2">
        <v>3.72</v>
      </c>
      <c r="I997">
        <v>134.17777419999999</v>
      </c>
      <c r="J997" s="3">
        <v>8.9749999999999996</v>
      </c>
    </row>
    <row r="998" spans="1:10" x14ac:dyDescent="0.25">
      <c r="A998">
        <v>18</v>
      </c>
      <c r="B998" s="1">
        <v>40699</v>
      </c>
      <c r="C998">
        <v>6</v>
      </c>
      <c r="D998">
        <v>2011</v>
      </c>
      <c r="E998" s="2">
        <v>1065427.3700000001</v>
      </c>
      <c r="F998">
        <v>0</v>
      </c>
      <c r="G998" s="3">
        <v>54.17</v>
      </c>
      <c r="H998" s="2">
        <v>4.0780000000000003</v>
      </c>
      <c r="I998">
        <v>134.51436670000001</v>
      </c>
      <c r="J998" s="3">
        <v>8.9749999999999996</v>
      </c>
    </row>
    <row r="999" spans="1:10" x14ac:dyDescent="0.25">
      <c r="A999">
        <v>18</v>
      </c>
      <c r="B999" s="1">
        <v>40608</v>
      </c>
      <c r="C999">
        <v>3</v>
      </c>
      <c r="D999">
        <v>2011</v>
      </c>
      <c r="E999" s="2">
        <v>1178039</v>
      </c>
      <c r="F999">
        <v>0</v>
      </c>
      <c r="G999" s="3">
        <v>70.900000000000006</v>
      </c>
      <c r="H999" s="2">
        <v>3.9729999999999999</v>
      </c>
      <c r="I999">
        <v>134.85516129999999</v>
      </c>
      <c r="J999" s="3">
        <v>8.9749999999999996</v>
      </c>
    </row>
    <row r="1000" spans="1:10" x14ac:dyDescent="0.25">
      <c r="A1000">
        <v>18</v>
      </c>
      <c r="B1000" s="1">
        <v>40822</v>
      </c>
      <c r="C1000">
        <v>10</v>
      </c>
      <c r="D1000">
        <v>2011</v>
      </c>
      <c r="E1000" s="2">
        <v>1044079.2</v>
      </c>
      <c r="F1000">
        <v>0</v>
      </c>
      <c r="G1000" s="3">
        <v>69.489999999999995</v>
      </c>
      <c r="H1000" s="2">
        <v>3.9239999999999999</v>
      </c>
      <c r="I1000">
        <v>134.94254839999999</v>
      </c>
      <c r="J1000" s="3">
        <v>8.9749999999999996</v>
      </c>
    </row>
    <row r="1001" spans="1:10" x14ac:dyDescent="0.25">
      <c r="A1001">
        <v>18</v>
      </c>
      <c r="B1001" s="1">
        <v>40550</v>
      </c>
      <c r="C1001">
        <v>1</v>
      </c>
      <c r="D1001">
        <v>2011</v>
      </c>
      <c r="E1001" s="2">
        <v>1087051.26</v>
      </c>
      <c r="F1001">
        <v>0</v>
      </c>
      <c r="G1001" s="3">
        <v>69.75</v>
      </c>
      <c r="H1001" s="2">
        <v>3.8149999999999999</v>
      </c>
      <c r="I1001">
        <v>135.4468</v>
      </c>
      <c r="J1001" s="3">
        <v>8.89</v>
      </c>
    </row>
    <row r="1002" spans="1:10" x14ac:dyDescent="0.25">
      <c r="A1002">
        <v>18</v>
      </c>
      <c r="B1002" s="1">
        <v>40762</v>
      </c>
      <c r="C1002">
        <v>8</v>
      </c>
      <c r="D1002">
        <v>2011</v>
      </c>
      <c r="E1002" s="2">
        <v>1048802.6200000001</v>
      </c>
      <c r="F1002">
        <v>0</v>
      </c>
      <c r="G1002" s="3">
        <v>73.12</v>
      </c>
      <c r="H1002" s="2">
        <v>3.7839999999999998</v>
      </c>
      <c r="I1002">
        <v>135.62833330000001</v>
      </c>
      <c r="J1002" s="3">
        <v>8.89</v>
      </c>
    </row>
    <row r="1003" spans="1:10" x14ac:dyDescent="0.25">
      <c r="A1003">
        <v>18</v>
      </c>
      <c r="B1003" s="1">
        <v>40671</v>
      </c>
      <c r="C1003">
        <v>5</v>
      </c>
      <c r="D1003">
        <v>2011</v>
      </c>
      <c r="E1003" s="2">
        <v>1002806.39</v>
      </c>
      <c r="F1003">
        <v>0</v>
      </c>
      <c r="G1003" s="3">
        <v>74.58</v>
      </c>
      <c r="H1003" s="2">
        <v>3.903</v>
      </c>
      <c r="I1003">
        <v>136.05403229999999</v>
      </c>
      <c r="J1003" s="3">
        <v>8.89</v>
      </c>
    </row>
    <row r="1004" spans="1:10" x14ac:dyDescent="0.25">
      <c r="A1004">
        <v>18</v>
      </c>
      <c r="B1004" s="1">
        <v>40885</v>
      </c>
      <c r="C1004">
        <v>12</v>
      </c>
      <c r="D1004">
        <v>2011</v>
      </c>
      <c r="E1004" s="2">
        <v>928470.83</v>
      </c>
      <c r="F1004">
        <v>0</v>
      </c>
      <c r="G1004" s="3">
        <v>73.569999999999993</v>
      </c>
      <c r="H1004" s="2">
        <v>3.88</v>
      </c>
      <c r="I1004">
        <v>136.14412899999999</v>
      </c>
      <c r="J1004" s="3">
        <v>8.89</v>
      </c>
    </row>
    <row r="1005" spans="1:10" x14ac:dyDescent="0.25">
      <c r="A1005">
        <v>18</v>
      </c>
      <c r="B1005" s="1">
        <v>40583</v>
      </c>
      <c r="C1005">
        <v>2</v>
      </c>
      <c r="D1005">
        <v>2011</v>
      </c>
      <c r="E1005" s="2">
        <v>540922.93999999994</v>
      </c>
      <c r="F1005">
        <v>0</v>
      </c>
      <c r="G1005" s="3">
        <v>68.23</v>
      </c>
      <c r="H1005" s="2">
        <v>3.7839999999999998</v>
      </c>
      <c r="I1005">
        <v>136.24409679999999</v>
      </c>
      <c r="J1005" s="3">
        <v>8.89</v>
      </c>
    </row>
    <row r="1006" spans="1:10" x14ac:dyDescent="0.25">
      <c r="A1006">
        <v>18</v>
      </c>
      <c r="B1006" s="1">
        <v>40795</v>
      </c>
      <c r="C1006">
        <v>9</v>
      </c>
      <c r="D1006">
        <v>2011</v>
      </c>
      <c r="E1006" s="2">
        <v>951549.61</v>
      </c>
      <c r="F1006">
        <v>1</v>
      </c>
      <c r="G1006" s="3">
        <v>68.11</v>
      </c>
      <c r="H1006" s="2">
        <v>3.8090000000000002</v>
      </c>
      <c r="I1006">
        <v>136.27458060000001</v>
      </c>
      <c r="J1006" s="3">
        <v>8.89</v>
      </c>
    </row>
    <row r="1007" spans="1:10" x14ac:dyDescent="0.25">
      <c r="A1007">
        <v>18</v>
      </c>
      <c r="B1007" s="1">
        <v>40734</v>
      </c>
      <c r="C1007">
        <v>7</v>
      </c>
      <c r="D1007">
        <v>2011</v>
      </c>
      <c r="E1007" s="2">
        <v>1019741.1</v>
      </c>
      <c r="F1007">
        <v>0</v>
      </c>
      <c r="G1007" s="3">
        <v>54.65</v>
      </c>
      <c r="H1007" s="2">
        <v>3.633</v>
      </c>
      <c r="I1007">
        <v>136.47200000000001</v>
      </c>
      <c r="J1007" s="3">
        <v>8.4710000000000001</v>
      </c>
    </row>
    <row r="1008" spans="1:10" x14ac:dyDescent="0.25">
      <c r="A1008">
        <v>18</v>
      </c>
      <c r="B1008" s="1">
        <v>40644</v>
      </c>
      <c r="C1008">
        <v>4</v>
      </c>
      <c r="D1008">
        <v>2011</v>
      </c>
      <c r="E1008" s="2">
        <v>1100625.06</v>
      </c>
      <c r="F1008">
        <v>0</v>
      </c>
      <c r="G1008" s="3">
        <v>38.29</v>
      </c>
      <c r="H1008" s="2">
        <v>3.5859999999999999</v>
      </c>
      <c r="I1008">
        <v>136.47512900000001</v>
      </c>
      <c r="J1008" s="3">
        <v>8.4710000000000001</v>
      </c>
    </row>
    <row r="1009" spans="1:10" x14ac:dyDescent="0.25">
      <c r="A1009">
        <v>18</v>
      </c>
      <c r="B1009" s="1">
        <v>40858</v>
      </c>
      <c r="C1009">
        <v>11</v>
      </c>
      <c r="D1009">
        <v>2011</v>
      </c>
      <c r="E1009" s="2">
        <v>1079931.6299999999</v>
      </c>
      <c r="F1009">
        <v>0</v>
      </c>
      <c r="G1009" s="3">
        <v>45.69</v>
      </c>
      <c r="H1009" s="2">
        <v>3.57</v>
      </c>
      <c r="I1009">
        <v>136.46180649999999</v>
      </c>
      <c r="J1009" s="3">
        <v>8.4710000000000001</v>
      </c>
    </row>
    <row r="1010" spans="1:10" x14ac:dyDescent="0.25">
      <c r="A1010">
        <v>18</v>
      </c>
      <c r="B1010" s="1">
        <v>40586</v>
      </c>
      <c r="C1010">
        <v>2</v>
      </c>
      <c r="D1010">
        <v>2011</v>
      </c>
      <c r="E1010" s="2">
        <v>1188047.6100000001</v>
      </c>
      <c r="F1010">
        <v>0</v>
      </c>
      <c r="G1010" s="3">
        <v>46.25</v>
      </c>
      <c r="H1010" s="2">
        <v>3.5009999999999999</v>
      </c>
      <c r="I1010">
        <v>136.49093329999999</v>
      </c>
      <c r="J1010" s="3">
        <v>8.4710000000000001</v>
      </c>
    </row>
    <row r="1011" spans="1:10" x14ac:dyDescent="0.25">
      <c r="A1011">
        <v>18</v>
      </c>
      <c r="B1011" s="1">
        <v>40798</v>
      </c>
      <c r="C1011">
        <v>9</v>
      </c>
      <c r="D1011">
        <v>2011</v>
      </c>
      <c r="E1011" s="2">
        <v>1368471.23</v>
      </c>
      <c r="F1011">
        <v>0</v>
      </c>
      <c r="G1011" s="3">
        <v>42.36</v>
      </c>
      <c r="H1011" s="2">
        <v>3.47</v>
      </c>
      <c r="I1011">
        <v>136.50306670000001</v>
      </c>
      <c r="J1011" s="3">
        <v>8.4710000000000001</v>
      </c>
    </row>
    <row r="1012" spans="1:10" x14ac:dyDescent="0.25">
      <c r="A1012">
        <v>18</v>
      </c>
      <c r="B1012" s="1">
        <v>41061</v>
      </c>
      <c r="C1012">
        <v>6</v>
      </c>
      <c r="D1012">
        <v>2012</v>
      </c>
      <c r="E1012" s="2">
        <v>977286.07</v>
      </c>
      <c r="F1012">
        <v>0</v>
      </c>
      <c r="G1012" s="3">
        <v>31.27</v>
      </c>
      <c r="H1012" s="2">
        <v>3.4390000000000001</v>
      </c>
      <c r="I1012">
        <v>136.69812899999999</v>
      </c>
      <c r="J1012" s="3">
        <v>8.0749999999999993</v>
      </c>
    </row>
    <row r="1013" spans="1:10" x14ac:dyDescent="0.25">
      <c r="A1013">
        <v>18</v>
      </c>
      <c r="B1013" s="1">
        <v>40970</v>
      </c>
      <c r="C1013">
        <v>3</v>
      </c>
      <c r="D1013">
        <v>2012</v>
      </c>
      <c r="E1013" s="2">
        <v>1049772.04</v>
      </c>
      <c r="F1013">
        <v>0</v>
      </c>
      <c r="G1013" s="3">
        <v>37.619999999999997</v>
      </c>
      <c r="H1013" s="2">
        <v>3.633</v>
      </c>
      <c r="I1013">
        <v>137.06325810000001</v>
      </c>
      <c r="J1013" s="3">
        <v>8.0749999999999993</v>
      </c>
    </row>
    <row r="1014" spans="1:10" x14ac:dyDescent="0.25">
      <c r="A1014">
        <v>18</v>
      </c>
      <c r="B1014" s="1">
        <v>41184</v>
      </c>
      <c r="C1014">
        <v>10</v>
      </c>
      <c r="D1014">
        <v>2012</v>
      </c>
      <c r="E1014" s="2">
        <v>1161615.51</v>
      </c>
      <c r="F1014">
        <v>1</v>
      </c>
      <c r="G1014" s="3">
        <v>32.83</v>
      </c>
      <c r="H1014" s="2">
        <v>3.6549999999999998</v>
      </c>
      <c r="I1014">
        <v>137.1666774</v>
      </c>
      <c r="J1014" s="3">
        <v>8.0749999999999993</v>
      </c>
    </row>
    <row r="1015" spans="1:10" x14ac:dyDescent="0.25">
      <c r="A1015">
        <v>18</v>
      </c>
      <c r="B1015" s="1">
        <v>40942</v>
      </c>
      <c r="C1015">
        <v>2</v>
      </c>
      <c r="D1015">
        <v>2012</v>
      </c>
      <c r="E1015" s="2">
        <v>1047178.91</v>
      </c>
      <c r="F1015">
        <v>0</v>
      </c>
      <c r="G1015" s="3">
        <v>33.590000000000003</v>
      </c>
      <c r="H1015" s="2">
        <v>3.827</v>
      </c>
      <c r="I1015">
        <v>137.42389660000001</v>
      </c>
      <c r="J1015" s="3">
        <v>8.0749999999999993</v>
      </c>
    </row>
    <row r="1016" spans="1:10" x14ac:dyDescent="0.25">
      <c r="A1016">
        <v>18</v>
      </c>
      <c r="B1016" s="1">
        <v>41155</v>
      </c>
      <c r="C1016">
        <v>9</v>
      </c>
      <c r="D1016">
        <v>2012</v>
      </c>
      <c r="E1016" s="2">
        <v>1084894.47</v>
      </c>
      <c r="F1016">
        <v>0</v>
      </c>
      <c r="G1016" s="3">
        <v>38.1</v>
      </c>
      <c r="H1016" s="2">
        <v>3.8759999999999999</v>
      </c>
      <c r="I1016">
        <v>137.50668970000001</v>
      </c>
      <c r="J1016" s="3">
        <v>8.0749999999999993</v>
      </c>
    </row>
    <row r="1017" spans="1:10" x14ac:dyDescent="0.25">
      <c r="A1017">
        <v>18</v>
      </c>
      <c r="B1017" s="1">
        <v>41064</v>
      </c>
      <c r="C1017">
        <v>6</v>
      </c>
      <c r="D1017">
        <v>2012</v>
      </c>
      <c r="E1017" s="2">
        <v>1200815.3</v>
      </c>
      <c r="F1017">
        <v>0</v>
      </c>
      <c r="G1017" s="3">
        <v>43.8</v>
      </c>
      <c r="H1017" s="2">
        <v>3.9569999999999999</v>
      </c>
      <c r="I1017">
        <v>137.79709679999999</v>
      </c>
      <c r="J1017" s="3">
        <v>8.3040000000000003</v>
      </c>
    </row>
    <row r="1018" spans="1:10" x14ac:dyDescent="0.25">
      <c r="A1018">
        <v>18</v>
      </c>
      <c r="B1018" s="1">
        <v>41004</v>
      </c>
      <c r="C1018">
        <v>4</v>
      </c>
      <c r="D1018">
        <v>2012</v>
      </c>
      <c r="E1018" s="2">
        <v>1050027.8899999999</v>
      </c>
      <c r="F1018">
        <v>0</v>
      </c>
      <c r="G1018" s="3">
        <v>49.66</v>
      </c>
      <c r="H1018" s="2">
        <v>3.9910000000000001</v>
      </c>
      <c r="I1018">
        <v>138.03319999999999</v>
      </c>
      <c r="J1018" s="3">
        <v>8.3040000000000003</v>
      </c>
    </row>
    <row r="1019" spans="1:10" x14ac:dyDescent="0.25">
      <c r="A1019">
        <v>18</v>
      </c>
      <c r="B1019" s="1">
        <v>41218</v>
      </c>
      <c r="C1019">
        <v>11</v>
      </c>
      <c r="D1019">
        <v>2012</v>
      </c>
      <c r="E1019" s="2">
        <v>1060433.1000000001</v>
      </c>
      <c r="F1019">
        <v>0</v>
      </c>
      <c r="G1019" s="3">
        <v>57.44</v>
      </c>
      <c r="H1019" s="2">
        <v>3.9470000000000001</v>
      </c>
      <c r="I1019">
        <v>138.08826669999999</v>
      </c>
      <c r="J1019" s="3">
        <v>8.3040000000000003</v>
      </c>
    </row>
    <row r="1020" spans="1:10" x14ac:dyDescent="0.25">
      <c r="A1020">
        <v>18</v>
      </c>
      <c r="B1020" s="1">
        <v>40914</v>
      </c>
      <c r="C1020">
        <v>1</v>
      </c>
      <c r="D1020">
        <v>2012</v>
      </c>
      <c r="E1020" s="2">
        <v>1118313.7</v>
      </c>
      <c r="F1020">
        <v>0</v>
      </c>
      <c r="G1020" s="3">
        <v>71.42</v>
      </c>
      <c r="H1020" s="2">
        <v>3.798</v>
      </c>
      <c r="I1020">
        <v>138.11380650000001</v>
      </c>
      <c r="J1020" s="3">
        <v>8.3040000000000003</v>
      </c>
    </row>
    <row r="1021" spans="1:10" x14ac:dyDescent="0.25">
      <c r="A1021">
        <v>18</v>
      </c>
      <c r="B1021" s="1">
        <v>41127</v>
      </c>
      <c r="C1021">
        <v>8</v>
      </c>
      <c r="D1021">
        <v>2012</v>
      </c>
      <c r="E1021" s="2">
        <v>1110479.94</v>
      </c>
      <c r="F1021">
        <v>0</v>
      </c>
      <c r="G1021" s="3">
        <v>59.1</v>
      </c>
      <c r="H1021" s="2">
        <v>3.746</v>
      </c>
      <c r="I1021">
        <v>138.11741939999999</v>
      </c>
      <c r="J1021" s="3">
        <v>8.3040000000000003</v>
      </c>
    </row>
    <row r="1022" spans="1:10" x14ac:dyDescent="0.25">
      <c r="A1022">
        <v>18</v>
      </c>
      <c r="B1022" s="1">
        <v>41067</v>
      </c>
      <c r="C1022">
        <v>6</v>
      </c>
      <c r="D1022">
        <v>2012</v>
      </c>
      <c r="E1022" s="2">
        <v>1158247.31</v>
      </c>
      <c r="F1022">
        <v>0</v>
      </c>
      <c r="G1022" s="3">
        <v>76.08</v>
      </c>
      <c r="H1022" s="2">
        <v>3.5379999999999998</v>
      </c>
      <c r="I1022">
        <v>138.22963329999999</v>
      </c>
      <c r="J1022" s="3">
        <v>8.5350000000000001</v>
      </c>
    </row>
    <row r="1023" spans="1:10" x14ac:dyDescent="0.25">
      <c r="A1023">
        <v>18</v>
      </c>
      <c r="B1023" s="1">
        <v>40976</v>
      </c>
      <c r="C1023">
        <v>3</v>
      </c>
      <c r="D1023">
        <v>2012</v>
      </c>
      <c r="E1023" s="2">
        <v>1052066.58</v>
      </c>
      <c r="F1023">
        <v>0</v>
      </c>
      <c r="G1023" s="3">
        <v>72.67</v>
      </c>
      <c r="H1023" s="2">
        <v>3.698</v>
      </c>
      <c r="I1023">
        <v>138.17358060000001</v>
      </c>
      <c r="J1023" s="3">
        <v>8.5350000000000001</v>
      </c>
    </row>
    <row r="1024" spans="1:10" x14ac:dyDescent="0.25">
      <c r="A1024">
        <v>18</v>
      </c>
      <c r="B1024" s="1">
        <v>41190</v>
      </c>
      <c r="C1024">
        <v>10</v>
      </c>
      <c r="D1024">
        <v>2012</v>
      </c>
      <c r="E1024" s="2">
        <v>967304.07</v>
      </c>
      <c r="F1024">
        <v>0</v>
      </c>
      <c r="G1024" s="3">
        <v>75.7</v>
      </c>
      <c r="H1024" s="2">
        <v>3.7719999999999998</v>
      </c>
      <c r="I1024">
        <v>138.1437742</v>
      </c>
      <c r="J1024" s="3">
        <v>8.5350000000000001</v>
      </c>
    </row>
    <row r="1025" spans="1:10" x14ac:dyDescent="0.25">
      <c r="A1025">
        <v>18</v>
      </c>
      <c r="B1025" s="1">
        <v>41099</v>
      </c>
      <c r="C1025">
        <v>7</v>
      </c>
      <c r="D1025">
        <v>2012</v>
      </c>
      <c r="E1025" s="2">
        <v>1083521.24</v>
      </c>
      <c r="F1025">
        <v>1</v>
      </c>
      <c r="G1025" s="3">
        <v>71.849999999999994</v>
      </c>
      <c r="H1025" s="2">
        <v>3.9209999999999998</v>
      </c>
      <c r="I1025">
        <v>138.47293550000001</v>
      </c>
      <c r="J1025" s="3">
        <v>8.5350000000000001</v>
      </c>
    </row>
    <row r="1026" spans="1:10" x14ac:dyDescent="0.25">
      <c r="A1026">
        <v>18</v>
      </c>
      <c r="B1026" s="1">
        <v>41039</v>
      </c>
      <c r="C1026">
        <v>5</v>
      </c>
      <c r="D1026">
        <v>2012</v>
      </c>
      <c r="E1026" s="2">
        <v>1092204.79</v>
      </c>
      <c r="F1026">
        <v>0</v>
      </c>
      <c r="G1026" s="3">
        <v>59.68</v>
      </c>
      <c r="H1026" s="2">
        <v>4.0270000000000001</v>
      </c>
      <c r="I1026">
        <v>138.82560000000001</v>
      </c>
      <c r="J1026" s="3">
        <v>8.2430000000000003</v>
      </c>
    </row>
    <row r="1027" spans="1:10" x14ac:dyDescent="0.25">
      <c r="A1027">
        <v>18</v>
      </c>
      <c r="B1027" s="1">
        <v>41253</v>
      </c>
      <c r="C1027">
        <v>12</v>
      </c>
      <c r="D1027">
        <v>2012</v>
      </c>
      <c r="E1027" s="2">
        <v>1074079</v>
      </c>
      <c r="F1027">
        <v>0</v>
      </c>
      <c r="G1027" s="3">
        <v>50.97</v>
      </c>
      <c r="H1027" s="2">
        <v>4.0289999999999999</v>
      </c>
      <c r="I1027">
        <v>138.9117</v>
      </c>
      <c r="J1027" s="3">
        <v>8.2430000000000003</v>
      </c>
    </row>
    <row r="1028" spans="1:10" x14ac:dyDescent="0.25">
      <c r="A1028">
        <v>19</v>
      </c>
      <c r="B1028" s="1">
        <v>40300</v>
      </c>
      <c r="C1028">
        <v>5</v>
      </c>
      <c r="D1028">
        <v>2010</v>
      </c>
      <c r="E1028" s="2">
        <v>1507637.17</v>
      </c>
      <c r="F1028">
        <v>0</v>
      </c>
      <c r="G1028" s="3">
        <v>20.96</v>
      </c>
      <c r="H1028" s="2">
        <v>2.9540000000000002</v>
      </c>
      <c r="I1028">
        <v>131.5279032</v>
      </c>
      <c r="J1028" s="3">
        <v>8.35</v>
      </c>
    </row>
    <row r="1029" spans="1:10" x14ac:dyDescent="0.25">
      <c r="A1029">
        <v>19</v>
      </c>
      <c r="B1029" s="1">
        <v>40514</v>
      </c>
      <c r="C1029">
        <v>12</v>
      </c>
      <c r="D1029">
        <v>2010</v>
      </c>
      <c r="E1029" s="2">
        <v>1536549.95</v>
      </c>
      <c r="F1029">
        <v>1</v>
      </c>
      <c r="G1029" s="3">
        <v>23.22</v>
      </c>
      <c r="H1029" s="2">
        <v>2.94</v>
      </c>
      <c r="I1029">
        <v>131.58661290000001</v>
      </c>
      <c r="J1029" s="3">
        <v>8.35</v>
      </c>
    </row>
    <row r="1030" spans="1:10" x14ac:dyDescent="0.25">
      <c r="A1030">
        <v>19</v>
      </c>
      <c r="B1030" s="1">
        <v>40301</v>
      </c>
      <c r="C1030">
        <v>5</v>
      </c>
      <c r="D1030">
        <v>2010</v>
      </c>
      <c r="E1030" s="2">
        <v>1495844.57</v>
      </c>
      <c r="F1030">
        <v>0</v>
      </c>
      <c r="G1030" s="3">
        <v>32.92</v>
      </c>
      <c r="H1030" s="2">
        <v>2.919</v>
      </c>
      <c r="I1030">
        <v>131.73500000000001</v>
      </c>
      <c r="J1030" s="3">
        <v>8.35</v>
      </c>
    </row>
    <row r="1031" spans="1:10" x14ac:dyDescent="0.25">
      <c r="A1031">
        <v>19</v>
      </c>
      <c r="B1031" s="1">
        <v>40515</v>
      </c>
      <c r="C1031">
        <v>12</v>
      </c>
      <c r="D1031">
        <v>2010</v>
      </c>
      <c r="E1031" s="2">
        <v>1467889.2</v>
      </c>
      <c r="F1031">
        <v>0</v>
      </c>
      <c r="G1031" s="3">
        <v>39.06</v>
      </c>
      <c r="H1031" s="2">
        <v>2.9380000000000002</v>
      </c>
      <c r="I1031">
        <v>131.78399999999999</v>
      </c>
      <c r="J1031" s="3">
        <v>8.35</v>
      </c>
    </row>
    <row r="1032" spans="1:10" x14ac:dyDescent="0.25">
      <c r="A1032">
        <v>19</v>
      </c>
      <c r="B1032" s="1">
        <v>40213</v>
      </c>
      <c r="C1032">
        <v>2</v>
      </c>
      <c r="D1032">
        <v>2010</v>
      </c>
      <c r="E1032" s="2">
        <v>1642970.27</v>
      </c>
      <c r="F1032">
        <v>0</v>
      </c>
      <c r="G1032" s="3">
        <v>45.26</v>
      </c>
      <c r="H1032" s="2">
        <v>2.9569999999999999</v>
      </c>
      <c r="I1032">
        <v>131.9019677</v>
      </c>
      <c r="J1032" s="3">
        <v>8.1850000000000005</v>
      </c>
    </row>
    <row r="1033" spans="1:10" x14ac:dyDescent="0.25">
      <c r="A1033">
        <v>19</v>
      </c>
      <c r="B1033" s="1">
        <v>40425</v>
      </c>
      <c r="C1033">
        <v>9</v>
      </c>
      <c r="D1033">
        <v>2010</v>
      </c>
      <c r="E1033" s="2">
        <v>1489613.32</v>
      </c>
      <c r="F1033">
        <v>0</v>
      </c>
      <c r="G1033" s="3">
        <v>55.66</v>
      </c>
      <c r="H1033" s="2">
        <v>2.992</v>
      </c>
      <c r="I1033">
        <v>131.94080650000001</v>
      </c>
      <c r="J1033" s="3">
        <v>8.1850000000000005</v>
      </c>
    </row>
    <row r="1034" spans="1:10" x14ac:dyDescent="0.25">
      <c r="A1034">
        <v>19</v>
      </c>
      <c r="B1034" s="1">
        <v>40364</v>
      </c>
      <c r="C1034">
        <v>7</v>
      </c>
      <c r="D1034">
        <v>2010</v>
      </c>
      <c r="E1034" s="2">
        <v>1566219.77</v>
      </c>
      <c r="F1034">
        <v>0</v>
      </c>
      <c r="G1034" s="3">
        <v>62.54</v>
      </c>
      <c r="H1034" s="2">
        <v>3.0950000000000002</v>
      </c>
      <c r="I1034">
        <v>132.1062</v>
      </c>
      <c r="J1034" s="3">
        <v>8.1850000000000005</v>
      </c>
    </row>
    <row r="1035" spans="1:10" x14ac:dyDescent="0.25">
      <c r="A1035">
        <v>19</v>
      </c>
      <c r="B1035" s="1">
        <v>40274</v>
      </c>
      <c r="C1035">
        <v>4</v>
      </c>
      <c r="D1035">
        <v>2010</v>
      </c>
      <c r="E1035" s="2">
        <v>1519013.49</v>
      </c>
      <c r="F1035">
        <v>0</v>
      </c>
      <c r="G1035" s="3">
        <v>68.88</v>
      </c>
      <c r="H1035" s="2">
        <v>3.0059999999999998</v>
      </c>
      <c r="I1035">
        <v>132.36483870000001</v>
      </c>
      <c r="J1035" s="3">
        <v>8.1850000000000005</v>
      </c>
    </row>
    <row r="1036" spans="1:10" x14ac:dyDescent="0.25">
      <c r="A1036">
        <v>19</v>
      </c>
      <c r="B1036" s="1">
        <v>40488</v>
      </c>
      <c r="C1036">
        <v>11</v>
      </c>
      <c r="D1036">
        <v>2010</v>
      </c>
      <c r="E1036" s="2">
        <v>1410683.94</v>
      </c>
      <c r="F1036">
        <v>0</v>
      </c>
      <c r="G1036" s="3">
        <v>61.64</v>
      </c>
      <c r="H1036" s="2">
        <v>2.972</v>
      </c>
      <c r="I1036">
        <v>132.43574190000001</v>
      </c>
      <c r="J1036" s="3">
        <v>8.1850000000000005</v>
      </c>
    </row>
    <row r="1037" spans="1:10" x14ac:dyDescent="0.25">
      <c r="A1037">
        <v>19</v>
      </c>
      <c r="B1037" s="1">
        <v>40216</v>
      </c>
      <c r="C1037">
        <v>2</v>
      </c>
      <c r="D1037">
        <v>2010</v>
      </c>
      <c r="E1037" s="2">
        <v>1549018.68</v>
      </c>
      <c r="F1037">
        <v>0</v>
      </c>
      <c r="G1037" s="3">
        <v>66.25</v>
      </c>
      <c r="H1037" s="2">
        <v>2.9580000000000002</v>
      </c>
      <c r="I1037">
        <v>132.5218667</v>
      </c>
      <c r="J1037" s="3">
        <v>8.0990000000000002</v>
      </c>
    </row>
    <row r="1038" spans="1:10" x14ac:dyDescent="0.25">
      <c r="A1038">
        <v>19</v>
      </c>
      <c r="B1038" s="1">
        <v>40428</v>
      </c>
      <c r="C1038">
        <v>9</v>
      </c>
      <c r="D1038">
        <v>2010</v>
      </c>
      <c r="E1038" s="2">
        <v>1577541.24</v>
      </c>
      <c r="F1038">
        <v>0</v>
      </c>
      <c r="G1038" s="3">
        <v>78.22</v>
      </c>
      <c r="H1038" s="2">
        <v>2.94</v>
      </c>
      <c r="I1038">
        <v>132.54613330000001</v>
      </c>
      <c r="J1038" s="3">
        <v>8.0990000000000002</v>
      </c>
    </row>
    <row r="1039" spans="1:10" x14ac:dyDescent="0.25">
      <c r="A1039">
        <v>19</v>
      </c>
      <c r="B1039" s="1">
        <v>40337</v>
      </c>
      <c r="C1039">
        <v>6</v>
      </c>
      <c r="D1039">
        <v>2010</v>
      </c>
      <c r="E1039" s="2">
        <v>1492060.89</v>
      </c>
      <c r="F1039">
        <v>0</v>
      </c>
      <c r="G1039" s="3">
        <v>74.2</v>
      </c>
      <c r="H1039" s="2">
        <v>2.9420000000000002</v>
      </c>
      <c r="I1039">
        <v>132.6141935</v>
      </c>
      <c r="J1039" s="3">
        <v>8.0990000000000002</v>
      </c>
    </row>
    <row r="1040" spans="1:10" x14ac:dyDescent="0.25">
      <c r="A1040">
        <v>19</v>
      </c>
      <c r="B1040" s="1">
        <v>40246</v>
      </c>
      <c r="C1040">
        <v>3</v>
      </c>
      <c r="D1040">
        <v>2010</v>
      </c>
      <c r="E1040" s="2">
        <v>1623519.64</v>
      </c>
      <c r="F1040">
        <v>0</v>
      </c>
      <c r="G1040" s="3">
        <v>74.69</v>
      </c>
      <c r="H1040" s="2">
        <v>2.86</v>
      </c>
      <c r="I1040">
        <v>132.72483869999999</v>
      </c>
      <c r="J1040" s="3">
        <v>8.0990000000000002</v>
      </c>
    </row>
    <row r="1041" spans="1:10" x14ac:dyDescent="0.25">
      <c r="A1041">
        <v>19</v>
      </c>
      <c r="B1041" s="1">
        <v>40460</v>
      </c>
      <c r="C1041">
        <v>10</v>
      </c>
      <c r="D1041">
        <v>2010</v>
      </c>
      <c r="E1041" s="2">
        <v>1591453.39</v>
      </c>
      <c r="F1041">
        <v>1</v>
      </c>
      <c r="G1041" s="3">
        <v>63.36</v>
      </c>
      <c r="H1041" s="2">
        <v>2.8370000000000002</v>
      </c>
      <c r="I1041">
        <v>132.75645159999999</v>
      </c>
      <c r="J1041" s="3">
        <v>8.0990000000000002</v>
      </c>
    </row>
    <row r="1042" spans="1:10" x14ac:dyDescent="0.25">
      <c r="A1042">
        <v>19</v>
      </c>
      <c r="B1042" s="1">
        <v>40188</v>
      </c>
      <c r="C1042">
        <v>1</v>
      </c>
      <c r="D1042">
        <v>2010</v>
      </c>
      <c r="E1042" s="2">
        <v>1379456.3</v>
      </c>
      <c r="F1042">
        <v>0</v>
      </c>
      <c r="G1042" s="3">
        <v>59.91</v>
      </c>
      <c r="H1042" s="2">
        <v>2.84</v>
      </c>
      <c r="I1042">
        <v>132.7568</v>
      </c>
      <c r="J1042" s="3">
        <v>8.0670000000000002</v>
      </c>
    </row>
    <row r="1043" spans="1:10" x14ac:dyDescent="0.25">
      <c r="A1043">
        <v>19</v>
      </c>
      <c r="B1043" s="1">
        <v>40400</v>
      </c>
      <c r="C1043">
        <v>8</v>
      </c>
      <c r="D1043">
        <v>2010</v>
      </c>
      <c r="E1043" s="2">
        <v>1428960.72</v>
      </c>
      <c r="F1043">
        <v>0</v>
      </c>
      <c r="G1043" s="3">
        <v>53.74</v>
      </c>
      <c r="H1043" s="2">
        <v>2.903</v>
      </c>
      <c r="I1043">
        <v>132.75166669999999</v>
      </c>
      <c r="J1043" s="3">
        <v>8.0670000000000002</v>
      </c>
    </row>
    <row r="1044" spans="1:10" x14ac:dyDescent="0.25">
      <c r="A1044">
        <v>19</v>
      </c>
      <c r="B1044" s="1">
        <v>40309</v>
      </c>
      <c r="C1044">
        <v>5</v>
      </c>
      <c r="D1044">
        <v>2010</v>
      </c>
      <c r="E1044" s="2">
        <v>1435379.25</v>
      </c>
      <c r="F1044">
        <v>0</v>
      </c>
      <c r="G1044" s="3">
        <v>41.78</v>
      </c>
      <c r="H1044" s="2">
        <v>3.0489999999999999</v>
      </c>
      <c r="I1044">
        <v>132.92458060000001</v>
      </c>
      <c r="J1044" s="3">
        <v>8.0670000000000002</v>
      </c>
    </row>
    <row r="1045" spans="1:10" x14ac:dyDescent="0.25">
      <c r="A1045">
        <v>19</v>
      </c>
      <c r="B1045" s="1">
        <v>40523</v>
      </c>
      <c r="C1045">
        <v>12</v>
      </c>
      <c r="D1045">
        <v>2010</v>
      </c>
      <c r="E1045" s="2">
        <v>1490235.86</v>
      </c>
      <c r="F1045">
        <v>0</v>
      </c>
      <c r="G1045" s="3">
        <v>40.299999999999997</v>
      </c>
      <c r="H1045" s="2">
        <v>3.0649999999999999</v>
      </c>
      <c r="I1045">
        <v>132.97832260000001</v>
      </c>
      <c r="J1045" s="3">
        <v>8.0670000000000002</v>
      </c>
    </row>
    <row r="1046" spans="1:10" x14ac:dyDescent="0.25">
      <c r="A1046">
        <v>19</v>
      </c>
      <c r="B1046" s="1">
        <v>40249</v>
      </c>
      <c r="C1046">
        <v>3</v>
      </c>
      <c r="D1046">
        <v>2010</v>
      </c>
      <c r="E1046" s="2">
        <v>1615987.96</v>
      </c>
      <c r="F1046">
        <v>0</v>
      </c>
      <c r="G1046" s="3">
        <v>36.64</v>
      </c>
      <c r="H1046" s="2">
        <v>3.2</v>
      </c>
      <c r="I1046">
        <v>132.75666670000001</v>
      </c>
      <c r="J1046" s="3">
        <v>8.0670000000000002</v>
      </c>
    </row>
    <row r="1047" spans="1:10" x14ac:dyDescent="0.25">
      <c r="A1047">
        <v>19</v>
      </c>
      <c r="B1047" s="1">
        <v>40463</v>
      </c>
      <c r="C1047">
        <v>10</v>
      </c>
      <c r="D1047">
        <v>2010</v>
      </c>
      <c r="E1047" s="2">
        <v>1799070.98</v>
      </c>
      <c r="F1047">
        <v>0</v>
      </c>
      <c r="G1047" s="3">
        <v>25.12</v>
      </c>
      <c r="H1047" s="2">
        <v>3.2549999999999999</v>
      </c>
      <c r="I1047">
        <v>132.6764</v>
      </c>
      <c r="J1047" s="3">
        <v>8.0670000000000002</v>
      </c>
    </row>
    <row r="1048" spans="1:10" x14ac:dyDescent="0.25">
      <c r="A1048">
        <v>19</v>
      </c>
      <c r="B1048" s="1">
        <v>40725</v>
      </c>
      <c r="C1048">
        <v>7</v>
      </c>
      <c r="D1048">
        <v>2011</v>
      </c>
      <c r="E1048" s="2">
        <v>1224175.99</v>
      </c>
      <c r="F1048">
        <v>0</v>
      </c>
      <c r="G1048" s="3">
        <v>31.34</v>
      </c>
      <c r="H1048" s="2">
        <v>3.351</v>
      </c>
      <c r="I1048">
        <v>132.88232260000001</v>
      </c>
      <c r="J1048" s="3">
        <v>7.7709999999999999</v>
      </c>
    </row>
    <row r="1049" spans="1:10" x14ac:dyDescent="0.25">
      <c r="A1049">
        <v>19</v>
      </c>
      <c r="B1049" s="1">
        <v>40635</v>
      </c>
      <c r="C1049">
        <v>4</v>
      </c>
      <c r="D1049">
        <v>2011</v>
      </c>
      <c r="E1049" s="2">
        <v>1370562.11</v>
      </c>
      <c r="F1049">
        <v>0</v>
      </c>
      <c r="G1049" s="3">
        <v>21.02</v>
      </c>
      <c r="H1049" s="2">
        <v>3.4</v>
      </c>
      <c r="I1049">
        <v>133.18341939999999</v>
      </c>
      <c r="J1049" s="3">
        <v>7.7709999999999999</v>
      </c>
    </row>
    <row r="1050" spans="1:10" x14ac:dyDescent="0.25">
      <c r="A1050">
        <v>19</v>
      </c>
      <c r="B1050" s="1">
        <v>40849</v>
      </c>
      <c r="C1050">
        <v>11</v>
      </c>
      <c r="D1050">
        <v>2011</v>
      </c>
      <c r="E1050" s="2">
        <v>1430851.11</v>
      </c>
      <c r="F1050">
        <v>1</v>
      </c>
      <c r="G1050" s="3">
        <v>21.79</v>
      </c>
      <c r="H1050" s="2">
        <v>3.4159999999999999</v>
      </c>
      <c r="I1050">
        <v>133.26087100000001</v>
      </c>
      <c r="J1050" s="3">
        <v>7.7709999999999999</v>
      </c>
    </row>
    <row r="1051" spans="1:10" x14ac:dyDescent="0.25">
      <c r="A1051">
        <v>19</v>
      </c>
      <c r="B1051" s="1">
        <v>40636</v>
      </c>
      <c r="C1051">
        <v>4</v>
      </c>
      <c r="D1051">
        <v>2011</v>
      </c>
      <c r="E1051" s="2">
        <v>1433569.44</v>
      </c>
      <c r="F1051">
        <v>0</v>
      </c>
      <c r="G1051" s="3">
        <v>29.28</v>
      </c>
      <c r="H1051" s="2">
        <v>3.605</v>
      </c>
      <c r="I1051">
        <v>133.61414289999999</v>
      </c>
      <c r="J1051" s="3">
        <v>7.7709999999999999</v>
      </c>
    </row>
    <row r="1052" spans="1:10" x14ac:dyDescent="0.25">
      <c r="A1052">
        <v>19</v>
      </c>
      <c r="B1052" s="1">
        <v>40850</v>
      </c>
      <c r="C1052">
        <v>11</v>
      </c>
      <c r="D1052">
        <v>2011</v>
      </c>
      <c r="E1052" s="2">
        <v>1351450.43</v>
      </c>
      <c r="F1052">
        <v>0</v>
      </c>
      <c r="G1052" s="3">
        <v>35.590000000000003</v>
      </c>
      <c r="H1052" s="2">
        <v>3.7519999999999998</v>
      </c>
      <c r="I1052">
        <v>133.7361429</v>
      </c>
      <c r="J1052" s="3">
        <v>7.7709999999999999</v>
      </c>
    </row>
    <row r="1053" spans="1:10" x14ac:dyDescent="0.25">
      <c r="A1053">
        <v>19</v>
      </c>
      <c r="B1053" s="1">
        <v>40547</v>
      </c>
      <c r="C1053">
        <v>1</v>
      </c>
      <c r="D1053">
        <v>2011</v>
      </c>
      <c r="E1053" s="2">
        <v>1305950.22</v>
      </c>
      <c r="F1053">
        <v>0</v>
      </c>
      <c r="G1053" s="3">
        <v>30.68</v>
      </c>
      <c r="H1053" s="2">
        <v>3.8109999999999999</v>
      </c>
      <c r="I1053">
        <v>134.06825810000001</v>
      </c>
      <c r="J1053" s="3">
        <v>7.6580000000000004</v>
      </c>
    </row>
    <row r="1054" spans="1:10" x14ac:dyDescent="0.25">
      <c r="A1054">
        <v>19</v>
      </c>
      <c r="B1054" s="1">
        <v>40759</v>
      </c>
      <c r="C1054">
        <v>8</v>
      </c>
      <c r="D1054">
        <v>2011</v>
      </c>
      <c r="E1054" s="2">
        <v>1419911.91</v>
      </c>
      <c r="F1054">
        <v>0</v>
      </c>
      <c r="G1054" s="3">
        <v>41.26</v>
      </c>
      <c r="H1054" s="2">
        <v>3.895</v>
      </c>
      <c r="I1054">
        <v>134.17777419999999</v>
      </c>
      <c r="J1054" s="3">
        <v>7.6580000000000004</v>
      </c>
    </row>
    <row r="1055" spans="1:10" x14ac:dyDescent="0.25">
      <c r="A1055">
        <v>19</v>
      </c>
      <c r="B1055" s="1">
        <v>40699</v>
      </c>
      <c r="C1055">
        <v>6</v>
      </c>
      <c r="D1055">
        <v>2011</v>
      </c>
      <c r="E1055" s="2">
        <v>1451953.95</v>
      </c>
      <c r="F1055">
        <v>0</v>
      </c>
      <c r="G1055" s="3">
        <v>50.43</v>
      </c>
      <c r="H1055" s="2">
        <v>4.1920000000000002</v>
      </c>
      <c r="I1055">
        <v>134.51436670000001</v>
      </c>
      <c r="J1055" s="3">
        <v>7.6580000000000004</v>
      </c>
    </row>
    <row r="1056" spans="1:10" x14ac:dyDescent="0.25">
      <c r="A1056">
        <v>19</v>
      </c>
      <c r="B1056" s="1">
        <v>40608</v>
      </c>
      <c r="C1056">
        <v>3</v>
      </c>
      <c r="D1056">
        <v>2011</v>
      </c>
      <c r="E1056" s="2">
        <v>1457345.75</v>
      </c>
      <c r="F1056">
        <v>0</v>
      </c>
      <c r="G1056" s="3">
        <v>66.010000000000005</v>
      </c>
      <c r="H1056" s="2">
        <v>4.069</v>
      </c>
      <c r="I1056">
        <v>134.85516129999999</v>
      </c>
      <c r="J1056" s="3">
        <v>7.6580000000000004</v>
      </c>
    </row>
    <row r="1057" spans="1:10" x14ac:dyDescent="0.25">
      <c r="A1057">
        <v>19</v>
      </c>
      <c r="B1057" s="1">
        <v>40822</v>
      </c>
      <c r="C1057">
        <v>10</v>
      </c>
      <c r="D1057">
        <v>2011</v>
      </c>
      <c r="E1057" s="2">
        <v>1467473.63</v>
      </c>
      <c r="F1057">
        <v>0</v>
      </c>
      <c r="G1057" s="3">
        <v>68.260000000000005</v>
      </c>
      <c r="H1057" s="2">
        <v>4.0250000000000004</v>
      </c>
      <c r="I1057">
        <v>134.94254839999999</v>
      </c>
      <c r="J1057" s="3">
        <v>7.6580000000000004</v>
      </c>
    </row>
    <row r="1058" spans="1:10" x14ac:dyDescent="0.25">
      <c r="A1058">
        <v>19</v>
      </c>
      <c r="B1058" s="1">
        <v>40550</v>
      </c>
      <c r="C1058">
        <v>1</v>
      </c>
      <c r="D1058">
        <v>2011</v>
      </c>
      <c r="E1058" s="2">
        <v>1462731.93</v>
      </c>
      <c r="F1058">
        <v>0</v>
      </c>
      <c r="G1058" s="3">
        <v>67.64</v>
      </c>
      <c r="H1058" s="2">
        <v>3.9159999999999999</v>
      </c>
      <c r="I1058">
        <v>135.4468</v>
      </c>
      <c r="J1058" s="3">
        <v>7.806</v>
      </c>
    </row>
    <row r="1059" spans="1:10" x14ac:dyDescent="0.25">
      <c r="A1059">
        <v>19</v>
      </c>
      <c r="B1059" s="1">
        <v>40762</v>
      </c>
      <c r="C1059">
        <v>8</v>
      </c>
      <c r="D1059">
        <v>2011</v>
      </c>
      <c r="E1059" s="2">
        <v>1465489.75</v>
      </c>
      <c r="F1059">
        <v>0</v>
      </c>
      <c r="G1059" s="3">
        <v>73.2</v>
      </c>
      <c r="H1059" s="2">
        <v>3.8860000000000001</v>
      </c>
      <c r="I1059">
        <v>135.62833330000001</v>
      </c>
      <c r="J1059" s="3">
        <v>7.806</v>
      </c>
    </row>
    <row r="1060" spans="1:10" x14ac:dyDescent="0.25">
      <c r="A1060">
        <v>19</v>
      </c>
      <c r="B1060" s="1">
        <v>40671</v>
      </c>
      <c r="C1060">
        <v>5</v>
      </c>
      <c r="D1060">
        <v>2011</v>
      </c>
      <c r="E1060" s="2">
        <v>1408968.55</v>
      </c>
      <c r="F1060">
        <v>0</v>
      </c>
      <c r="G1060" s="3">
        <v>73.84</v>
      </c>
      <c r="H1060" s="2">
        <v>4.0199999999999996</v>
      </c>
      <c r="I1060">
        <v>136.05403229999999</v>
      </c>
      <c r="J1060" s="3">
        <v>7.806</v>
      </c>
    </row>
    <row r="1061" spans="1:10" x14ac:dyDescent="0.25">
      <c r="A1061">
        <v>19</v>
      </c>
      <c r="B1061" s="1">
        <v>40885</v>
      </c>
      <c r="C1061">
        <v>12</v>
      </c>
      <c r="D1061">
        <v>2011</v>
      </c>
      <c r="E1061" s="2">
        <v>1360969.45</v>
      </c>
      <c r="F1061">
        <v>0</v>
      </c>
      <c r="G1061" s="3">
        <v>70.92</v>
      </c>
      <c r="H1061" s="2">
        <v>3.9950000000000001</v>
      </c>
      <c r="I1061">
        <v>136.14412899999999</v>
      </c>
      <c r="J1061" s="3">
        <v>7.806</v>
      </c>
    </row>
    <row r="1062" spans="1:10" x14ac:dyDescent="0.25">
      <c r="A1062">
        <v>19</v>
      </c>
      <c r="B1062" s="1">
        <v>40583</v>
      </c>
      <c r="C1062">
        <v>2</v>
      </c>
      <c r="D1062">
        <v>2011</v>
      </c>
      <c r="E1062" s="2">
        <v>1609951.02</v>
      </c>
      <c r="F1062">
        <v>0</v>
      </c>
      <c r="G1062" s="3">
        <v>69.27</v>
      </c>
      <c r="H1062" s="2">
        <v>3.879</v>
      </c>
      <c r="I1062">
        <v>136.24409679999999</v>
      </c>
      <c r="J1062" s="3">
        <v>7.806</v>
      </c>
    </row>
    <row r="1063" spans="1:10" x14ac:dyDescent="0.25">
      <c r="A1063">
        <v>19</v>
      </c>
      <c r="B1063" s="1">
        <v>40795</v>
      </c>
      <c r="C1063">
        <v>9</v>
      </c>
      <c r="D1063">
        <v>2011</v>
      </c>
      <c r="E1063" s="2">
        <v>1566712.79</v>
      </c>
      <c r="F1063">
        <v>1</v>
      </c>
      <c r="G1063" s="3">
        <v>68.28</v>
      </c>
      <c r="H1063" s="2">
        <v>3.93</v>
      </c>
      <c r="I1063">
        <v>136.27458060000001</v>
      </c>
      <c r="J1063" s="3">
        <v>7.806</v>
      </c>
    </row>
    <row r="1064" spans="1:10" x14ac:dyDescent="0.25">
      <c r="A1064">
        <v>19</v>
      </c>
      <c r="B1064" s="1">
        <v>40734</v>
      </c>
      <c r="C1064">
        <v>7</v>
      </c>
      <c r="D1064">
        <v>2011</v>
      </c>
      <c r="E1064" s="2">
        <v>1461718.87</v>
      </c>
      <c r="F1064">
        <v>0</v>
      </c>
      <c r="G1064" s="3">
        <v>53.1</v>
      </c>
      <c r="H1064" s="2">
        <v>3.7749999999999999</v>
      </c>
      <c r="I1064">
        <v>136.47200000000001</v>
      </c>
      <c r="J1064" s="3">
        <v>7.8659999999999997</v>
      </c>
    </row>
    <row r="1065" spans="1:10" x14ac:dyDescent="0.25">
      <c r="A1065">
        <v>19</v>
      </c>
      <c r="B1065" s="1">
        <v>40644</v>
      </c>
      <c r="C1065">
        <v>4</v>
      </c>
      <c r="D1065">
        <v>2011</v>
      </c>
      <c r="E1065" s="2">
        <v>1480289.64</v>
      </c>
      <c r="F1065">
        <v>0</v>
      </c>
      <c r="G1065" s="3">
        <v>44.97</v>
      </c>
      <c r="H1065" s="2">
        <v>3.738</v>
      </c>
      <c r="I1065">
        <v>136.47512900000001</v>
      </c>
      <c r="J1065" s="3">
        <v>7.8659999999999997</v>
      </c>
    </row>
    <row r="1066" spans="1:10" x14ac:dyDescent="0.25">
      <c r="A1066">
        <v>19</v>
      </c>
      <c r="B1066" s="1">
        <v>40858</v>
      </c>
      <c r="C1066">
        <v>11</v>
      </c>
      <c r="D1066">
        <v>2011</v>
      </c>
      <c r="E1066" s="2">
        <v>1502078.93</v>
      </c>
      <c r="F1066">
        <v>0</v>
      </c>
      <c r="G1066" s="3">
        <v>48.22</v>
      </c>
      <c r="H1066" s="2">
        <v>3.7189999999999999</v>
      </c>
      <c r="I1066">
        <v>136.46180649999999</v>
      </c>
      <c r="J1066" s="3">
        <v>7.8659999999999997</v>
      </c>
    </row>
    <row r="1067" spans="1:10" x14ac:dyDescent="0.25">
      <c r="A1067">
        <v>19</v>
      </c>
      <c r="B1067" s="1">
        <v>40586</v>
      </c>
      <c r="C1067">
        <v>2</v>
      </c>
      <c r="D1067">
        <v>2011</v>
      </c>
      <c r="E1067" s="2">
        <v>1484708.38</v>
      </c>
      <c r="F1067">
        <v>0</v>
      </c>
      <c r="G1067" s="3">
        <v>45.67</v>
      </c>
      <c r="H1067" s="2">
        <v>3.6659999999999999</v>
      </c>
      <c r="I1067">
        <v>136.49093329999999</v>
      </c>
      <c r="J1067" s="3">
        <v>7.8659999999999997</v>
      </c>
    </row>
    <row r="1068" spans="1:10" x14ac:dyDescent="0.25">
      <c r="A1068">
        <v>19</v>
      </c>
      <c r="B1068" s="1">
        <v>40798</v>
      </c>
      <c r="C1068">
        <v>9</v>
      </c>
      <c r="D1068">
        <v>2011</v>
      </c>
      <c r="E1068" s="2">
        <v>1713769.06</v>
      </c>
      <c r="F1068">
        <v>0</v>
      </c>
      <c r="G1068" s="3">
        <v>40.18</v>
      </c>
      <c r="H1068" s="2">
        <v>3.6269999999999998</v>
      </c>
      <c r="I1068">
        <v>136.50306670000001</v>
      </c>
      <c r="J1068" s="3">
        <v>7.8659999999999997</v>
      </c>
    </row>
    <row r="1069" spans="1:10" x14ac:dyDescent="0.25">
      <c r="A1069">
        <v>19</v>
      </c>
      <c r="B1069" s="1">
        <v>41061</v>
      </c>
      <c r="C1069">
        <v>6</v>
      </c>
      <c r="D1069">
        <v>2012</v>
      </c>
      <c r="E1069" s="2">
        <v>1266570.3999999999</v>
      </c>
      <c r="F1069">
        <v>0</v>
      </c>
      <c r="G1069" s="3">
        <v>31.84</v>
      </c>
      <c r="H1069" s="2">
        <v>3.585</v>
      </c>
      <c r="I1069">
        <v>136.69812899999999</v>
      </c>
      <c r="J1069" s="3">
        <v>7.9429999999999996</v>
      </c>
    </row>
    <row r="1070" spans="1:10" x14ac:dyDescent="0.25">
      <c r="A1070">
        <v>19</v>
      </c>
      <c r="B1070" s="1">
        <v>40970</v>
      </c>
      <c r="C1070">
        <v>3</v>
      </c>
      <c r="D1070">
        <v>2012</v>
      </c>
      <c r="E1070" s="2">
        <v>1345311.65</v>
      </c>
      <c r="F1070">
        <v>0</v>
      </c>
      <c r="G1070" s="3">
        <v>36.22</v>
      </c>
      <c r="H1070" s="2">
        <v>3.7959999999999998</v>
      </c>
      <c r="I1070">
        <v>137.06325810000001</v>
      </c>
      <c r="J1070" s="3">
        <v>7.9429999999999996</v>
      </c>
    </row>
    <row r="1071" spans="1:10" x14ac:dyDescent="0.25">
      <c r="A1071">
        <v>19</v>
      </c>
      <c r="B1071" s="1">
        <v>41184</v>
      </c>
      <c r="C1071">
        <v>10</v>
      </c>
      <c r="D1071">
        <v>2012</v>
      </c>
      <c r="E1071" s="2">
        <v>1499496.67</v>
      </c>
      <c r="F1071">
        <v>1</v>
      </c>
      <c r="G1071" s="3">
        <v>32.61</v>
      </c>
      <c r="H1071" s="2">
        <v>3.8260000000000001</v>
      </c>
      <c r="I1071">
        <v>137.1666774</v>
      </c>
      <c r="J1071" s="3">
        <v>7.9429999999999996</v>
      </c>
    </row>
    <row r="1072" spans="1:10" x14ac:dyDescent="0.25">
      <c r="A1072">
        <v>19</v>
      </c>
      <c r="B1072" s="1">
        <v>40942</v>
      </c>
      <c r="C1072">
        <v>2</v>
      </c>
      <c r="D1072">
        <v>2012</v>
      </c>
      <c r="E1072" s="2">
        <v>1308977.05</v>
      </c>
      <c r="F1072">
        <v>0</v>
      </c>
      <c r="G1072" s="3">
        <v>34.83</v>
      </c>
      <c r="H1072" s="2">
        <v>3.9830000000000001</v>
      </c>
      <c r="I1072">
        <v>137.42389660000001</v>
      </c>
      <c r="J1072" s="3">
        <v>7.9429999999999996</v>
      </c>
    </row>
    <row r="1073" spans="1:10" x14ac:dyDescent="0.25">
      <c r="A1073">
        <v>19</v>
      </c>
      <c r="B1073" s="1">
        <v>41155</v>
      </c>
      <c r="C1073">
        <v>9</v>
      </c>
      <c r="D1073">
        <v>2012</v>
      </c>
      <c r="E1073" s="2">
        <v>1358816.46</v>
      </c>
      <c r="F1073">
        <v>0</v>
      </c>
      <c r="G1073" s="3">
        <v>38.15</v>
      </c>
      <c r="H1073" s="2">
        <v>4.0209999999999999</v>
      </c>
      <c r="I1073">
        <v>137.50668970000001</v>
      </c>
      <c r="J1073" s="3">
        <v>7.9429999999999996</v>
      </c>
    </row>
    <row r="1074" spans="1:10" x14ac:dyDescent="0.25">
      <c r="A1074">
        <v>19</v>
      </c>
      <c r="B1074" s="1">
        <v>41064</v>
      </c>
      <c r="C1074">
        <v>6</v>
      </c>
      <c r="D1074">
        <v>2012</v>
      </c>
      <c r="E1074" s="2">
        <v>1631737.68</v>
      </c>
      <c r="F1074">
        <v>0</v>
      </c>
      <c r="G1074" s="3">
        <v>40.229999999999997</v>
      </c>
      <c r="H1074" s="2">
        <v>4.1429999999999998</v>
      </c>
      <c r="I1074">
        <v>137.79709679999999</v>
      </c>
      <c r="J1074" s="3">
        <v>8.15</v>
      </c>
    </row>
    <row r="1075" spans="1:10" x14ac:dyDescent="0.25">
      <c r="A1075">
        <v>19</v>
      </c>
      <c r="B1075" s="1">
        <v>41004</v>
      </c>
      <c r="C1075">
        <v>4</v>
      </c>
      <c r="D1075">
        <v>2012</v>
      </c>
      <c r="E1075" s="2">
        <v>1405007.44</v>
      </c>
      <c r="F1075">
        <v>0</v>
      </c>
      <c r="G1075" s="3">
        <v>50.76</v>
      </c>
      <c r="H1075" s="2">
        <v>4.1239999999999997</v>
      </c>
      <c r="I1075">
        <v>138.03319999999999</v>
      </c>
      <c r="J1075" s="3">
        <v>8.15</v>
      </c>
    </row>
    <row r="1076" spans="1:10" x14ac:dyDescent="0.25">
      <c r="A1076">
        <v>19</v>
      </c>
      <c r="B1076" s="1">
        <v>41218</v>
      </c>
      <c r="C1076">
        <v>11</v>
      </c>
      <c r="D1076">
        <v>2012</v>
      </c>
      <c r="E1076" s="2">
        <v>1442873.22</v>
      </c>
      <c r="F1076">
        <v>0</v>
      </c>
      <c r="G1076" s="3">
        <v>55.33</v>
      </c>
      <c r="H1076" s="2">
        <v>4.0549999999999997</v>
      </c>
      <c r="I1076">
        <v>138.08826669999999</v>
      </c>
      <c r="J1076" s="3">
        <v>8.15</v>
      </c>
    </row>
    <row r="1077" spans="1:10" x14ac:dyDescent="0.25">
      <c r="A1077">
        <v>19</v>
      </c>
      <c r="B1077" s="1">
        <v>40914</v>
      </c>
      <c r="C1077">
        <v>1</v>
      </c>
      <c r="D1077">
        <v>2012</v>
      </c>
      <c r="E1077" s="2">
        <v>1450733.29</v>
      </c>
      <c r="F1077">
        <v>0</v>
      </c>
      <c r="G1077" s="3">
        <v>68.180000000000007</v>
      </c>
      <c r="H1077" s="2">
        <v>3.915</v>
      </c>
      <c r="I1077">
        <v>138.11380650000001</v>
      </c>
      <c r="J1077" s="3">
        <v>8.15</v>
      </c>
    </row>
    <row r="1078" spans="1:10" x14ac:dyDescent="0.25">
      <c r="A1078">
        <v>19</v>
      </c>
      <c r="B1078" s="1">
        <v>41127</v>
      </c>
      <c r="C1078">
        <v>8</v>
      </c>
      <c r="D1078">
        <v>2012</v>
      </c>
      <c r="E1078" s="2">
        <v>1390122.11</v>
      </c>
      <c r="F1078">
        <v>0</v>
      </c>
      <c r="G1078" s="3">
        <v>60.19</v>
      </c>
      <c r="H1078" s="2">
        <v>3.871</v>
      </c>
      <c r="I1078">
        <v>138.11741939999999</v>
      </c>
      <c r="J1078" s="3">
        <v>8.15</v>
      </c>
    </row>
    <row r="1079" spans="1:10" x14ac:dyDescent="0.25">
      <c r="A1079">
        <v>19</v>
      </c>
      <c r="B1079" s="1">
        <v>41067</v>
      </c>
      <c r="C1079">
        <v>6</v>
      </c>
      <c r="D1079">
        <v>2012</v>
      </c>
      <c r="E1079" s="2">
        <v>1557120.44</v>
      </c>
      <c r="F1079">
        <v>0</v>
      </c>
      <c r="G1079" s="3">
        <v>76.069999999999993</v>
      </c>
      <c r="H1079" s="2">
        <v>3.6459999999999999</v>
      </c>
      <c r="I1079">
        <v>138.22963329999999</v>
      </c>
      <c r="J1079" s="3">
        <v>8.1929999999999996</v>
      </c>
    </row>
    <row r="1080" spans="1:10" x14ac:dyDescent="0.25">
      <c r="A1080">
        <v>19</v>
      </c>
      <c r="B1080" s="1">
        <v>40976</v>
      </c>
      <c r="C1080">
        <v>3</v>
      </c>
      <c r="D1080">
        <v>2012</v>
      </c>
      <c r="E1080" s="2">
        <v>1342123.78</v>
      </c>
      <c r="F1080">
        <v>0</v>
      </c>
      <c r="G1080" s="3">
        <v>73.41</v>
      </c>
      <c r="H1080" s="2">
        <v>3.819</v>
      </c>
      <c r="I1080">
        <v>138.17358060000001</v>
      </c>
      <c r="J1080" s="3">
        <v>8.1929999999999996</v>
      </c>
    </row>
    <row r="1081" spans="1:10" x14ac:dyDescent="0.25">
      <c r="A1081">
        <v>19</v>
      </c>
      <c r="B1081" s="1">
        <v>41190</v>
      </c>
      <c r="C1081">
        <v>10</v>
      </c>
      <c r="D1081">
        <v>2012</v>
      </c>
      <c r="E1081" s="2">
        <v>1408907.89</v>
      </c>
      <c r="F1081">
        <v>0</v>
      </c>
      <c r="G1081" s="3">
        <v>74.45</v>
      </c>
      <c r="H1081" s="2">
        <v>3.863</v>
      </c>
      <c r="I1081">
        <v>138.1437742</v>
      </c>
      <c r="J1081" s="3">
        <v>8.1929999999999996</v>
      </c>
    </row>
    <row r="1082" spans="1:10" x14ac:dyDescent="0.25">
      <c r="A1082">
        <v>19</v>
      </c>
      <c r="B1082" s="1">
        <v>41099</v>
      </c>
      <c r="C1082">
        <v>7</v>
      </c>
      <c r="D1082">
        <v>2012</v>
      </c>
      <c r="E1082" s="2">
        <v>1497073.82</v>
      </c>
      <c r="F1082">
        <v>1</v>
      </c>
      <c r="G1082" s="3">
        <v>72.2</v>
      </c>
      <c r="H1082" s="2">
        <v>4.0759999999999996</v>
      </c>
      <c r="I1082">
        <v>138.47293550000001</v>
      </c>
      <c r="J1082" s="3">
        <v>8.1929999999999996</v>
      </c>
    </row>
    <row r="1083" spans="1:10" x14ac:dyDescent="0.25">
      <c r="A1083">
        <v>19</v>
      </c>
      <c r="B1083" s="1">
        <v>41039</v>
      </c>
      <c r="C1083">
        <v>5</v>
      </c>
      <c r="D1083">
        <v>2012</v>
      </c>
      <c r="E1083" s="2">
        <v>1408016.1</v>
      </c>
      <c r="F1083">
        <v>0</v>
      </c>
      <c r="G1083" s="3">
        <v>59.86</v>
      </c>
      <c r="H1083" s="2">
        <v>4.1509999999999998</v>
      </c>
      <c r="I1083">
        <v>138.82560000000001</v>
      </c>
      <c r="J1083" s="3">
        <v>7.992</v>
      </c>
    </row>
    <row r="1084" spans="1:10" x14ac:dyDescent="0.25">
      <c r="A1084">
        <v>19</v>
      </c>
      <c r="B1084" s="1">
        <v>41253</v>
      </c>
      <c r="C1084">
        <v>12</v>
      </c>
      <c r="D1084">
        <v>2012</v>
      </c>
      <c r="E1084" s="2">
        <v>1352809.5</v>
      </c>
      <c r="F1084">
        <v>0</v>
      </c>
      <c r="G1084" s="3">
        <v>48.29</v>
      </c>
      <c r="H1084" s="2">
        <v>4.1859999999999999</v>
      </c>
      <c r="I1084">
        <v>138.9117</v>
      </c>
      <c r="J1084" s="3">
        <v>7.992</v>
      </c>
    </row>
    <row r="1085" spans="1:10" x14ac:dyDescent="0.25">
      <c r="A1085">
        <v>20</v>
      </c>
      <c r="B1085" s="1">
        <v>40300</v>
      </c>
      <c r="C1085">
        <v>5</v>
      </c>
      <c r="D1085">
        <v>2010</v>
      </c>
      <c r="E1085" s="2">
        <v>2401395.4700000002</v>
      </c>
      <c r="F1085">
        <v>0</v>
      </c>
      <c r="G1085" s="3">
        <v>25.92</v>
      </c>
      <c r="H1085" s="2">
        <v>2.7839999999999998</v>
      </c>
      <c r="I1085">
        <v>204.24719350000001</v>
      </c>
      <c r="J1085" s="3">
        <v>8.1869999999999994</v>
      </c>
    </row>
    <row r="1086" spans="1:10" x14ac:dyDescent="0.25">
      <c r="A1086">
        <v>20</v>
      </c>
      <c r="B1086" s="1">
        <v>40514</v>
      </c>
      <c r="C1086">
        <v>12</v>
      </c>
      <c r="D1086">
        <v>2010</v>
      </c>
      <c r="E1086" s="2">
        <v>2109107.9</v>
      </c>
      <c r="F1086">
        <v>1</v>
      </c>
      <c r="G1086" s="3">
        <v>22.12</v>
      </c>
      <c r="H1086" s="2">
        <v>2.7730000000000001</v>
      </c>
      <c r="I1086">
        <v>204.3857472</v>
      </c>
      <c r="J1086" s="3">
        <v>8.1869999999999994</v>
      </c>
    </row>
    <row r="1087" spans="1:10" x14ac:dyDescent="0.25">
      <c r="A1087">
        <v>20</v>
      </c>
      <c r="B1087" s="1">
        <v>40301</v>
      </c>
      <c r="C1087">
        <v>5</v>
      </c>
      <c r="D1087">
        <v>2010</v>
      </c>
      <c r="E1087" s="2">
        <v>2119213.7200000002</v>
      </c>
      <c r="F1087">
        <v>0</v>
      </c>
      <c r="G1087" s="3">
        <v>31.75</v>
      </c>
      <c r="H1087" s="2">
        <v>2.7770000000000001</v>
      </c>
      <c r="I1087">
        <v>204.49407339999999</v>
      </c>
      <c r="J1087" s="3">
        <v>8.1869999999999994</v>
      </c>
    </row>
    <row r="1088" spans="1:10" x14ac:dyDescent="0.25">
      <c r="A1088">
        <v>20</v>
      </c>
      <c r="B1088" s="1">
        <v>40515</v>
      </c>
      <c r="C1088">
        <v>12</v>
      </c>
      <c r="D1088">
        <v>2010</v>
      </c>
      <c r="E1088" s="2">
        <v>2010974.84</v>
      </c>
      <c r="F1088">
        <v>0</v>
      </c>
      <c r="G1088" s="3">
        <v>43.82</v>
      </c>
      <c r="H1088" s="2">
        <v>2.8180000000000001</v>
      </c>
      <c r="I1088">
        <v>204.52505980000001</v>
      </c>
      <c r="J1088" s="3">
        <v>8.1869999999999994</v>
      </c>
    </row>
    <row r="1089" spans="1:10" x14ac:dyDescent="0.25">
      <c r="A1089">
        <v>20</v>
      </c>
      <c r="B1089" s="1">
        <v>40213</v>
      </c>
      <c r="C1089">
        <v>2</v>
      </c>
      <c r="D1089">
        <v>2010</v>
      </c>
      <c r="E1089" s="2">
        <v>2405395.2200000002</v>
      </c>
      <c r="F1089">
        <v>0</v>
      </c>
      <c r="G1089" s="3">
        <v>51</v>
      </c>
      <c r="H1089" s="2">
        <v>2.85</v>
      </c>
      <c r="I1089">
        <v>204.02528419999999</v>
      </c>
      <c r="J1089" s="3">
        <v>7.8559999999999999</v>
      </c>
    </row>
    <row r="1090" spans="1:10" x14ac:dyDescent="0.25">
      <c r="A1090">
        <v>20</v>
      </c>
      <c r="B1090" s="1">
        <v>40425</v>
      </c>
      <c r="C1090">
        <v>9</v>
      </c>
      <c r="D1090">
        <v>2010</v>
      </c>
      <c r="E1090" s="2">
        <v>2007796.26</v>
      </c>
      <c r="F1090">
        <v>0</v>
      </c>
      <c r="G1090" s="3">
        <v>65.099999999999994</v>
      </c>
      <c r="H1090" s="2">
        <v>2.8690000000000002</v>
      </c>
      <c r="I1090">
        <v>203.84881340000001</v>
      </c>
      <c r="J1090" s="3">
        <v>7.8559999999999999</v>
      </c>
    </row>
    <row r="1091" spans="1:10" x14ac:dyDescent="0.25">
      <c r="A1091">
        <v>20</v>
      </c>
      <c r="B1091" s="1">
        <v>40364</v>
      </c>
      <c r="C1091">
        <v>7</v>
      </c>
      <c r="D1091">
        <v>2010</v>
      </c>
      <c r="E1091" s="2">
        <v>2137202.38</v>
      </c>
      <c r="F1091">
        <v>0</v>
      </c>
      <c r="G1091" s="3">
        <v>66.739999999999995</v>
      </c>
      <c r="H1091" s="2">
        <v>2.9660000000000002</v>
      </c>
      <c r="I1091">
        <v>203.6101784</v>
      </c>
      <c r="J1091" s="3">
        <v>7.8559999999999999</v>
      </c>
    </row>
    <row r="1092" spans="1:10" x14ac:dyDescent="0.25">
      <c r="A1092">
        <v>20</v>
      </c>
      <c r="B1092" s="1">
        <v>40274</v>
      </c>
      <c r="C1092">
        <v>4</v>
      </c>
      <c r="D1092">
        <v>2010</v>
      </c>
      <c r="E1092" s="2">
        <v>2203619.35</v>
      </c>
      <c r="F1092">
        <v>0</v>
      </c>
      <c r="G1092" s="3">
        <v>72.52</v>
      </c>
      <c r="H1092" s="2">
        <v>2.847</v>
      </c>
      <c r="I1092">
        <v>204.4042877</v>
      </c>
      <c r="J1092" s="3">
        <v>7.8559999999999999</v>
      </c>
    </row>
    <row r="1093" spans="1:10" x14ac:dyDescent="0.25">
      <c r="A1093">
        <v>20</v>
      </c>
      <c r="B1093" s="1">
        <v>40488</v>
      </c>
      <c r="C1093">
        <v>11</v>
      </c>
      <c r="D1093">
        <v>2010</v>
      </c>
      <c r="E1093" s="2">
        <v>2100489.79</v>
      </c>
      <c r="F1093">
        <v>0</v>
      </c>
      <c r="G1093" s="3">
        <v>67.319999999999993</v>
      </c>
      <c r="H1093" s="2">
        <v>2.8090000000000002</v>
      </c>
      <c r="I1093">
        <v>204.66791979999999</v>
      </c>
      <c r="J1093" s="3">
        <v>7.8559999999999999</v>
      </c>
    </row>
    <row r="1094" spans="1:10" x14ac:dyDescent="0.25">
      <c r="A1094">
        <v>20</v>
      </c>
      <c r="B1094" s="1">
        <v>40216</v>
      </c>
      <c r="C1094">
        <v>2</v>
      </c>
      <c r="D1094">
        <v>2010</v>
      </c>
      <c r="E1094" s="2">
        <v>2143676.77</v>
      </c>
      <c r="F1094">
        <v>0</v>
      </c>
      <c r="G1094" s="3">
        <v>70.099999999999994</v>
      </c>
      <c r="H1094" s="2">
        <v>2.8149999999999999</v>
      </c>
      <c r="I1094">
        <v>204.46505590000001</v>
      </c>
      <c r="J1094" s="3">
        <v>7.5270000000000001</v>
      </c>
    </row>
    <row r="1095" spans="1:10" x14ac:dyDescent="0.25">
      <c r="A1095">
        <v>20</v>
      </c>
      <c r="B1095" s="1">
        <v>40428</v>
      </c>
      <c r="C1095">
        <v>9</v>
      </c>
      <c r="D1095">
        <v>2010</v>
      </c>
      <c r="E1095" s="2">
        <v>2107285.85</v>
      </c>
      <c r="F1095">
        <v>0</v>
      </c>
      <c r="G1095" s="3">
        <v>78.09</v>
      </c>
      <c r="H1095" s="2">
        <v>2.7930000000000001</v>
      </c>
      <c r="I1095">
        <v>204.3625658</v>
      </c>
      <c r="J1095" s="3">
        <v>7.5270000000000001</v>
      </c>
    </row>
    <row r="1096" spans="1:10" x14ac:dyDescent="0.25">
      <c r="A1096">
        <v>20</v>
      </c>
      <c r="B1096" s="1">
        <v>40337</v>
      </c>
      <c r="C1096">
        <v>6</v>
      </c>
      <c r="D1096">
        <v>2010</v>
      </c>
      <c r="E1096" s="2">
        <v>1910177.38</v>
      </c>
      <c r="F1096">
        <v>0</v>
      </c>
      <c r="G1096" s="3">
        <v>74.569999999999993</v>
      </c>
      <c r="H1096" s="2">
        <v>2.7839999999999998</v>
      </c>
      <c r="I1096">
        <v>204.72932520000001</v>
      </c>
      <c r="J1096" s="3">
        <v>7.5270000000000001</v>
      </c>
    </row>
    <row r="1097" spans="1:10" x14ac:dyDescent="0.25">
      <c r="A1097">
        <v>20</v>
      </c>
      <c r="B1097" s="1">
        <v>40246</v>
      </c>
      <c r="C1097">
        <v>3</v>
      </c>
      <c r="D1097">
        <v>2010</v>
      </c>
      <c r="E1097" s="2">
        <v>2121561.41</v>
      </c>
      <c r="F1097">
        <v>0</v>
      </c>
      <c r="G1097" s="3">
        <v>75.5</v>
      </c>
      <c r="H1097" s="2">
        <v>2.7149999999999999</v>
      </c>
      <c r="I1097">
        <v>204.75835660000001</v>
      </c>
      <c r="J1097" s="3">
        <v>7.5270000000000001</v>
      </c>
    </row>
    <row r="1098" spans="1:10" x14ac:dyDescent="0.25">
      <c r="A1098">
        <v>20</v>
      </c>
      <c r="B1098" s="1">
        <v>40460</v>
      </c>
      <c r="C1098">
        <v>10</v>
      </c>
      <c r="D1098">
        <v>2010</v>
      </c>
      <c r="E1098" s="2">
        <v>2014954.79</v>
      </c>
      <c r="F1098">
        <v>1</v>
      </c>
      <c r="G1098" s="3">
        <v>65.02</v>
      </c>
      <c r="H1098" s="2">
        <v>2.6989999999999998</v>
      </c>
      <c r="I1098">
        <v>204.7266827</v>
      </c>
      <c r="J1098" s="3">
        <v>7.5270000000000001</v>
      </c>
    </row>
    <row r="1099" spans="1:10" x14ac:dyDescent="0.25">
      <c r="A1099">
        <v>20</v>
      </c>
      <c r="B1099" s="1">
        <v>40188</v>
      </c>
      <c r="C1099">
        <v>1</v>
      </c>
      <c r="D1099">
        <v>2010</v>
      </c>
      <c r="E1099" s="2">
        <v>1933719.21</v>
      </c>
      <c r="F1099">
        <v>0</v>
      </c>
      <c r="G1099" s="3">
        <v>61.08</v>
      </c>
      <c r="H1099" s="2">
        <v>2.7069999999999999</v>
      </c>
      <c r="I1099">
        <v>204.88509730000001</v>
      </c>
      <c r="J1099" s="3">
        <v>7.484</v>
      </c>
    </row>
    <row r="1100" spans="1:10" x14ac:dyDescent="0.25">
      <c r="A1100">
        <v>20</v>
      </c>
      <c r="B1100" s="1">
        <v>40400</v>
      </c>
      <c r="C1100">
        <v>8</v>
      </c>
      <c r="D1100">
        <v>2010</v>
      </c>
      <c r="E1100" s="2">
        <v>2060389.27</v>
      </c>
      <c r="F1100">
        <v>0</v>
      </c>
      <c r="G1100" s="3">
        <v>51.5</v>
      </c>
      <c r="H1100" s="2">
        <v>2.7639999999999998</v>
      </c>
      <c r="I1100">
        <v>204.95198199999999</v>
      </c>
      <c r="J1100" s="3">
        <v>7.484</v>
      </c>
    </row>
    <row r="1101" spans="1:10" x14ac:dyDescent="0.25">
      <c r="A1101">
        <v>20</v>
      </c>
      <c r="B1101" s="1">
        <v>40309</v>
      </c>
      <c r="C1101">
        <v>5</v>
      </c>
      <c r="D1101">
        <v>2010</v>
      </c>
      <c r="E1101" s="2">
        <v>2184316.64</v>
      </c>
      <c r="F1101">
        <v>0</v>
      </c>
      <c r="G1101" s="3">
        <v>42.78</v>
      </c>
      <c r="H1101" s="2">
        <v>2.9169999999999998</v>
      </c>
      <c r="I1101">
        <v>205.16083699999999</v>
      </c>
      <c r="J1101" s="3">
        <v>7.484</v>
      </c>
    </row>
    <row r="1102" spans="1:10" x14ac:dyDescent="0.25">
      <c r="A1102">
        <v>20</v>
      </c>
      <c r="B1102" s="1">
        <v>40523</v>
      </c>
      <c r="C1102">
        <v>12</v>
      </c>
      <c r="D1102">
        <v>2010</v>
      </c>
      <c r="E1102" s="2">
        <v>2187765.2799999998</v>
      </c>
      <c r="F1102">
        <v>0</v>
      </c>
      <c r="G1102" s="3">
        <v>42.38</v>
      </c>
      <c r="H1102" s="2">
        <v>2.931</v>
      </c>
      <c r="I1102">
        <v>205.20986139999999</v>
      </c>
      <c r="J1102" s="3">
        <v>7.484</v>
      </c>
    </row>
    <row r="1103" spans="1:10" x14ac:dyDescent="0.25">
      <c r="A1103">
        <v>20</v>
      </c>
      <c r="B1103" s="1">
        <v>40249</v>
      </c>
      <c r="C1103">
        <v>3</v>
      </c>
      <c r="D1103">
        <v>2010</v>
      </c>
      <c r="E1103" s="2">
        <v>2416051.17</v>
      </c>
      <c r="F1103">
        <v>0</v>
      </c>
      <c r="G1103" s="3">
        <v>35.47</v>
      </c>
      <c r="H1103" s="2">
        <v>3.0459999999999998</v>
      </c>
      <c r="I1103">
        <v>204.8249189</v>
      </c>
      <c r="J1103" s="3">
        <v>7.484</v>
      </c>
    </row>
    <row r="1104" spans="1:10" x14ac:dyDescent="0.25">
      <c r="A1104">
        <v>20</v>
      </c>
      <c r="B1104" s="1">
        <v>40463</v>
      </c>
      <c r="C1104">
        <v>10</v>
      </c>
      <c r="D1104">
        <v>2010</v>
      </c>
      <c r="E1104" s="2">
        <v>2752122.08</v>
      </c>
      <c r="F1104">
        <v>0</v>
      </c>
      <c r="G1104" s="3">
        <v>24.27</v>
      </c>
      <c r="H1104" s="2">
        <v>3.109</v>
      </c>
      <c r="I1104">
        <v>204.68773780000001</v>
      </c>
      <c r="J1104" s="3">
        <v>7.484</v>
      </c>
    </row>
    <row r="1105" spans="1:10" x14ac:dyDescent="0.25">
      <c r="A1105">
        <v>20</v>
      </c>
      <c r="B1105" s="1">
        <v>40725</v>
      </c>
      <c r="C1105">
        <v>7</v>
      </c>
      <c r="D1105">
        <v>2011</v>
      </c>
      <c r="E1105" s="2">
        <v>1843030.95</v>
      </c>
      <c r="F1105">
        <v>0</v>
      </c>
      <c r="G1105" s="3">
        <v>31.43</v>
      </c>
      <c r="H1105" s="2">
        <v>3.1930000000000001</v>
      </c>
      <c r="I1105">
        <v>204.6487803</v>
      </c>
      <c r="J1105" s="3">
        <v>7.343</v>
      </c>
    </row>
    <row r="1106" spans="1:10" x14ac:dyDescent="0.25">
      <c r="A1106">
        <v>20</v>
      </c>
      <c r="B1106" s="1">
        <v>40635</v>
      </c>
      <c r="C1106">
        <v>4</v>
      </c>
      <c r="D1106">
        <v>2011</v>
      </c>
      <c r="E1106" s="2">
        <v>2351143.0699999998</v>
      </c>
      <c r="F1106">
        <v>0</v>
      </c>
      <c r="G1106" s="3">
        <v>28.58</v>
      </c>
      <c r="H1106" s="2">
        <v>3.2309999999999999</v>
      </c>
      <c r="I1106">
        <v>205.7329407</v>
      </c>
      <c r="J1106" s="3">
        <v>7.343</v>
      </c>
    </row>
    <row r="1107" spans="1:10" x14ac:dyDescent="0.25">
      <c r="A1107">
        <v>20</v>
      </c>
      <c r="B1107" s="1">
        <v>40849</v>
      </c>
      <c r="C1107">
        <v>11</v>
      </c>
      <c r="D1107">
        <v>2011</v>
      </c>
      <c r="E1107" s="2">
        <v>2211388.14</v>
      </c>
      <c r="F1107">
        <v>1</v>
      </c>
      <c r="G1107" s="3">
        <v>25.38</v>
      </c>
      <c r="H1107" s="2">
        <v>3.2389999999999999</v>
      </c>
      <c r="I1107">
        <v>206.0763862</v>
      </c>
      <c r="J1107" s="3">
        <v>7.343</v>
      </c>
    </row>
    <row r="1108" spans="1:10" x14ac:dyDescent="0.25">
      <c r="A1108">
        <v>20</v>
      </c>
      <c r="B1108" s="1">
        <v>40636</v>
      </c>
      <c r="C1108">
        <v>4</v>
      </c>
      <c r="D1108">
        <v>2011</v>
      </c>
      <c r="E1108" s="2">
        <v>2143424.61</v>
      </c>
      <c r="F1108">
        <v>0</v>
      </c>
      <c r="G1108" s="3">
        <v>37.33</v>
      </c>
      <c r="H1108" s="2">
        <v>3.4329999999999998</v>
      </c>
      <c r="I1108">
        <v>206.91534849999999</v>
      </c>
      <c r="J1108" s="3">
        <v>7.343</v>
      </c>
    </row>
    <row r="1109" spans="1:10" x14ac:dyDescent="0.25">
      <c r="A1109">
        <v>20</v>
      </c>
      <c r="B1109" s="1">
        <v>40850</v>
      </c>
      <c r="C1109">
        <v>11</v>
      </c>
      <c r="D1109">
        <v>2011</v>
      </c>
      <c r="E1109" s="2">
        <v>1990932.77</v>
      </c>
      <c r="F1109">
        <v>0</v>
      </c>
      <c r="G1109" s="3">
        <v>39.53</v>
      </c>
      <c r="H1109" s="2">
        <v>3.5819999999999999</v>
      </c>
      <c r="I1109">
        <v>207.1882876</v>
      </c>
      <c r="J1109" s="3">
        <v>7.343</v>
      </c>
    </row>
    <row r="1110" spans="1:10" x14ac:dyDescent="0.25">
      <c r="A1110">
        <v>20</v>
      </c>
      <c r="B1110" s="1">
        <v>40547</v>
      </c>
      <c r="C1110">
        <v>1</v>
      </c>
      <c r="D1110">
        <v>2011</v>
      </c>
      <c r="E1110" s="2">
        <v>1927993.09</v>
      </c>
      <c r="F1110">
        <v>0</v>
      </c>
      <c r="G1110" s="3">
        <v>32.43</v>
      </c>
      <c r="H1110" s="2">
        <v>3.6379999999999999</v>
      </c>
      <c r="I1110">
        <v>207.88230429999999</v>
      </c>
      <c r="J1110" s="3">
        <v>7.2869999999999999</v>
      </c>
    </row>
    <row r="1111" spans="1:10" x14ac:dyDescent="0.25">
      <c r="A1111">
        <v>20</v>
      </c>
      <c r="B1111" s="1">
        <v>40759</v>
      </c>
      <c r="C1111">
        <v>8</v>
      </c>
      <c r="D1111">
        <v>2011</v>
      </c>
      <c r="E1111" s="2">
        <v>2027056.39</v>
      </c>
      <c r="F1111">
        <v>0</v>
      </c>
      <c r="G1111" s="3">
        <v>47.09</v>
      </c>
      <c r="H1111" s="2">
        <v>3.72</v>
      </c>
      <c r="I1111">
        <v>208.10926420000001</v>
      </c>
      <c r="J1111" s="3">
        <v>7.2869999999999999</v>
      </c>
    </row>
    <row r="1112" spans="1:10" x14ac:dyDescent="0.25">
      <c r="A1112">
        <v>20</v>
      </c>
      <c r="B1112" s="1">
        <v>40699</v>
      </c>
      <c r="C1112">
        <v>6</v>
      </c>
      <c r="D1112">
        <v>2011</v>
      </c>
      <c r="E1112" s="2">
        <v>2090838.44</v>
      </c>
      <c r="F1112">
        <v>0</v>
      </c>
      <c r="G1112" s="3">
        <v>53.41</v>
      </c>
      <c r="H1112" s="2">
        <v>4.0460000000000003</v>
      </c>
      <c r="I1112">
        <v>208.79925950000001</v>
      </c>
      <c r="J1112" s="3">
        <v>7.2869999999999999</v>
      </c>
    </row>
    <row r="1113" spans="1:10" x14ac:dyDescent="0.25">
      <c r="A1113">
        <v>20</v>
      </c>
      <c r="B1113" s="1">
        <v>40608</v>
      </c>
      <c r="C1113">
        <v>3</v>
      </c>
      <c r="D1113">
        <v>2011</v>
      </c>
      <c r="E1113" s="2">
        <v>2182246.69</v>
      </c>
      <c r="F1113">
        <v>0</v>
      </c>
      <c r="G1113" s="3">
        <v>73.510000000000005</v>
      </c>
      <c r="H1113" s="2">
        <v>3.9220000000000002</v>
      </c>
      <c r="I1113">
        <v>208.35511159999999</v>
      </c>
      <c r="J1113" s="3">
        <v>7.2869999999999999</v>
      </c>
    </row>
    <row r="1114" spans="1:10" x14ac:dyDescent="0.25">
      <c r="A1114">
        <v>20</v>
      </c>
      <c r="B1114" s="1">
        <v>40822</v>
      </c>
      <c r="C1114">
        <v>10</v>
      </c>
      <c r="D1114">
        <v>2011</v>
      </c>
      <c r="E1114" s="2">
        <v>2135062.04</v>
      </c>
      <c r="F1114">
        <v>0</v>
      </c>
      <c r="G1114" s="3">
        <v>73.64</v>
      </c>
      <c r="H1114" s="2">
        <v>3.8809999999999998</v>
      </c>
      <c r="I1114">
        <v>208.1535092</v>
      </c>
      <c r="J1114" s="3">
        <v>7.2869999999999999</v>
      </c>
    </row>
    <row r="1115" spans="1:10" x14ac:dyDescent="0.25">
      <c r="A1115">
        <v>20</v>
      </c>
      <c r="B1115" s="1">
        <v>40550</v>
      </c>
      <c r="C1115">
        <v>1</v>
      </c>
      <c r="D1115">
        <v>2011</v>
      </c>
      <c r="E1115" s="2">
        <v>2053165.41</v>
      </c>
      <c r="F1115">
        <v>0</v>
      </c>
      <c r="G1115" s="3">
        <v>69.66</v>
      </c>
      <c r="H1115" s="2">
        <v>3.7480000000000002</v>
      </c>
      <c r="I1115">
        <v>208.33464319999999</v>
      </c>
      <c r="J1115" s="3">
        <v>7.274</v>
      </c>
    </row>
    <row r="1116" spans="1:10" x14ac:dyDescent="0.25">
      <c r="A1116">
        <v>20</v>
      </c>
      <c r="B1116" s="1">
        <v>40762</v>
      </c>
      <c r="C1116">
        <v>8</v>
      </c>
      <c r="D1116">
        <v>2011</v>
      </c>
      <c r="E1116" s="2">
        <v>2123787.79</v>
      </c>
      <c r="F1116">
        <v>0</v>
      </c>
      <c r="G1116" s="3">
        <v>74.69</v>
      </c>
      <c r="H1116" s="2">
        <v>3.7109999999999999</v>
      </c>
      <c r="I1116">
        <v>208.43868470000001</v>
      </c>
      <c r="J1116" s="3">
        <v>7.274</v>
      </c>
    </row>
    <row r="1117" spans="1:10" x14ac:dyDescent="0.25">
      <c r="A1117">
        <v>20</v>
      </c>
      <c r="B1117" s="1">
        <v>40671</v>
      </c>
      <c r="C1117">
        <v>5</v>
      </c>
      <c r="D1117">
        <v>2011</v>
      </c>
      <c r="E1117" s="2">
        <v>2189353.63</v>
      </c>
      <c r="F1117">
        <v>0</v>
      </c>
      <c r="G1117" s="3">
        <v>77.8</v>
      </c>
      <c r="H1117" s="2">
        <v>3.8420000000000001</v>
      </c>
      <c r="I1117">
        <v>208.71923799999999</v>
      </c>
      <c r="J1117" s="3">
        <v>7.274</v>
      </c>
    </row>
    <row r="1118" spans="1:10" x14ac:dyDescent="0.25">
      <c r="A1118">
        <v>20</v>
      </c>
      <c r="B1118" s="1">
        <v>40885</v>
      </c>
      <c r="C1118">
        <v>12</v>
      </c>
      <c r="D1118">
        <v>2011</v>
      </c>
      <c r="E1118" s="2">
        <v>2052246.4</v>
      </c>
      <c r="F1118">
        <v>0</v>
      </c>
      <c r="G1118" s="3">
        <v>73.52</v>
      </c>
      <c r="H1118" s="2">
        <v>3.8119999999999998</v>
      </c>
      <c r="I1118">
        <v>208.78200609999999</v>
      </c>
      <c r="J1118" s="3">
        <v>7.274</v>
      </c>
    </row>
    <row r="1119" spans="1:10" x14ac:dyDescent="0.25">
      <c r="A1119">
        <v>20</v>
      </c>
      <c r="B1119" s="1">
        <v>40583</v>
      </c>
      <c r="C1119">
        <v>2</v>
      </c>
      <c r="D1119">
        <v>2011</v>
      </c>
      <c r="E1119" s="2">
        <v>2141765.98</v>
      </c>
      <c r="F1119">
        <v>0</v>
      </c>
      <c r="G1119" s="3">
        <v>70.819999999999993</v>
      </c>
      <c r="H1119" s="2">
        <v>3.7029999999999998</v>
      </c>
      <c r="I1119">
        <v>208.96251609999999</v>
      </c>
      <c r="J1119" s="3">
        <v>7.274</v>
      </c>
    </row>
    <row r="1120" spans="1:10" x14ac:dyDescent="0.25">
      <c r="A1120">
        <v>20</v>
      </c>
      <c r="B1120" s="1">
        <v>40795</v>
      </c>
      <c r="C1120">
        <v>9</v>
      </c>
      <c r="D1120">
        <v>2011</v>
      </c>
      <c r="E1120" s="2">
        <v>2050542.56</v>
      </c>
      <c r="F1120">
        <v>1</v>
      </c>
      <c r="G1120" s="3">
        <v>68.739999999999995</v>
      </c>
      <c r="H1120" s="2">
        <v>3.738</v>
      </c>
      <c r="I1120">
        <v>209.0225562</v>
      </c>
      <c r="J1120" s="3">
        <v>7.274</v>
      </c>
    </row>
    <row r="1121" spans="1:10" x14ac:dyDescent="0.25">
      <c r="A1121">
        <v>20</v>
      </c>
      <c r="B1121" s="1">
        <v>40734</v>
      </c>
      <c r="C1121">
        <v>7</v>
      </c>
      <c r="D1121">
        <v>2011</v>
      </c>
      <c r="E1121" s="2">
        <v>2135982.79</v>
      </c>
      <c r="F1121">
        <v>0</v>
      </c>
      <c r="G1121" s="3">
        <v>52.42</v>
      </c>
      <c r="H1121" s="2">
        <v>3.5830000000000002</v>
      </c>
      <c r="I1121">
        <v>210.11705950000001</v>
      </c>
      <c r="J1121" s="3">
        <v>7.0819999999999999</v>
      </c>
    </row>
    <row r="1122" spans="1:10" x14ac:dyDescent="0.25">
      <c r="A1122">
        <v>20</v>
      </c>
      <c r="B1122" s="1">
        <v>40644</v>
      </c>
      <c r="C1122">
        <v>4</v>
      </c>
      <c r="D1122">
        <v>2011</v>
      </c>
      <c r="E1122" s="2">
        <v>2284106.6</v>
      </c>
      <c r="F1122">
        <v>0</v>
      </c>
      <c r="G1122" s="3">
        <v>43.88</v>
      </c>
      <c r="H1122" s="2">
        <v>3.5510000000000002</v>
      </c>
      <c r="I1122">
        <v>210.83645509999999</v>
      </c>
      <c r="J1122" s="3">
        <v>7.0819999999999999</v>
      </c>
    </row>
    <row r="1123" spans="1:10" x14ac:dyDescent="0.25">
      <c r="A1123">
        <v>20</v>
      </c>
      <c r="B1123" s="1">
        <v>40858</v>
      </c>
      <c r="C1123">
        <v>11</v>
      </c>
      <c r="D1123">
        <v>2011</v>
      </c>
      <c r="E1123" s="2">
        <v>2269975.85</v>
      </c>
      <c r="F1123">
        <v>0</v>
      </c>
      <c r="G1123" s="3">
        <v>47.27</v>
      </c>
      <c r="H1123" s="2">
        <v>3.53</v>
      </c>
      <c r="I1123">
        <v>210.98102009999999</v>
      </c>
      <c r="J1123" s="3">
        <v>7.0819999999999999</v>
      </c>
    </row>
    <row r="1124" spans="1:10" x14ac:dyDescent="0.25">
      <c r="A1124">
        <v>20</v>
      </c>
      <c r="B1124" s="1">
        <v>40586</v>
      </c>
      <c r="C1124">
        <v>2</v>
      </c>
      <c r="D1124">
        <v>2011</v>
      </c>
      <c r="E1124" s="2">
        <v>2298776.83</v>
      </c>
      <c r="F1124">
        <v>0</v>
      </c>
      <c r="G1124" s="3">
        <v>46.32</v>
      </c>
      <c r="H1124" s="2">
        <v>3.452</v>
      </c>
      <c r="I1124">
        <v>211.6394306</v>
      </c>
      <c r="J1124" s="3">
        <v>7.0819999999999999</v>
      </c>
    </row>
    <row r="1125" spans="1:10" x14ac:dyDescent="0.25">
      <c r="A1125">
        <v>20</v>
      </c>
      <c r="B1125" s="1">
        <v>40798</v>
      </c>
      <c r="C1125">
        <v>9</v>
      </c>
      <c r="D1125">
        <v>2011</v>
      </c>
      <c r="E1125" s="2">
        <v>2546123.7799999998</v>
      </c>
      <c r="F1125">
        <v>0</v>
      </c>
      <c r="G1125" s="3">
        <v>41.64</v>
      </c>
      <c r="H1125" s="2">
        <v>3.415</v>
      </c>
      <c r="I1125">
        <v>211.86678559999999</v>
      </c>
      <c r="J1125" s="3">
        <v>7.0819999999999999</v>
      </c>
    </row>
    <row r="1126" spans="1:10" x14ac:dyDescent="0.25">
      <c r="A1126">
        <v>20</v>
      </c>
      <c r="B1126" s="1">
        <v>41061</v>
      </c>
      <c r="C1126">
        <v>6</v>
      </c>
      <c r="D1126">
        <v>2012</v>
      </c>
      <c r="E1126" s="2">
        <v>1964701.94</v>
      </c>
      <c r="F1126">
        <v>0</v>
      </c>
      <c r="G1126" s="3">
        <v>33.42</v>
      </c>
      <c r="H1126" s="2">
        <v>3.4220000000000002</v>
      </c>
      <c r="I1126">
        <v>212.5711125</v>
      </c>
      <c r="J1126" s="3">
        <v>6.9610000000000003</v>
      </c>
    </row>
    <row r="1127" spans="1:10" x14ac:dyDescent="0.25">
      <c r="A1127">
        <v>20</v>
      </c>
      <c r="B1127" s="1">
        <v>40970</v>
      </c>
      <c r="C1127">
        <v>3</v>
      </c>
      <c r="D1127">
        <v>2012</v>
      </c>
      <c r="E1127" s="2">
        <v>2203523.2000000002</v>
      </c>
      <c r="F1127">
        <v>0</v>
      </c>
      <c r="G1127" s="3">
        <v>39.93</v>
      </c>
      <c r="H1127" s="2">
        <v>3.617</v>
      </c>
      <c r="I1127">
        <v>213.02362249999999</v>
      </c>
      <c r="J1127" s="3">
        <v>6.9610000000000003</v>
      </c>
    </row>
    <row r="1128" spans="1:10" x14ac:dyDescent="0.25">
      <c r="A1128">
        <v>20</v>
      </c>
      <c r="B1128" s="1">
        <v>41184</v>
      </c>
      <c r="C1128">
        <v>10</v>
      </c>
      <c r="D1128">
        <v>2012</v>
      </c>
      <c r="E1128" s="2">
        <v>2462978.2799999998</v>
      </c>
      <c r="F1128">
        <v>1</v>
      </c>
      <c r="G1128" s="3">
        <v>33.47</v>
      </c>
      <c r="H1128" s="2">
        <v>3.64</v>
      </c>
      <c r="I1128">
        <v>213.11861379999999</v>
      </c>
      <c r="J1128" s="3">
        <v>6.9610000000000003</v>
      </c>
    </row>
    <row r="1129" spans="1:10" x14ac:dyDescent="0.25">
      <c r="A1129">
        <v>20</v>
      </c>
      <c r="B1129" s="1">
        <v>40942</v>
      </c>
      <c r="C1129">
        <v>2</v>
      </c>
      <c r="D1129">
        <v>2012</v>
      </c>
      <c r="E1129" s="2">
        <v>2148822.7599999998</v>
      </c>
      <c r="F1129">
        <v>0</v>
      </c>
      <c r="G1129" s="3">
        <v>39.979999999999997</v>
      </c>
      <c r="H1129" s="2">
        <v>3.8159999999999998</v>
      </c>
      <c r="I1129">
        <v>213.6718127</v>
      </c>
      <c r="J1129" s="3">
        <v>6.9610000000000003</v>
      </c>
    </row>
    <row r="1130" spans="1:10" x14ac:dyDescent="0.25">
      <c r="A1130">
        <v>20</v>
      </c>
      <c r="B1130" s="1">
        <v>41155</v>
      </c>
      <c r="C1130">
        <v>9</v>
      </c>
      <c r="D1130">
        <v>2012</v>
      </c>
      <c r="E1130" s="2">
        <v>2139265.4</v>
      </c>
      <c r="F1130">
        <v>0</v>
      </c>
      <c r="G1130" s="3">
        <v>41.14</v>
      </c>
      <c r="H1130" s="2">
        <v>3.8479999999999999</v>
      </c>
      <c r="I1130">
        <v>213.8711137</v>
      </c>
      <c r="J1130" s="3">
        <v>6.9610000000000003</v>
      </c>
    </row>
    <row r="1131" spans="1:10" x14ac:dyDescent="0.25">
      <c r="A1131">
        <v>20</v>
      </c>
      <c r="B1131" s="1">
        <v>41064</v>
      </c>
      <c r="C1131">
        <v>6</v>
      </c>
      <c r="D1131">
        <v>2012</v>
      </c>
      <c r="E1131" s="2">
        <v>2565259.92</v>
      </c>
      <c r="F1131">
        <v>0</v>
      </c>
      <c r="G1131" s="3">
        <v>50.06</v>
      </c>
      <c r="H1131" s="2">
        <v>3.996</v>
      </c>
      <c r="I1131">
        <v>214.23870529999999</v>
      </c>
      <c r="J1131" s="3">
        <v>7.1390000000000002</v>
      </c>
    </row>
    <row r="1132" spans="1:10" x14ac:dyDescent="0.25">
      <c r="A1132">
        <v>20</v>
      </c>
      <c r="B1132" s="1">
        <v>41004</v>
      </c>
      <c r="C1132">
        <v>4</v>
      </c>
      <c r="D1132">
        <v>2012</v>
      </c>
      <c r="E1132" s="2">
        <v>2163510.89</v>
      </c>
      <c r="F1132">
        <v>0</v>
      </c>
      <c r="G1132" s="3">
        <v>62.74</v>
      </c>
      <c r="H1132" s="2">
        <v>3.9510000000000001</v>
      </c>
      <c r="I1132">
        <v>214.47710810000001</v>
      </c>
      <c r="J1132" s="3">
        <v>7.1390000000000002</v>
      </c>
    </row>
    <row r="1133" spans="1:10" x14ac:dyDescent="0.25">
      <c r="A1133">
        <v>20</v>
      </c>
      <c r="B1133" s="1">
        <v>41218</v>
      </c>
      <c r="C1133">
        <v>11</v>
      </c>
      <c r="D1133">
        <v>2012</v>
      </c>
      <c r="E1133" s="2">
        <v>2168097.11</v>
      </c>
      <c r="F1133">
        <v>0</v>
      </c>
      <c r="G1133" s="3">
        <v>63.19</v>
      </c>
      <c r="H1133" s="2">
        <v>3.8889999999999998</v>
      </c>
      <c r="I1133">
        <v>214.53190989999999</v>
      </c>
      <c r="J1133" s="3">
        <v>7.1390000000000002</v>
      </c>
    </row>
    <row r="1134" spans="1:10" x14ac:dyDescent="0.25">
      <c r="A1134">
        <v>20</v>
      </c>
      <c r="B1134" s="1">
        <v>40914</v>
      </c>
      <c r="C1134">
        <v>1</v>
      </c>
      <c r="D1134">
        <v>2012</v>
      </c>
      <c r="E1134" s="2">
        <v>2143126.59</v>
      </c>
      <c r="F1134">
        <v>0</v>
      </c>
      <c r="G1134" s="3">
        <v>73.67</v>
      </c>
      <c r="H1134" s="2">
        <v>3.742</v>
      </c>
      <c r="I1134">
        <v>214.5513278</v>
      </c>
      <c r="J1134" s="3">
        <v>7.1390000000000002</v>
      </c>
    </row>
    <row r="1135" spans="1:10" x14ac:dyDescent="0.25">
      <c r="A1135">
        <v>20</v>
      </c>
      <c r="B1135" s="1">
        <v>41127</v>
      </c>
      <c r="C1135">
        <v>8</v>
      </c>
      <c r="D1135">
        <v>2012</v>
      </c>
      <c r="E1135" s="2">
        <v>2231962.13</v>
      </c>
      <c r="F1135">
        <v>0</v>
      </c>
      <c r="G1135" s="3">
        <v>62.01</v>
      </c>
      <c r="H1135" s="2">
        <v>3.6890000000000001</v>
      </c>
      <c r="I1135">
        <v>214.5527132</v>
      </c>
      <c r="J1135" s="3">
        <v>7.1390000000000002</v>
      </c>
    </row>
    <row r="1136" spans="1:10" x14ac:dyDescent="0.25">
      <c r="A1136">
        <v>20</v>
      </c>
      <c r="B1136" s="1">
        <v>41067</v>
      </c>
      <c r="C1136">
        <v>6</v>
      </c>
      <c r="D1136">
        <v>2012</v>
      </c>
      <c r="E1136" s="2">
        <v>2358055.2999999998</v>
      </c>
      <c r="F1136">
        <v>0</v>
      </c>
      <c r="G1136" s="3">
        <v>79.2</v>
      </c>
      <c r="H1136" s="2">
        <v>3.4750000000000001</v>
      </c>
      <c r="I1136">
        <v>214.68735140000001</v>
      </c>
      <c r="J1136" s="3">
        <v>7.28</v>
      </c>
    </row>
    <row r="1137" spans="1:10" x14ac:dyDescent="0.25">
      <c r="A1137">
        <v>20</v>
      </c>
      <c r="B1137" s="1">
        <v>40976</v>
      </c>
      <c r="C1137">
        <v>3</v>
      </c>
      <c r="D1137">
        <v>2012</v>
      </c>
      <c r="E1137" s="2">
        <v>2094515.71</v>
      </c>
      <c r="F1137">
        <v>0</v>
      </c>
      <c r="G1137" s="3">
        <v>74.73</v>
      </c>
      <c r="H1137" s="2">
        <v>3.6539999999999999</v>
      </c>
      <c r="I1137">
        <v>214.74335139999999</v>
      </c>
      <c r="J1137" s="3">
        <v>7.28</v>
      </c>
    </row>
    <row r="1138" spans="1:10" x14ac:dyDescent="0.25">
      <c r="A1138">
        <v>20</v>
      </c>
      <c r="B1138" s="1">
        <v>41190</v>
      </c>
      <c r="C1138">
        <v>10</v>
      </c>
      <c r="D1138">
        <v>2012</v>
      </c>
      <c r="E1138" s="2">
        <v>2144245.39</v>
      </c>
      <c r="F1138">
        <v>0</v>
      </c>
      <c r="G1138" s="3">
        <v>75.400000000000006</v>
      </c>
      <c r="H1138" s="2">
        <v>3.722</v>
      </c>
      <c r="I1138">
        <v>214.7484595</v>
      </c>
      <c r="J1138" s="3">
        <v>7.28</v>
      </c>
    </row>
    <row r="1139" spans="1:10" x14ac:dyDescent="0.25">
      <c r="A1139">
        <v>20</v>
      </c>
      <c r="B1139" s="1">
        <v>41099</v>
      </c>
      <c r="C1139">
        <v>7</v>
      </c>
      <c r="D1139">
        <v>2012</v>
      </c>
      <c r="E1139" s="2">
        <v>2080529.06</v>
      </c>
      <c r="F1139">
        <v>1</v>
      </c>
      <c r="G1139" s="3">
        <v>76.36</v>
      </c>
      <c r="H1139" s="2">
        <v>3.911</v>
      </c>
      <c r="I1139">
        <v>215.2189573</v>
      </c>
      <c r="J1139" s="3">
        <v>7.28</v>
      </c>
    </row>
    <row r="1140" spans="1:10" x14ac:dyDescent="0.25">
      <c r="A1140">
        <v>20</v>
      </c>
      <c r="B1140" s="1">
        <v>41039</v>
      </c>
      <c r="C1140">
        <v>5</v>
      </c>
      <c r="D1140">
        <v>2012</v>
      </c>
      <c r="E1140" s="2">
        <v>2246411.89</v>
      </c>
      <c r="F1140">
        <v>0</v>
      </c>
      <c r="G1140" s="3">
        <v>60.77</v>
      </c>
      <c r="H1140" s="2">
        <v>3.9849999999999999</v>
      </c>
      <c r="I1140">
        <v>215.92588649999999</v>
      </c>
      <c r="J1140" s="3">
        <v>7.2930000000000001</v>
      </c>
    </row>
    <row r="1141" spans="1:10" x14ac:dyDescent="0.25">
      <c r="A1141">
        <v>20</v>
      </c>
      <c r="B1141" s="1">
        <v>41253</v>
      </c>
      <c r="C1141">
        <v>12</v>
      </c>
      <c r="D1141">
        <v>2012</v>
      </c>
      <c r="E1141" s="2">
        <v>2162951.36</v>
      </c>
      <c r="F1141">
        <v>0</v>
      </c>
      <c r="G1141" s="3">
        <v>47.2</v>
      </c>
      <c r="H1141" s="2">
        <v>4</v>
      </c>
      <c r="I1141">
        <v>216.11505679999999</v>
      </c>
      <c r="J1141" s="3">
        <v>7.2930000000000001</v>
      </c>
    </row>
    <row r="1142" spans="1:10" x14ac:dyDescent="0.25">
      <c r="A1142">
        <v>21</v>
      </c>
      <c r="B1142" s="1">
        <v>40300</v>
      </c>
      <c r="C1142">
        <v>5</v>
      </c>
      <c r="D1142">
        <v>2010</v>
      </c>
      <c r="E1142" s="2">
        <v>798593.88</v>
      </c>
      <c r="F1142">
        <v>0</v>
      </c>
      <c r="G1142" s="3">
        <v>39.049999999999997</v>
      </c>
      <c r="H1142" s="2">
        <v>2.5720000000000001</v>
      </c>
      <c r="I1142">
        <v>210.7526053</v>
      </c>
      <c r="J1142" s="3">
        <v>8.3239999999999998</v>
      </c>
    </row>
    <row r="1143" spans="1:10" x14ac:dyDescent="0.25">
      <c r="A1143">
        <v>21</v>
      </c>
      <c r="B1143" s="1">
        <v>40514</v>
      </c>
      <c r="C1143">
        <v>12</v>
      </c>
      <c r="D1143">
        <v>2010</v>
      </c>
      <c r="E1143" s="2">
        <v>809321.44</v>
      </c>
      <c r="F1143">
        <v>1</v>
      </c>
      <c r="G1143" s="3">
        <v>37.770000000000003</v>
      </c>
      <c r="H1143" s="2">
        <v>2.548</v>
      </c>
      <c r="I1143">
        <v>210.89799350000001</v>
      </c>
      <c r="J1143" s="3">
        <v>8.3239999999999998</v>
      </c>
    </row>
    <row r="1144" spans="1:10" x14ac:dyDescent="0.25">
      <c r="A1144">
        <v>21</v>
      </c>
      <c r="B1144" s="1">
        <v>40301</v>
      </c>
      <c r="C1144">
        <v>5</v>
      </c>
      <c r="D1144">
        <v>2010</v>
      </c>
      <c r="E1144" s="2">
        <v>747444.32</v>
      </c>
      <c r="F1144">
        <v>0</v>
      </c>
      <c r="G1144" s="3">
        <v>48.61</v>
      </c>
      <c r="H1144" s="2">
        <v>2.625</v>
      </c>
      <c r="I1144">
        <v>211.00675419999999</v>
      </c>
      <c r="J1144" s="3">
        <v>8.3239999999999998</v>
      </c>
    </row>
    <row r="1145" spans="1:10" x14ac:dyDescent="0.25">
      <c r="A1145">
        <v>21</v>
      </c>
      <c r="B1145" s="1">
        <v>40515</v>
      </c>
      <c r="C1145">
        <v>12</v>
      </c>
      <c r="D1145">
        <v>2010</v>
      </c>
      <c r="E1145" s="2">
        <v>712312.89</v>
      </c>
      <c r="F1145">
        <v>0</v>
      </c>
      <c r="G1145" s="3">
        <v>57.1</v>
      </c>
      <c r="H1145" s="2">
        <v>2.6669999999999998</v>
      </c>
      <c r="I1145">
        <v>211.03755100000001</v>
      </c>
      <c r="J1145" s="3">
        <v>8.3239999999999998</v>
      </c>
    </row>
    <row r="1146" spans="1:10" x14ac:dyDescent="0.25">
      <c r="A1146">
        <v>21</v>
      </c>
      <c r="B1146" s="1">
        <v>40213</v>
      </c>
      <c r="C1146">
        <v>2</v>
      </c>
      <c r="D1146">
        <v>2010</v>
      </c>
      <c r="E1146" s="2">
        <v>753664.12</v>
      </c>
      <c r="F1146">
        <v>0</v>
      </c>
      <c r="G1146" s="3">
        <v>64.12</v>
      </c>
      <c r="H1146" s="2">
        <v>2.7189999999999999</v>
      </c>
      <c r="I1146">
        <v>210.4798874</v>
      </c>
      <c r="J1146" s="3">
        <v>8.1999999999999993</v>
      </c>
    </row>
    <row r="1147" spans="1:10" x14ac:dyDescent="0.25">
      <c r="A1147">
        <v>21</v>
      </c>
      <c r="B1147" s="1">
        <v>40425</v>
      </c>
      <c r="C1147">
        <v>9</v>
      </c>
      <c r="D1147">
        <v>2010</v>
      </c>
      <c r="E1147" s="2">
        <v>751181.4</v>
      </c>
      <c r="F1147">
        <v>0</v>
      </c>
      <c r="G1147" s="3">
        <v>65.739999999999995</v>
      </c>
      <c r="H1147" s="2">
        <v>2.77</v>
      </c>
      <c r="I1147">
        <v>210.28316530000001</v>
      </c>
      <c r="J1147" s="3">
        <v>8.1999999999999993</v>
      </c>
    </row>
    <row r="1148" spans="1:10" x14ac:dyDescent="0.25">
      <c r="A1148">
        <v>21</v>
      </c>
      <c r="B1148" s="1">
        <v>40364</v>
      </c>
      <c r="C1148">
        <v>7</v>
      </c>
      <c r="D1148">
        <v>2010</v>
      </c>
      <c r="E1148" s="2">
        <v>744969.42</v>
      </c>
      <c r="F1148">
        <v>0</v>
      </c>
      <c r="G1148" s="3">
        <v>70.87</v>
      </c>
      <c r="H1148" s="2">
        <v>2.835</v>
      </c>
      <c r="I1148">
        <v>210.00110179999999</v>
      </c>
      <c r="J1148" s="3">
        <v>8.1999999999999993</v>
      </c>
    </row>
    <row r="1149" spans="1:10" x14ac:dyDescent="0.25">
      <c r="A1149">
        <v>21</v>
      </c>
      <c r="B1149" s="1">
        <v>40274</v>
      </c>
      <c r="C1149">
        <v>4</v>
      </c>
      <c r="D1149">
        <v>2010</v>
      </c>
      <c r="E1149" s="2">
        <v>806012.48</v>
      </c>
      <c r="F1149">
        <v>0</v>
      </c>
      <c r="G1149" s="3">
        <v>82.68</v>
      </c>
      <c r="H1149" s="2">
        <v>2.7050000000000001</v>
      </c>
      <c r="I1149">
        <v>210.83361600000001</v>
      </c>
      <c r="J1149" s="3">
        <v>8.1999999999999993</v>
      </c>
    </row>
    <row r="1150" spans="1:10" x14ac:dyDescent="0.25">
      <c r="A1150">
        <v>21</v>
      </c>
      <c r="B1150" s="1">
        <v>40488</v>
      </c>
      <c r="C1150">
        <v>11</v>
      </c>
      <c r="D1150">
        <v>2010</v>
      </c>
      <c r="E1150" s="2">
        <v>784305.55</v>
      </c>
      <c r="F1150">
        <v>0</v>
      </c>
      <c r="G1150" s="3">
        <v>83.51</v>
      </c>
      <c r="H1150" s="2">
        <v>2.6680000000000001</v>
      </c>
      <c r="I1150">
        <v>211.1120018</v>
      </c>
      <c r="J1150" s="3">
        <v>8.1999999999999993</v>
      </c>
    </row>
    <row r="1151" spans="1:10" x14ac:dyDescent="0.25">
      <c r="A1151">
        <v>21</v>
      </c>
      <c r="B1151" s="1">
        <v>40216</v>
      </c>
      <c r="C1151">
        <v>2</v>
      </c>
      <c r="D1151">
        <v>2010</v>
      </c>
      <c r="E1151" s="2">
        <v>711470.8</v>
      </c>
      <c r="F1151">
        <v>0</v>
      </c>
      <c r="G1151" s="3">
        <v>82.29</v>
      </c>
      <c r="H1151" s="2">
        <v>2.669</v>
      </c>
      <c r="I1151">
        <v>210.88037259999999</v>
      </c>
      <c r="J1151" s="3">
        <v>8.0990000000000002</v>
      </c>
    </row>
    <row r="1152" spans="1:10" x14ac:dyDescent="0.25">
      <c r="A1152">
        <v>21</v>
      </c>
      <c r="B1152" s="1">
        <v>40428</v>
      </c>
      <c r="C1152">
        <v>9</v>
      </c>
      <c r="D1152">
        <v>2010</v>
      </c>
      <c r="E1152" s="2">
        <v>714677.47</v>
      </c>
      <c r="F1152">
        <v>0</v>
      </c>
      <c r="G1152" s="3">
        <v>81.67</v>
      </c>
      <c r="H1152" s="2">
        <v>2.6419999999999999</v>
      </c>
      <c r="I1152">
        <v>210.7657317</v>
      </c>
      <c r="J1152" s="3">
        <v>8.0990000000000002</v>
      </c>
    </row>
    <row r="1153" spans="1:10" x14ac:dyDescent="0.25">
      <c r="A1153">
        <v>21</v>
      </c>
      <c r="B1153" s="1">
        <v>40337</v>
      </c>
      <c r="C1153">
        <v>6</v>
      </c>
      <c r="D1153">
        <v>2010</v>
      </c>
      <c r="E1153" s="2">
        <v>739279.19</v>
      </c>
      <c r="F1153">
        <v>0</v>
      </c>
      <c r="G1153" s="3">
        <v>90.3</v>
      </c>
      <c r="H1153" s="2">
        <v>2.6269999999999998</v>
      </c>
      <c r="I1153">
        <v>211.16080489999999</v>
      </c>
      <c r="J1153" s="3">
        <v>8.0990000000000002</v>
      </c>
    </row>
    <row r="1154" spans="1:10" x14ac:dyDescent="0.25">
      <c r="A1154">
        <v>21</v>
      </c>
      <c r="B1154" s="1">
        <v>40246</v>
      </c>
      <c r="C1154">
        <v>3</v>
      </c>
      <c r="D1154">
        <v>2010</v>
      </c>
      <c r="E1154" s="2">
        <v>727772.8</v>
      </c>
      <c r="F1154">
        <v>0</v>
      </c>
      <c r="G1154" s="3">
        <v>82.57</v>
      </c>
      <c r="H1154" s="2">
        <v>2.577</v>
      </c>
      <c r="I1154">
        <v>211.18869309999999</v>
      </c>
      <c r="J1154" s="3">
        <v>8.0990000000000002</v>
      </c>
    </row>
    <row r="1155" spans="1:10" x14ac:dyDescent="0.25">
      <c r="A1155">
        <v>21</v>
      </c>
      <c r="B1155" s="1">
        <v>40460</v>
      </c>
      <c r="C1155">
        <v>10</v>
      </c>
      <c r="D1155">
        <v>2010</v>
      </c>
      <c r="E1155" s="2">
        <v>674055.81</v>
      </c>
      <c r="F1155">
        <v>1</v>
      </c>
      <c r="G1155" s="3">
        <v>79.3</v>
      </c>
      <c r="H1155" s="2">
        <v>2.5649999999999999</v>
      </c>
      <c r="I1155">
        <v>211.15321040000001</v>
      </c>
      <c r="J1155" s="3">
        <v>8.0990000000000002</v>
      </c>
    </row>
    <row r="1156" spans="1:10" x14ac:dyDescent="0.25">
      <c r="A1156">
        <v>21</v>
      </c>
      <c r="B1156" s="1">
        <v>40188</v>
      </c>
      <c r="C1156">
        <v>1</v>
      </c>
      <c r="D1156">
        <v>2010</v>
      </c>
      <c r="E1156" s="2">
        <v>677158.39</v>
      </c>
      <c r="F1156">
        <v>0</v>
      </c>
      <c r="G1156" s="3">
        <v>70.28</v>
      </c>
      <c r="H1156" s="2">
        <v>2.6030000000000002</v>
      </c>
      <c r="I1156">
        <v>211.32987420000001</v>
      </c>
      <c r="J1156" s="3">
        <v>8.1630000000000003</v>
      </c>
    </row>
    <row r="1157" spans="1:10" x14ac:dyDescent="0.25">
      <c r="A1157">
        <v>21</v>
      </c>
      <c r="B1157" s="1">
        <v>40400</v>
      </c>
      <c r="C1157">
        <v>8</v>
      </c>
      <c r="D1157">
        <v>2010</v>
      </c>
      <c r="E1157" s="2">
        <v>680579.49</v>
      </c>
      <c r="F1157">
        <v>0</v>
      </c>
      <c r="G1157" s="3">
        <v>65.760000000000005</v>
      </c>
      <c r="H1157" s="2">
        <v>2.633</v>
      </c>
      <c r="I1157">
        <v>211.4044906</v>
      </c>
      <c r="J1157" s="3">
        <v>8.1630000000000003</v>
      </c>
    </row>
    <row r="1158" spans="1:10" x14ac:dyDescent="0.25">
      <c r="A1158">
        <v>21</v>
      </c>
      <c r="B1158" s="1">
        <v>40309</v>
      </c>
      <c r="C1158">
        <v>5</v>
      </c>
      <c r="D1158">
        <v>2010</v>
      </c>
      <c r="E1158" s="2">
        <v>719888.76</v>
      </c>
      <c r="F1158">
        <v>0</v>
      </c>
      <c r="G1158" s="3">
        <v>58.71</v>
      </c>
      <c r="H1158" s="2">
        <v>2.6890000000000001</v>
      </c>
      <c r="I1158">
        <v>211.61350530000001</v>
      </c>
      <c r="J1158" s="3">
        <v>8.1630000000000003</v>
      </c>
    </row>
    <row r="1159" spans="1:10" x14ac:dyDescent="0.25">
      <c r="A1159">
        <v>21</v>
      </c>
      <c r="B1159" s="1">
        <v>40523</v>
      </c>
      <c r="C1159">
        <v>12</v>
      </c>
      <c r="D1159">
        <v>2010</v>
      </c>
      <c r="E1159" s="2">
        <v>735796.38</v>
      </c>
      <c r="F1159">
        <v>0</v>
      </c>
      <c r="G1159" s="3">
        <v>60.95</v>
      </c>
      <c r="H1159" s="2">
        <v>2.7280000000000002</v>
      </c>
      <c r="I1159">
        <v>211.6608975</v>
      </c>
      <c r="J1159" s="3">
        <v>8.1630000000000003</v>
      </c>
    </row>
    <row r="1160" spans="1:10" x14ac:dyDescent="0.25">
      <c r="A1160">
        <v>21</v>
      </c>
      <c r="B1160" s="1">
        <v>40249</v>
      </c>
      <c r="C1160">
        <v>3</v>
      </c>
      <c r="D1160">
        <v>2010</v>
      </c>
      <c r="E1160" s="2">
        <v>829210.73</v>
      </c>
      <c r="F1160">
        <v>0</v>
      </c>
      <c r="G1160" s="3">
        <v>50.43</v>
      </c>
      <c r="H1160" s="2">
        <v>2.7080000000000002</v>
      </c>
      <c r="I1160">
        <v>211.26554300000001</v>
      </c>
      <c r="J1160" s="3">
        <v>8.1630000000000003</v>
      </c>
    </row>
    <row r="1161" spans="1:10" x14ac:dyDescent="0.25">
      <c r="A1161">
        <v>21</v>
      </c>
      <c r="B1161" s="1">
        <v>40463</v>
      </c>
      <c r="C1161">
        <v>10</v>
      </c>
      <c r="D1161">
        <v>2010</v>
      </c>
      <c r="E1161" s="2">
        <v>943891.64</v>
      </c>
      <c r="F1161">
        <v>0</v>
      </c>
      <c r="G1161" s="3">
        <v>46.35</v>
      </c>
      <c r="H1161" s="2">
        <v>2.843</v>
      </c>
      <c r="I1161">
        <v>211.12479930000001</v>
      </c>
      <c r="J1161" s="3">
        <v>8.1630000000000003</v>
      </c>
    </row>
    <row r="1162" spans="1:10" x14ac:dyDescent="0.25">
      <c r="A1162">
        <v>21</v>
      </c>
      <c r="B1162" s="1">
        <v>40725</v>
      </c>
      <c r="C1162">
        <v>7</v>
      </c>
      <c r="D1162">
        <v>2011</v>
      </c>
      <c r="E1162" s="2">
        <v>629152.06000000006</v>
      </c>
      <c r="F1162">
        <v>0</v>
      </c>
      <c r="G1162" s="3">
        <v>44.24</v>
      </c>
      <c r="H1162" s="2">
        <v>2.976</v>
      </c>
      <c r="I1162">
        <v>211.06488809999999</v>
      </c>
      <c r="J1162" s="3">
        <v>8.0280000000000005</v>
      </c>
    </row>
    <row r="1163" spans="1:10" x14ac:dyDescent="0.25">
      <c r="A1163">
        <v>21</v>
      </c>
      <c r="B1163" s="1">
        <v>40635</v>
      </c>
      <c r="C1163">
        <v>4</v>
      </c>
      <c r="D1163">
        <v>2011</v>
      </c>
      <c r="E1163" s="2">
        <v>596218.24</v>
      </c>
      <c r="F1163">
        <v>0</v>
      </c>
      <c r="G1163" s="3">
        <v>36.33</v>
      </c>
      <c r="H1163" s="2">
        <v>2.9889999999999999</v>
      </c>
      <c r="I1163">
        <v>212.22406459999999</v>
      </c>
      <c r="J1163" s="3">
        <v>8.0280000000000005</v>
      </c>
    </row>
    <row r="1164" spans="1:10" x14ac:dyDescent="0.25">
      <c r="A1164">
        <v>21</v>
      </c>
      <c r="B1164" s="1">
        <v>40849</v>
      </c>
      <c r="C1164">
        <v>11</v>
      </c>
      <c r="D1164">
        <v>2011</v>
      </c>
      <c r="E1164" s="2">
        <v>771908.51</v>
      </c>
      <c r="F1164">
        <v>1</v>
      </c>
      <c r="G1164" s="3">
        <v>34.61</v>
      </c>
      <c r="H1164" s="2">
        <v>3.0219999999999998</v>
      </c>
      <c r="I1164">
        <v>212.5928624</v>
      </c>
      <c r="J1164" s="3">
        <v>8.0280000000000005</v>
      </c>
    </row>
    <row r="1165" spans="1:10" x14ac:dyDescent="0.25">
      <c r="A1165">
        <v>21</v>
      </c>
      <c r="B1165" s="1">
        <v>40636</v>
      </c>
      <c r="C1165">
        <v>4</v>
      </c>
      <c r="D1165">
        <v>2011</v>
      </c>
      <c r="E1165" s="2">
        <v>796277.72</v>
      </c>
      <c r="F1165">
        <v>0</v>
      </c>
      <c r="G1165" s="3">
        <v>59.52</v>
      </c>
      <c r="H1165" s="2">
        <v>3.2879999999999998</v>
      </c>
      <c r="I1165">
        <v>213.4775305</v>
      </c>
      <c r="J1165" s="3">
        <v>8.0280000000000005</v>
      </c>
    </row>
    <row r="1166" spans="1:10" x14ac:dyDescent="0.25">
      <c r="A1166">
        <v>21</v>
      </c>
      <c r="B1166" s="1">
        <v>40850</v>
      </c>
      <c r="C1166">
        <v>11</v>
      </c>
      <c r="D1166">
        <v>2011</v>
      </c>
      <c r="E1166" s="2">
        <v>763479.9</v>
      </c>
      <c r="F1166">
        <v>0</v>
      </c>
      <c r="G1166" s="3">
        <v>54.69</v>
      </c>
      <c r="H1166" s="2">
        <v>3.4590000000000001</v>
      </c>
      <c r="I1166">
        <v>213.76464010000001</v>
      </c>
      <c r="J1166" s="3">
        <v>8.0280000000000005</v>
      </c>
    </row>
    <row r="1167" spans="1:10" x14ac:dyDescent="0.25">
      <c r="A1167">
        <v>21</v>
      </c>
      <c r="B1167" s="1">
        <v>40547</v>
      </c>
      <c r="C1167">
        <v>1</v>
      </c>
      <c r="D1167">
        <v>2011</v>
      </c>
      <c r="E1167" s="2">
        <v>732056.37</v>
      </c>
      <c r="F1167">
        <v>0</v>
      </c>
      <c r="G1167" s="3">
        <v>56.36</v>
      </c>
      <c r="H1167" s="2">
        <v>3.524</v>
      </c>
      <c r="I1167">
        <v>214.4886908</v>
      </c>
      <c r="J1167" s="3">
        <v>7.931</v>
      </c>
    </row>
    <row r="1168" spans="1:10" x14ac:dyDescent="0.25">
      <c r="A1168">
        <v>21</v>
      </c>
      <c r="B1168" s="1">
        <v>40759</v>
      </c>
      <c r="C1168">
        <v>8</v>
      </c>
      <c r="D1168">
        <v>2011</v>
      </c>
      <c r="E1168" s="2">
        <v>744782.89</v>
      </c>
      <c r="F1168">
        <v>0</v>
      </c>
      <c r="G1168" s="3">
        <v>68.62</v>
      </c>
      <c r="H1168" s="2">
        <v>3.6219999999999999</v>
      </c>
      <c r="I1168">
        <v>214.72522420000001</v>
      </c>
      <c r="J1168" s="3">
        <v>7.931</v>
      </c>
    </row>
    <row r="1169" spans="1:10" x14ac:dyDescent="0.25">
      <c r="A1169">
        <v>21</v>
      </c>
      <c r="B1169" s="1">
        <v>40699</v>
      </c>
      <c r="C1169">
        <v>6</v>
      </c>
      <c r="D1169">
        <v>2011</v>
      </c>
      <c r="E1169" s="2">
        <v>718898.33</v>
      </c>
      <c r="F1169">
        <v>0</v>
      </c>
      <c r="G1169" s="3">
        <v>61.87</v>
      </c>
      <c r="H1169" s="2">
        <v>3.9060000000000001</v>
      </c>
      <c r="I1169">
        <v>215.44487090000001</v>
      </c>
      <c r="J1169" s="3">
        <v>7.931</v>
      </c>
    </row>
    <row r="1170" spans="1:10" x14ac:dyDescent="0.25">
      <c r="A1170">
        <v>21</v>
      </c>
      <c r="B1170" s="1">
        <v>40608</v>
      </c>
      <c r="C1170">
        <v>3</v>
      </c>
      <c r="D1170">
        <v>2011</v>
      </c>
      <c r="E1170" s="2">
        <v>773878.58</v>
      </c>
      <c r="F1170">
        <v>0</v>
      </c>
      <c r="G1170" s="3">
        <v>83.82</v>
      </c>
      <c r="H1170" s="2">
        <v>3.6989999999999998</v>
      </c>
      <c r="I1170">
        <v>214.92548650000001</v>
      </c>
      <c r="J1170" s="3">
        <v>7.931</v>
      </c>
    </row>
    <row r="1171" spans="1:10" x14ac:dyDescent="0.25">
      <c r="A1171">
        <v>21</v>
      </c>
      <c r="B1171" s="1">
        <v>40822</v>
      </c>
      <c r="C1171">
        <v>10</v>
      </c>
      <c r="D1171">
        <v>2011</v>
      </c>
      <c r="E1171" s="2">
        <v>794397.89</v>
      </c>
      <c r="F1171">
        <v>0</v>
      </c>
      <c r="G1171" s="3">
        <v>84.71</v>
      </c>
      <c r="H1171" s="2">
        <v>3.6480000000000001</v>
      </c>
      <c r="I1171">
        <v>214.69649079999999</v>
      </c>
      <c r="J1171" s="3">
        <v>7.931</v>
      </c>
    </row>
    <row r="1172" spans="1:10" x14ac:dyDescent="0.25">
      <c r="A1172">
        <v>21</v>
      </c>
      <c r="B1172" s="1">
        <v>40550</v>
      </c>
      <c r="C1172">
        <v>1</v>
      </c>
      <c r="D1172">
        <v>2011</v>
      </c>
      <c r="E1172" s="2">
        <v>784639.12</v>
      </c>
      <c r="F1172">
        <v>0</v>
      </c>
      <c r="G1172" s="3">
        <v>87.57</v>
      </c>
      <c r="H1172" s="2">
        <v>3.524</v>
      </c>
      <c r="I1172">
        <v>214.83686779999999</v>
      </c>
      <c r="J1172" s="3">
        <v>7.8520000000000003</v>
      </c>
    </row>
    <row r="1173" spans="1:10" x14ac:dyDescent="0.25">
      <c r="A1173">
        <v>21</v>
      </c>
      <c r="B1173" s="1">
        <v>40762</v>
      </c>
      <c r="C1173">
        <v>8</v>
      </c>
      <c r="D1173">
        <v>2011</v>
      </c>
      <c r="E1173" s="2">
        <v>734099.4</v>
      </c>
      <c r="F1173">
        <v>0</v>
      </c>
      <c r="G1173" s="3">
        <v>89.16</v>
      </c>
      <c r="H1173" s="2">
        <v>3.48</v>
      </c>
      <c r="I1173">
        <v>214.92962489999999</v>
      </c>
      <c r="J1173" s="3">
        <v>7.8520000000000003</v>
      </c>
    </row>
    <row r="1174" spans="1:10" x14ac:dyDescent="0.25">
      <c r="A1174">
        <v>21</v>
      </c>
      <c r="B1174" s="1">
        <v>40671</v>
      </c>
      <c r="C1174">
        <v>5</v>
      </c>
      <c r="D1174">
        <v>2011</v>
      </c>
      <c r="E1174" s="2">
        <v>783614.89</v>
      </c>
      <c r="F1174">
        <v>0</v>
      </c>
      <c r="G1174" s="3">
        <v>94.22</v>
      </c>
      <c r="H1174" s="2">
        <v>3.6840000000000002</v>
      </c>
      <c r="I1174">
        <v>215.19785150000001</v>
      </c>
      <c r="J1174" s="3">
        <v>7.8520000000000003</v>
      </c>
    </row>
    <row r="1175" spans="1:10" x14ac:dyDescent="0.25">
      <c r="A1175">
        <v>21</v>
      </c>
      <c r="B1175" s="1">
        <v>40885</v>
      </c>
      <c r="C1175">
        <v>12</v>
      </c>
      <c r="D1175">
        <v>2011</v>
      </c>
      <c r="E1175" s="2">
        <v>776933.37</v>
      </c>
      <c r="F1175">
        <v>0</v>
      </c>
      <c r="G1175" s="3">
        <v>92.32</v>
      </c>
      <c r="H1175" s="2">
        <v>3.6379999999999999</v>
      </c>
      <c r="I1175">
        <v>215.25932109999999</v>
      </c>
      <c r="J1175" s="3">
        <v>7.8520000000000003</v>
      </c>
    </row>
    <row r="1176" spans="1:10" x14ac:dyDescent="0.25">
      <c r="A1176">
        <v>21</v>
      </c>
      <c r="B1176" s="1">
        <v>40583</v>
      </c>
      <c r="C1176">
        <v>2</v>
      </c>
      <c r="D1176">
        <v>2011</v>
      </c>
      <c r="E1176" s="2">
        <v>705557.8</v>
      </c>
      <c r="F1176">
        <v>0</v>
      </c>
      <c r="G1176" s="3">
        <v>91.94</v>
      </c>
      <c r="H1176" s="2">
        <v>3.5329999999999999</v>
      </c>
      <c r="I1176">
        <v>215.45086319999999</v>
      </c>
      <c r="J1176" s="3">
        <v>7.8520000000000003</v>
      </c>
    </row>
    <row r="1177" spans="1:10" x14ac:dyDescent="0.25">
      <c r="A1177">
        <v>21</v>
      </c>
      <c r="B1177" s="1">
        <v>40795</v>
      </c>
      <c r="C1177">
        <v>9</v>
      </c>
      <c r="D1177">
        <v>2011</v>
      </c>
      <c r="E1177" s="2">
        <v>653989.65</v>
      </c>
      <c r="F1177">
        <v>1</v>
      </c>
      <c r="G1177" s="3">
        <v>78.87</v>
      </c>
      <c r="H1177" s="2">
        <v>3.5459999999999998</v>
      </c>
      <c r="I1177">
        <v>215.51482949999999</v>
      </c>
      <c r="J1177" s="3">
        <v>7.8520000000000003</v>
      </c>
    </row>
    <row r="1178" spans="1:10" x14ac:dyDescent="0.25">
      <c r="A1178">
        <v>21</v>
      </c>
      <c r="B1178" s="1">
        <v>40734</v>
      </c>
      <c r="C1178">
        <v>7</v>
      </c>
      <c r="D1178">
        <v>2011</v>
      </c>
      <c r="E1178" s="2">
        <v>663452.46</v>
      </c>
      <c r="F1178">
        <v>0</v>
      </c>
      <c r="G1178" s="3">
        <v>71.64</v>
      </c>
      <c r="H1178" s="2">
        <v>3.2850000000000001</v>
      </c>
      <c r="I1178">
        <v>216.69583109999999</v>
      </c>
      <c r="J1178" s="3">
        <v>7.4409999999999998</v>
      </c>
    </row>
    <row r="1179" spans="1:10" x14ac:dyDescent="0.25">
      <c r="A1179">
        <v>21</v>
      </c>
      <c r="B1179" s="1">
        <v>40644</v>
      </c>
      <c r="C1179">
        <v>4</v>
      </c>
      <c r="D1179">
        <v>2011</v>
      </c>
      <c r="E1179" s="2">
        <v>767358.37</v>
      </c>
      <c r="F1179">
        <v>0</v>
      </c>
      <c r="G1179" s="3">
        <v>56.01</v>
      </c>
      <c r="H1179" s="2">
        <v>3.3319999999999999</v>
      </c>
      <c r="I1179">
        <v>217.48536050000001</v>
      </c>
      <c r="J1179" s="3">
        <v>7.4409999999999998</v>
      </c>
    </row>
    <row r="1180" spans="1:10" x14ac:dyDescent="0.25">
      <c r="A1180">
        <v>21</v>
      </c>
      <c r="B1180" s="1">
        <v>40858</v>
      </c>
      <c r="C1180">
        <v>11</v>
      </c>
      <c r="D1180">
        <v>2011</v>
      </c>
      <c r="E1180" s="2">
        <v>757369.87</v>
      </c>
      <c r="F1180">
        <v>0</v>
      </c>
      <c r="G1180" s="3">
        <v>59.8</v>
      </c>
      <c r="H1180" s="2">
        <v>3.2970000000000002</v>
      </c>
      <c r="I1180">
        <v>217.6455387</v>
      </c>
      <c r="J1180" s="3">
        <v>7.4409999999999998</v>
      </c>
    </row>
    <row r="1181" spans="1:10" x14ac:dyDescent="0.25">
      <c r="A1181">
        <v>21</v>
      </c>
      <c r="B1181" s="1">
        <v>40586</v>
      </c>
      <c r="C1181">
        <v>2</v>
      </c>
      <c r="D1181">
        <v>2011</v>
      </c>
      <c r="E1181" s="2">
        <v>793184.25</v>
      </c>
      <c r="F1181">
        <v>0</v>
      </c>
      <c r="G1181" s="3">
        <v>48.72</v>
      </c>
      <c r="H1181" s="2">
        <v>3.1720000000000002</v>
      </c>
      <c r="I1181">
        <v>218.35903189999999</v>
      </c>
      <c r="J1181" s="3">
        <v>7.4409999999999998</v>
      </c>
    </row>
    <row r="1182" spans="1:10" x14ac:dyDescent="0.25">
      <c r="A1182">
        <v>21</v>
      </c>
      <c r="B1182" s="1">
        <v>40798</v>
      </c>
      <c r="C1182">
        <v>9</v>
      </c>
      <c r="D1182">
        <v>2011</v>
      </c>
      <c r="E1182" s="2">
        <v>897747.13</v>
      </c>
      <c r="F1182">
        <v>0</v>
      </c>
      <c r="G1182" s="3">
        <v>41.44</v>
      </c>
      <c r="H1182" s="2">
        <v>3.1579999999999999</v>
      </c>
      <c r="I1182">
        <v>218.60503700000001</v>
      </c>
      <c r="J1182" s="3">
        <v>7.4409999999999998</v>
      </c>
    </row>
    <row r="1183" spans="1:10" x14ac:dyDescent="0.25">
      <c r="A1183">
        <v>21</v>
      </c>
      <c r="B1183" s="1">
        <v>41061</v>
      </c>
      <c r="C1183">
        <v>6</v>
      </c>
      <c r="D1183">
        <v>2012</v>
      </c>
      <c r="E1183" s="2">
        <v>640181.86</v>
      </c>
      <c r="F1183">
        <v>0</v>
      </c>
      <c r="G1183" s="3">
        <v>48.1</v>
      </c>
      <c r="H1183" s="2">
        <v>3.157</v>
      </c>
      <c r="I1183">
        <v>219.355063</v>
      </c>
      <c r="J1183" s="3">
        <v>7.0570000000000004</v>
      </c>
    </row>
    <row r="1184" spans="1:10" x14ac:dyDescent="0.25">
      <c r="A1184">
        <v>21</v>
      </c>
      <c r="B1184" s="1">
        <v>40970</v>
      </c>
      <c r="C1184">
        <v>3</v>
      </c>
      <c r="D1184">
        <v>2012</v>
      </c>
      <c r="E1184" s="2">
        <v>680725.43</v>
      </c>
      <c r="F1184">
        <v>0</v>
      </c>
      <c r="G1184" s="3">
        <v>55.83</v>
      </c>
      <c r="H1184" s="2">
        <v>3.36</v>
      </c>
      <c r="I1184">
        <v>219.81188539999999</v>
      </c>
      <c r="J1184" s="3">
        <v>7.0570000000000004</v>
      </c>
    </row>
    <row r="1185" spans="1:10" x14ac:dyDescent="0.25">
      <c r="A1185">
        <v>21</v>
      </c>
      <c r="B1185" s="1">
        <v>41184</v>
      </c>
      <c r="C1185">
        <v>10</v>
      </c>
      <c r="D1185">
        <v>2012</v>
      </c>
      <c r="E1185" s="2">
        <v>770652.79</v>
      </c>
      <c r="F1185">
        <v>1</v>
      </c>
      <c r="G1185" s="3">
        <v>46.52</v>
      </c>
      <c r="H1185" s="2">
        <v>3.4089999999999998</v>
      </c>
      <c r="I1185">
        <v>219.90490729999999</v>
      </c>
      <c r="J1185" s="3">
        <v>7.0570000000000004</v>
      </c>
    </row>
    <row r="1186" spans="1:10" x14ac:dyDescent="0.25">
      <c r="A1186">
        <v>21</v>
      </c>
      <c r="B1186" s="1">
        <v>40942</v>
      </c>
      <c r="C1186">
        <v>2</v>
      </c>
      <c r="D1186">
        <v>2012</v>
      </c>
      <c r="E1186" s="2">
        <v>764385.4</v>
      </c>
      <c r="F1186">
        <v>0</v>
      </c>
      <c r="G1186" s="3">
        <v>59.3</v>
      </c>
      <c r="H1186" s="2">
        <v>3.63</v>
      </c>
      <c r="I1186">
        <v>220.48668860000001</v>
      </c>
      <c r="J1186" s="3">
        <v>7.0570000000000004</v>
      </c>
    </row>
    <row r="1187" spans="1:10" x14ac:dyDescent="0.25">
      <c r="A1187">
        <v>21</v>
      </c>
      <c r="B1187" s="1">
        <v>41155</v>
      </c>
      <c r="C1187">
        <v>9</v>
      </c>
      <c r="D1187">
        <v>2012</v>
      </c>
      <c r="E1187" s="2">
        <v>755084.4</v>
      </c>
      <c r="F1187">
        <v>0</v>
      </c>
      <c r="G1187" s="3">
        <v>57.16</v>
      </c>
      <c r="H1187" s="2">
        <v>3.669</v>
      </c>
      <c r="I1187">
        <v>220.69743320000001</v>
      </c>
      <c r="J1187" s="3">
        <v>7.0570000000000004</v>
      </c>
    </row>
    <row r="1188" spans="1:10" x14ac:dyDescent="0.25">
      <c r="A1188">
        <v>21</v>
      </c>
      <c r="B1188" s="1">
        <v>41064</v>
      </c>
      <c r="C1188">
        <v>6</v>
      </c>
      <c r="D1188">
        <v>2012</v>
      </c>
      <c r="E1188" s="2">
        <v>761956.58</v>
      </c>
      <c r="F1188">
        <v>0</v>
      </c>
      <c r="G1188" s="3">
        <v>69.02</v>
      </c>
      <c r="H1188" s="2">
        <v>3.891</v>
      </c>
      <c r="I1188">
        <v>221.07376379999999</v>
      </c>
      <c r="J1188" s="3">
        <v>6.891</v>
      </c>
    </row>
    <row r="1189" spans="1:10" x14ac:dyDescent="0.25">
      <c r="A1189">
        <v>21</v>
      </c>
      <c r="B1189" s="1">
        <v>41004</v>
      </c>
      <c r="C1189">
        <v>4</v>
      </c>
      <c r="D1189">
        <v>2012</v>
      </c>
      <c r="E1189" s="2">
        <v>697645.32</v>
      </c>
      <c r="F1189">
        <v>0</v>
      </c>
      <c r="G1189" s="3">
        <v>77.53</v>
      </c>
      <c r="H1189" s="2">
        <v>3.7490000000000001</v>
      </c>
      <c r="I1189">
        <v>221.30951659999999</v>
      </c>
      <c r="J1189" s="3">
        <v>6.891</v>
      </c>
    </row>
    <row r="1190" spans="1:10" x14ac:dyDescent="0.25">
      <c r="A1190">
        <v>21</v>
      </c>
      <c r="B1190" s="1">
        <v>41218</v>
      </c>
      <c r="C1190">
        <v>11</v>
      </c>
      <c r="D1190">
        <v>2012</v>
      </c>
      <c r="E1190" s="2">
        <v>649945.54</v>
      </c>
      <c r="F1190">
        <v>0</v>
      </c>
      <c r="G1190" s="3">
        <v>74.14</v>
      </c>
      <c r="H1190" s="2">
        <v>3.6880000000000002</v>
      </c>
      <c r="I1190">
        <v>221.3632212</v>
      </c>
      <c r="J1190" s="3">
        <v>6.891</v>
      </c>
    </row>
    <row r="1191" spans="1:10" x14ac:dyDescent="0.25">
      <c r="A1191">
        <v>21</v>
      </c>
      <c r="B1191" s="1">
        <v>40914</v>
      </c>
      <c r="C1191">
        <v>1</v>
      </c>
      <c r="D1191">
        <v>2012</v>
      </c>
      <c r="E1191" s="2">
        <v>695439.83</v>
      </c>
      <c r="F1191">
        <v>0</v>
      </c>
      <c r="G1191" s="3">
        <v>79.239999999999995</v>
      </c>
      <c r="H1191" s="2">
        <v>3.5009999999999999</v>
      </c>
      <c r="I1191">
        <v>221.38527479999999</v>
      </c>
      <c r="J1191" s="3">
        <v>6.891</v>
      </c>
    </row>
    <row r="1192" spans="1:10" x14ac:dyDescent="0.25">
      <c r="A1192">
        <v>21</v>
      </c>
      <c r="B1192" s="1">
        <v>41127</v>
      </c>
      <c r="C1192">
        <v>8</v>
      </c>
      <c r="D1192">
        <v>2012</v>
      </c>
      <c r="E1192" s="2">
        <v>707895.72</v>
      </c>
      <c r="F1192">
        <v>0</v>
      </c>
      <c r="G1192" s="3">
        <v>79.47</v>
      </c>
      <c r="H1192" s="2">
        <v>3.452</v>
      </c>
      <c r="I1192">
        <v>221.38774670000001</v>
      </c>
      <c r="J1192" s="3">
        <v>6.891</v>
      </c>
    </row>
    <row r="1193" spans="1:10" x14ac:dyDescent="0.25">
      <c r="A1193">
        <v>21</v>
      </c>
      <c r="B1193" s="1">
        <v>41067</v>
      </c>
      <c r="C1193">
        <v>6</v>
      </c>
      <c r="D1193">
        <v>2012</v>
      </c>
      <c r="E1193" s="2">
        <v>693013.59</v>
      </c>
      <c r="F1193">
        <v>0</v>
      </c>
      <c r="G1193" s="3">
        <v>85.26</v>
      </c>
      <c r="H1193" s="2">
        <v>3.2269999999999999</v>
      </c>
      <c r="I1193">
        <v>221.52150639999999</v>
      </c>
      <c r="J1193" s="3">
        <v>6.5650000000000004</v>
      </c>
    </row>
    <row r="1194" spans="1:10" x14ac:dyDescent="0.25">
      <c r="A1194">
        <v>21</v>
      </c>
      <c r="B1194" s="1">
        <v>40976</v>
      </c>
      <c r="C1194">
        <v>3</v>
      </c>
      <c r="D1194">
        <v>2012</v>
      </c>
      <c r="E1194" s="2">
        <v>693785.85</v>
      </c>
      <c r="F1194">
        <v>0</v>
      </c>
      <c r="G1194" s="3">
        <v>91.57</v>
      </c>
      <c r="H1194" s="2">
        <v>3.4169999999999998</v>
      </c>
      <c r="I1194">
        <v>221.58697989999999</v>
      </c>
      <c r="J1194" s="3">
        <v>6.5650000000000004</v>
      </c>
    </row>
    <row r="1195" spans="1:10" x14ac:dyDescent="0.25">
      <c r="A1195">
        <v>21</v>
      </c>
      <c r="B1195" s="1">
        <v>41190</v>
      </c>
      <c r="C1195">
        <v>10</v>
      </c>
      <c r="D1195">
        <v>2012</v>
      </c>
      <c r="E1195" s="2">
        <v>700272.01</v>
      </c>
      <c r="F1195">
        <v>0</v>
      </c>
      <c r="G1195" s="3">
        <v>89.57</v>
      </c>
      <c r="H1195" s="2">
        <v>3.4940000000000002</v>
      </c>
      <c r="I1195">
        <v>221.59541379999999</v>
      </c>
      <c r="J1195" s="3">
        <v>6.5650000000000004</v>
      </c>
    </row>
    <row r="1196" spans="1:10" x14ac:dyDescent="0.25">
      <c r="A1196">
        <v>21</v>
      </c>
      <c r="B1196" s="1">
        <v>41099</v>
      </c>
      <c r="C1196">
        <v>7</v>
      </c>
      <c r="D1196">
        <v>2012</v>
      </c>
      <c r="E1196" s="2">
        <v>642827.29</v>
      </c>
      <c r="F1196">
        <v>1</v>
      </c>
      <c r="G1196" s="3">
        <v>88.4</v>
      </c>
      <c r="H1196" s="2">
        <v>3.73</v>
      </c>
      <c r="I1196">
        <v>222.07476349999999</v>
      </c>
      <c r="J1196" s="3">
        <v>6.5650000000000004</v>
      </c>
    </row>
    <row r="1197" spans="1:10" x14ac:dyDescent="0.25">
      <c r="A1197">
        <v>21</v>
      </c>
      <c r="B1197" s="1">
        <v>41039</v>
      </c>
      <c r="C1197">
        <v>5</v>
      </c>
      <c r="D1197">
        <v>2012</v>
      </c>
      <c r="E1197" s="2">
        <v>651768.91</v>
      </c>
      <c r="F1197">
        <v>0</v>
      </c>
      <c r="G1197" s="3">
        <v>70.28</v>
      </c>
      <c r="H1197" s="2">
        <v>3.617</v>
      </c>
      <c r="I1197">
        <v>222.8159296</v>
      </c>
      <c r="J1197" s="3">
        <v>6.17</v>
      </c>
    </row>
    <row r="1198" spans="1:10" x14ac:dyDescent="0.25">
      <c r="A1198">
        <v>21</v>
      </c>
      <c r="B1198" s="1">
        <v>41253</v>
      </c>
      <c r="C1198">
        <v>12</v>
      </c>
      <c r="D1198">
        <v>2012</v>
      </c>
      <c r="E1198" s="2">
        <v>653043.43999999994</v>
      </c>
      <c r="F1198">
        <v>0</v>
      </c>
      <c r="G1198" s="3">
        <v>61.53</v>
      </c>
      <c r="H1198" s="2">
        <v>3.601</v>
      </c>
      <c r="I1198">
        <v>223.0154263</v>
      </c>
      <c r="J1198" s="3">
        <v>6.17</v>
      </c>
    </row>
    <row r="1199" spans="1:10" x14ac:dyDescent="0.25">
      <c r="A1199">
        <v>22</v>
      </c>
      <c r="B1199" s="1">
        <v>40300</v>
      </c>
      <c r="C1199">
        <v>5</v>
      </c>
      <c r="D1199">
        <v>2010</v>
      </c>
      <c r="E1199" s="2">
        <v>1033017.37</v>
      </c>
      <c r="F1199">
        <v>0</v>
      </c>
      <c r="G1199" s="3">
        <v>24.36</v>
      </c>
      <c r="H1199" s="2">
        <v>2.7879999999999998</v>
      </c>
      <c r="I1199">
        <v>135.35246079999999</v>
      </c>
      <c r="J1199" s="3">
        <v>8.2829999999999995</v>
      </c>
    </row>
    <row r="1200" spans="1:10" x14ac:dyDescent="0.25">
      <c r="A1200">
        <v>22</v>
      </c>
      <c r="B1200" s="1">
        <v>40514</v>
      </c>
      <c r="C1200">
        <v>12</v>
      </c>
      <c r="D1200">
        <v>2010</v>
      </c>
      <c r="E1200" s="2">
        <v>1022571.25</v>
      </c>
      <c r="F1200">
        <v>1</v>
      </c>
      <c r="G1200" s="3">
        <v>28.14</v>
      </c>
      <c r="H1200" s="2">
        <v>2.7709999999999999</v>
      </c>
      <c r="I1200">
        <v>135.41130759999999</v>
      </c>
      <c r="J1200" s="3">
        <v>8.2829999999999995</v>
      </c>
    </row>
    <row r="1201" spans="1:10" x14ac:dyDescent="0.25">
      <c r="A1201">
        <v>22</v>
      </c>
      <c r="B1201" s="1">
        <v>40301</v>
      </c>
      <c r="C1201">
        <v>5</v>
      </c>
      <c r="D1201">
        <v>2010</v>
      </c>
      <c r="E1201" s="2">
        <v>1009201.24</v>
      </c>
      <c r="F1201">
        <v>0</v>
      </c>
      <c r="G1201" s="3">
        <v>36.82</v>
      </c>
      <c r="H1201" s="2">
        <v>2.766</v>
      </c>
      <c r="I1201">
        <v>135.57326019999999</v>
      </c>
      <c r="J1201" s="3">
        <v>8.2829999999999995</v>
      </c>
    </row>
    <row r="1202" spans="1:10" x14ac:dyDescent="0.25">
      <c r="A1202">
        <v>22</v>
      </c>
      <c r="B1202" s="1">
        <v>40515</v>
      </c>
      <c r="C1202">
        <v>12</v>
      </c>
      <c r="D1202">
        <v>2010</v>
      </c>
      <c r="E1202" s="2">
        <v>967187.37</v>
      </c>
      <c r="F1202">
        <v>0</v>
      </c>
      <c r="G1202" s="3">
        <v>43.43</v>
      </c>
      <c r="H1202" s="2">
        <v>2.8050000000000002</v>
      </c>
      <c r="I1202">
        <v>135.62700129999999</v>
      </c>
      <c r="J1202" s="3">
        <v>8.2829999999999995</v>
      </c>
    </row>
    <row r="1203" spans="1:10" x14ac:dyDescent="0.25">
      <c r="A1203">
        <v>22</v>
      </c>
      <c r="B1203" s="1">
        <v>40213</v>
      </c>
      <c r="C1203">
        <v>2</v>
      </c>
      <c r="D1203">
        <v>2010</v>
      </c>
      <c r="E1203" s="2">
        <v>1177340.99</v>
      </c>
      <c r="F1203">
        <v>0</v>
      </c>
      <c r="G1203" s="3">
        <v>44.96</v>
      </c>
      <c r="H1203" s="2">
        <v>2.8260000000000001</v>
      </c>
      <c r="I1203">
        <v>135.74649880000001</v>
      </c>
      <c r="J1203" s="3">
        <v>8.3480000000000008</v>
      </c>
    </row>
    <row r="1204" spans="1:10" x14ac:dyDescent="0.25">
      <c r="A1204">
        <v>22</v>
      </c>
      <c r="B1204" s="1">
        <v>40425</v>
      </c>
      <c r="C1204">
        <v>9</v>
      </c>
      <c r="D1204">
        <v>2010</v>
      </c>
      <c r="E1204" s="2">
        <v>1033171.07</v>
      </c>
      <c r="F1204">
        <v>0</v>
      </c>
      <c r="G1204" s="3">
        <v>57.06</v>
      </c>
      <c r="H1204" s="2">
        <v>2.8490000000000002</v>
      </c>
      <c r="I1204">
        <v>135.78563589999999</v>
      </c>
      <c r="J1204" s="3">
        <v>8.3480000000000008</v>
      </c>
    </row>
    <row r="1205" spans="1:10" x14ac:dyDescent="0.25">
      <c r="A1205">
        <v>22</v>
      </c>
      <c r="B1205" s="1">
        <v>40364</v>
      </c>
      <c r="C1205">
        <v>7</v>
      </c>
      <c r="D1205">
        <v>2010</v>
      </c>
      <c r="E1205" s="2">
        <v>1052973.28</v>
      </c>
      <c r="F1205">
        <v>0</v>
      </c>
      <c r="G1205" s="3">
        <v>63.81</v>
      </c>
      <c r="H1205" s="2">
        <v>2.9809999999999999</v>
      </c>
      <c r="I1205">
        <v>135.96199999999999</v>
      </c>
      <c r="J1205" s="3">
        <v>8.3480000000000008</v>
      </c>
    </row>
    <row r="1206" spans="1:10" x14ac:dyDescent="0.25">
      <c r="A1206">
        <v>22</v>
      </c>
      <c r="B1206" s="1">
        <v>40274</v>
      </c>
      <c r="C1206">
        <v>4</v>
      </c>
      <c r="D1206">
        <v>2010</v>
      </c>
      <c r="E1206" s="2">
        <v>1095539.1299999999</v>
      </c>
      <c r="F1206">
        <v>0</v>
      </c>
      <c r="G1206" s="3">
        <v>69.489999999999995</v>
      </c>
      <c r="H1206" s="2">
        <v>2.8570000000000002</v>
      </c>
      <c r="I1206">
        <v>136.21816820000001</v>
      </c>
      <c r="J1206" s="3">
        <v>8.3480000000000008</v>
      </c>
    </row>
    <row r="1207" spans="1:10" x14ac:dyDescent="0.25">
      <c r="A1207">
        <v>22</v>
      </c>
      <c r="B1207" s="1">
        <v>40488</v>
      </c>
      <c r="C1207">
        <v>11</v>
      </c>
      <c r="D1207">
        <v>2010</v>
      </c>
      <c r="E1207" s="2">
        <v>1061196.47</v>
      </c>
      <c r="F1207">
        <v>0</v>
      </c>
      <c r="G1207" s="3">
        <v>65.010000000000005</v>
      </c>
      <c r="H1207" s="2">
        <v>2.83</v>
      </c>
      <c r="I1207">
        <v>136.28742629999999</v>
      </c>
      <c r="J1207" s="3">
        <v>8.3480000000000008</v>
      </c>
    </row>
    <row r="1208" spans="1:10" x14ac:dyDescent="0.25">
      <c r="A1208">
        <v>22</v>
      </c>
      <c r="B1208" s="1">
        <v>40216</v>
      </c>
      <c r="C1208">
        <v>2</v>
      </c>
      <c r="D1208">
        <v>2010</v>
      </c>
      <c r="E1208" s="2">
        <v>1120259.71</v>
      </c>
      <c r="F1208">
        <v>0</v>
      </c>
      <c r="G1208" s="3">
        <v>72.88</v>
      </c>
      <c r="H1208" s="2">
        <v>2.8149999999999999</v>
      </c>
      <c r="I1208">
        <v>136.37228930000001</v>
      </c>
      <c r="J1208" s="3">
        <v>8.4329999999999998</v>
      </c>
    </row>
    <row r="1209" spans="1:10" x14ac:dyDescent="0.25">
      <c r="A1209">
        <v>22</v>
      </c>
      <c r="B1209" s="1">
        <v>40428</v>
      </c>
      <c r="C1209">
        <v>9</v>
      </c>
      <c r="D1209">
        <v>2010</v>
      </c>
      <c r="E1209" s="2">
        <v>1092654.26</v>
      </c>
      <c r="F1209">
        <v>0</v>
      </c>
      <c r="G1209" s="3">
        <v>79.22</v>
      </c>
      <c r="H1209" s="2">
        <v>2.806</v>
      </c>
      <c r="I1209">
        <v>136.39626430000001</v>
      </c>
      <c r="J1209" s="3">
        <v>8.4329999999999998</v>
      </c>
    </row>
    <row r="1210" spans="1:10" x14ac:dyDescent="0.25">
      <c r="A1210">
        <v>22</v>
      </c>
      <c r="B1210" s="1">
        <v>40337</v>
      </c>
      <c r="C1210">
        <v>6</v>
      </c>
      <c r="D1210">
        <v>2010</v>
      </c>
      <c r="E1210" s="2">
        <v>1010326.14</v>
      </c>
      <c r="F1210">
        <v>0</v>
      </c>
      <c r="G1210" s="3">
        <v>74.37</v>
      </c>
      <c r="H1210" s="2">
        <v>2.7919999999999998</v>
      </c>
      <c r="I1210">
        <v>136.4741118</v>
      </c>
      <c r="J1210" s="3">
        <v>8.4329999999999998</v>
      </c>
    </row>
    <row r="1211" spans="1:10" x14ac:dyDescent="0.25">
      <c r="A1211">
        <v>22</v>
      </c>
      <c r="B1211" s="1">
        <v>40246</v>
      </c>
      <c r="C1211">
        <v>3</v>
      </c>
      <c r="D1211">
        <v>2010</v>
      </c>
      <c r="E1211" s="2">
        <v>1074535.8799999999</v>
      </c>
      <c r="F1211">
        <v>0</v>
      </c>
      <c r="G1211" s="3">
        <v>75.849999999999994</v>
      </c>
      <c r="H1211" s="2">
        <v>2.7349999999999999</v>
      </c>
      <c r="I1211">
        <v>136.58911180000001</v>
      </c>
      <c r="J1211" s="3">
        <v>8.4329999999999998</v>
      </c>
    </row>
    <row r="1212" spans="1:10" x14ac:dyDescent="0.25">
      <c r="A1212">
        <v>22</v>
      </c>
      <c r="B1212" s="1">
        <v>40460</v>
      </c>
      <c r="C1212">
        <v>10</v>
      </c>
      <c r="D1212">
        <v>2010</v>
      </c>
      <c r="E1212" s="2">
        <v>924174.4</v>
      </c>
      <c r="F1212">
        <v>1</v>
      </c>
      <c r="G1212" s="3">
        <v>68.599999999999994</v>
      </c>
      <c r="H1212" s="2">
        <v>2.7170000000000001</v>
      </c>
      <c r="I1212">
        <v>136.62120849999999</v>
      </c>
      <c r="J1212" s="3">
        <v>8.4329999999999998</v>
      </c>
    </row>
    <row r="1213" spans="1:10" x14ac:dyDescent="0.25">
      <c r="A1213">
        <v>22</v>
      </c>
      <c r="B1213" s="1">
        <v>40188</v>
      </c>
      <c r="C1213">
        <v>1</v>
      </c>
      <c r="D1213">
        <v>2010</v>
      </c>
      <c r="E1213" s="2">
        <v>905987.17</v>
      </c>
      <c r="F1213">
        <v>0</v>
      </c>
      <c r="G1213" s="3">
        <v>69.31</v>
      </c>
      <c r="H1213" s="2">
        <v>2.7170000000000001</v>
      </c>
      <c r="I1213">
        <v>136.62975710000001</v>
      </c>
      <c r="J1213" s="3">
        <v>8.5719999999999992</v>
      </c>
    </row>
    <row r="1214" spans="1:10" x14ac:dyDescent="0.25">
      <c r="A1214">
        <v>22</v>
      </c>
      <c r="B1214" s="1">
        <v>40400</v>
      </c>
      <c r="C1214">
        <v>8</v>
      </c>
      <c r="D1214">
        <v>2010</v>
      </c>
      <c r="E1214" s="2">
        <v>1015051.62</v>
      </c>
      <c r="F1214">
        <v>0</v>
      </c>
      <c r="G1214" s="3">
        <v>56.32</v>
      </c>
      <c r="H1214" s="2">
        <v>2.7759999999999998</v>
      </c>
      <c r="I1214">
        <v>136.6277321</v>
      </c>
      <c r="J1214" s="3">
        <v>8.5719999999999992</v>
      </c>
    </row>
    <row r="1215" spans="1:10" x14ac:dyDescent="0.25">
      <c r="A1215">
        <v>22</v>
      </c>
      <c r="B1215" s="1">
        <v>40309</v>
      </c>
      <c r="C1215">
        <v>5</v>
      </c>
      <c r="D1215">
        <v>2010</v>
      </c>
      <c r="E1215" s="2">
        <v>1006888.16</v>
      </c>
      <c r="F1215">
        <v>0</v>
      </c>
      <c r="G1215" s="3">
        <v>44.34</v>
      </c>
      <c r="H1215" s="2">
        <v>2.9380000000000002</v>
      </c>
      <c r="I1215">
        <v>136.78622580000001</v>
      </c>
      <c r="J1215" s="3">
        <v>8.5719999999999992</v>
      </c>
    </row>
    <row r="1216" spans="1:10" x14ac:dyDescent="0.25">
      <c r="A1216">
        <v>22</v>
      </c>
      <c r="B1216" s="1">
        <v>40523</v>
      </c>
      <c r="C1216">
        <v>12</v>
      </c>
      <c r="D1216">
        <v>2010</v>
      </c>
      <c r="E1216" s="2">
        <v>1043698.64</v>
      </c>
      <c r="F1216">
        <v>0</v>
      </c>
      <c r="G1216" s="3">
        <v>44.42</v>
      </c>
      <c r="H1216" s="2">
        <v>2.9609999999999999</v>
      </c>
      <c r="I1216">
        <v>136.83490320000001</v>
      </c>
      <c r="J1216" s="3">
        <v>8.5719999999999992</v>
      </c>
    </row>
    <row r="1217" spans="1:10" x14ac:dyDescent="0.25">
      <c r="A1217">
        <v>22</v>
      </c>
      <c r="B1217" s="1">
        <v>40249</v>
      </c>
      <c r="C1217">
        <v>3</v>
      </c>
      <c r="D1217">
        <v>2010</v>
      </c>
      <c r="E1217" s="2">
        <v>1230514.58</v>
      </c>
      <c r="F1217">
        <v>0</v>
      </c>
      <c r="G1217" s="3">
        <v>39.42</v>
      </c>
      <c r="H1217" s="2">
        <v>3.0649999999999999</v>
      </c>
      <c r="I1217">
        <v>136.60757140000001</v>
      </c>
      <c r="J1217" s="3">
        <v>8.5719999999999992</v>
      </c>
    </row>
    <row r="1218" spans="1:10" x14ac:dyDescent="0.25">
      <c r="A1218">
        <v>22</v>
      </c>
      <c r="B1218" s="1">
        <v>40463</v>
      </c>
      <c r="C1218">
        <v>10</v>
      </c>
      <c r="D1218">
        <v>2010</v>
      </c>
      <c r="E1218" s="2">
        <v>1367202.84</v>
      </c>
      <c r="F1218">
        <v>0</v>
      </c>
      <c r="G1218" s="3">
        <v>28.43</v>
      </c>
      <c r="H1218" s="2">
        <v>3.1320000000000001</v>
      </c>
      <c r="I1218">
        <v>136.52557139999999</v>
      </c>
      <c r="J1218" s="3">
        <v>8.5719999999999992</v>
      </c>
    </row>
    <row r="1219" spans="1:10" x14ac:dyDescent="0.25">
      <c r="A1219">
        <v>22</v>
      </c>
      <c r="B1219" s="1">
        <v>40725</v>
      </c>
      <c r="C1219">
        <v>7</v>
      </c>
      <c r="D1219">
        <v>2011</v>
      </c>
      <c r="E1219" s="2">
        <v>873954.7</v>
      </c>
      <c r="F1219">
        <v>0</v>
      </c>
      <c r="G1219" s="3">
        <v>32.56</v>
      </c>
      <c r="H1219" s="2">
        <v>3.1930000000000001</v>
      </c>
      <c r="I1219">
        <v>136.73325689999999</v>
      </c>
      <c r="J1219" s="3">
        <v>8.4580000000000002</v>
      </c>
    </row>
    <row r="1220" spans="1:10" x14ac:dyDescent="0.25">
      <c r="A1220">
        <v>22</v>
      </c>
      <c r="B1220" s="1">
        <v>40635</v>
      </c>
      <c r="C1220">
        <v>4</v>
      </c>
      <c r="D1220">
        <v>2011</v>
      </c>
      <c r="E1220" s="2">
        <v>946060.98</v>
      </c>
      <c r="F1220">
        <v>0</v>
      </c>
      <c r="G1220" s="3">
        <v>26.39</v>
      </c>
      <c r="H1220" s="2">
        <v>3.24</v>
      </c>
      <c r="I1220">
        <v>137.05424310000001</v>
      </c>
      <c r="J1220" s="3">
        <v>8.4580000000000002</v>
      </c>
    </row>
    <row r="1221" spans="1:10" x14ac:dyDescent="0.25">
      <c r="A1221">
        <v>22</v>
      </c>
      <c r="B1221" s="1">
        <v>40849</v>
      </c>
      <c r="C1221">
        <v>11</v>
      </c>
      <c r="D1221">
        <v>2011</v>
      </c>
      <c r="E1221" s="2">
        <v>1009206.33</v>
      </c>
      <c r="F1221">
        <v>1</v>
      </c>
      <c r="G1221" s="3">
        <v>28.89</v>
      </c>
      <c r="H1221" s="2">
        <v>3.2549999999999999</v>
      </c>
      <c r="I1221">
        <v>137.13783179999999</v>
      </c>
      <c r="J1221" s="3">
        <v>8.4580000000000002</v>
      </c>
    </row>
    <row r="1222" spans="1:10" x14ac:dyDescent="0.25">
      <c r="A1222">
        <v>22</v>
      </c>
      <c r="B1222" s="1">
        <v>40636</v>
      </c>
      <c r="C1222">
        <v>4</v>
      </c>
      <c r="D1222">
        <v>2011</v>
      </c>
      <c r="E1222" s="2">
        <v>997353.15</v>
      </c>
      <c r="F1222">
        <v>0</v>
      </c>
      <c r="G1222" s="3">
        <v>33.520000000000003</v>
      </c>
      <c r="H1222" s="2">
        <v>3.4369999999999998</v>
      </c>
      <c r="I1222">
        <v>137.5017028</v>
      </c>
      <c r="J1222" s="3">
        <v>8.4580000000000002</v>
      </c>
    </row>
    <row r="1223" spans="1:10" x14ac:dyDescent="0.25">
      <c r="A1223">
        <v>22</v>
      </c>
      <c r="B1223" s="1">
        <v>40850</v>
      </c>
      <c r="C1223">
        <v>11</v>
      </c>
      <c r="D1223">
        <v>2011</v>
      </c>
      <c r="E1223" s="2">
        <v>944587.23</v>
      </c>
      <c r="F1223">
        <v>0</v>
      </c>
      <c r="G1223" s="3">
        <v>41.42</v>
      </c>
      <c r="H1223" s="2">
        <v>3.6</v>
      </c>
      <c r="I1223">
        <v>137.62696170000001</v>
      </c>
      <c r="J1223" s="3">
        <v>8.4580000000000002</v>
      </c>
    </row>
    <row r="1224" spans="1:10" x14ac:dyDescent="0.25">
      <c r="A1224">
        <v>22</v>
      </c>
      <c r="B1224" s="1">
        <v>40547</v>
      </c>
      <c r="C1224">
        <v>1</v>
      </c>
      <c r="D1224">
        <v>2011</v>
      </c>
      <c r="E1224" s="2">
        <v>951588.37</v>
      </c>
      <c r="F1224">
        <v>0</v>
      </c>
      <c r="G1224" s="3">
        <v>36.04</v>
      </c>
      <c r="H1224" s="2">
        <v>3.6379999999999999</v>
      </c>
      <c r="I1224">
        <v>137.95589290000001</v>
      </c>
      <c r="J1224" s="3">
        <v>8.2520000000000007</v>
      </c>
    </row>
    <row r="1225" spans="1:10" x14ac:dyDescent="0.25">
      <c r="A1225">
        <v>22</v>
      </c>
      <c r="B1225" s="1">
        <v>40759</v>
      </c>
      <c r="C1225">
        <v>8</v>
      </c>
      <c r="D1225">
        <v>2011</v>
      </c>
      <c r="E1225" s="2">
        <v>969046.69</v>
      </c>
      <c r="F1225">
        <v>0</v>
      </c>
      <c r="G1225" s="3">
        <v>44.42</v>
      </c>
      <c r="H1225" s="2">
        <v>3.72</v>
      </c>
      <c r="I1225">
        <v>138.06389290000001</v>
      </c>
      <c r="J1225" s="3">
        <v>8.2520000000000007</v>
      </c>
    </row>
    <row r="1226" spans="1:10" x14ac:dyDescent="0.25">
      <c r="A1226">
        <v>22</v>
      </c>
      <c r="B1226" s="1">
        <v>40699</v>
      </c>
      <c r="C1226">
        <v>6</v>
      </c>
      <c r="D1226">
        <v>2011</v>
      </c>
      <c r="E1226" s="2">
        <v>1032076.06</v>
      </c>
      <c r="F1226">
        <v>0</v>
      </c>
      <c r="G1226" s="3">
        <v>53.63</v>
      </c>
      <c r="H1226" s="2">
        <v>4.0780000000000003</v>
      </c>
      <c r="I1226">
        <v>138.41312020000001</v>
      </c>
      <c r="J1226" s="3">
        <v>8.2520000000000007</v>
      </c>
    </row>
    <row r="1227" spans="1:10" x14ac:dyDescent="0.25">
      <c r="A1227">
        <v>22</v>
      </c>
      <c r="B1227" s="1">
        <v>40608</v>
      </c>
      <c r="C1227">
        <v>3</v>
      </c>
      <c r="D1227">
        <v>2011</v>
      </c>
      <c r="E1227" s="2">
        <v>1125169.92</v>
      </c>
      <c r="F1227">
        <v>0</v>
      </c>
      <c r="G1227" s="3">
        <v>70.09</v>
      </c>
      <c r="H1227" s="2">
        <v>3.9729999999999999</v>
      </c>
      <c r="I1227">
        <v>138.76946079999999</v>
      </c>
      <c r="J1227" s="3">
        <v>8.2520000000000007</v>
      </c>
    </row>
    <row r="1228" spans="1:10" x14ac:dyDescent="0.25">
      <c r="A1228">
        <v>22</v>
      </c>
      <c r="B1228" s="1">
        <v>40822</v>
      </c>
      <c r="C1228">
        <v>10</v>
      </c>
      <c r="D1228">
        <v>2011</v>
      </c>
      <c r="E1228" s="2">
        <v>1060868.49</v>
      </c>
      <c r="F1228">
        <v>0</v>
      </c>
      <c r="G1228" s="3">
        <v>69.53</v>
      </c>
      <c r="H1228" s="2">
        <v>3.9239999999999999</v>
      </c>
      <c r="I1228">
        <v>138.86063820000001</v>
      </c>
      <c r="J1228" s="3">
        <v>8.2520000000000007</v>
      </c>
    </row>
    <row r="1229" spans="1:10" x14ac:dyDescent="0.25">
      <c r="A1229">
        <v>22</v>
      </c>
      <c r="B1229" s="1">
        <v>40550</v>
      </c>
      <c r="C1229">
        <v>1</v>
      </c>
      <c r="D1229">
        <v>2011</v>
      </c>
      <c r="E1229" s="2">
        <v>1077491.68</v>
      </c>
      <c r="F1229">
        <v>0</v>
      </c>
      <c r="G1229" s="3">
        <v>70.8</v>
      </c>
      <c r="H1229" s="2">
        <v>3.8149999999999999</v>
      </c>
      <c r="I1229">
        <v>139.36375000000001</v>
      </c>
      <c r="J1229" s="3">
        <v>8.0229999999999997</v>
      </c>
    </row>
    <row r="1230" spans="1:10" x14ac:dyDescent="0.25">
      <c r="A1230">
        <v>22</v>
      </c>
      <c r="B1230" s="1">
        <v>40762</v>
      </c>
      <c r="C1230">
        <v>8</v>
      </c>
      <c r="D1230">
        <v>2011</v>
      </c>
      <c r="E1230" s="2">
        <v>1017050.65</v>
      </c>
      <c r="F1230">
        <v>0</v>
      </c>
      <c r="G1230" s="3">
        <v>74.22</v>
      </c>
      <c r="H1230" s="2">
        <v>3.7839999999999998</v>
      </c>
      <c r="I1230">
        <v>139.54420830000001</v>
      </c>
      <c r="J1230" s="3">
        <v>8.0229999999999997</v>
      </c>
    </row>
    <row r="1231" spans="1:10" x14ac:dyDescent="0.25">
      <c r="A1231">
        <v>22</v>
      </c>
      <c r="B1231" s="1">
        <v>40671</v>
      </c>
      <c r="C1231">
        <v>5</v>
      </c>
      <c r="D1231">
        <v>2011</v>
      </c>
      <c r="E1231" s="2">
        <v>983232.96</v>
      </c>
      <c r="F1231">
        <v>0</v>
      </c>
      <c r="G1231" s="3">
        <v>75.33</v>
      </c>
      <c r="H1231" s="2">
        <v>3.903</v>
      </c>
      <c r="I1231">
        <v>139.98964860000001</v>
      </c>
      <c r="J1231" s="3">
        <v>8.0229999999999997</v>
      </c>
    </row>
    <row r="1232" spans="1:10" x14ac:dyDescent="0.25">
      <c r="A1232">
        <v>22</v>
      </c>
      <c r="B1232" s="1">
        <v>40885</v>
      </c>
      <c r="C1232">
        <v>12</v>
      </c>
      <c r="D1232">
        <v>2011</v>
      </c>
      <c r="E1232" s="2">
        <v>991779.2</v>
      </c>
      <c r="F1232">
        <v>0</v>
      </c>
      <c r="G1232" s="3">
        <v>74.69</v>
      </c>
      <c r="H1232" s="2">
        <v>3.88</v>
      </c>
      <c r="I1232">
        <v>140.0859873</v>
      </c>
      <c r="J1232" s="3">
        <v>8.0229999999999997</v>
      </c>
    </row>
    <row r="1233" spans="1:10" x14ac:dyDescent="0.25">
      <c r="A1233">
        <v>22</v>
      </c>
      <c r="B1233" s="1">
        <v>40583</v>
      </c>
      <c r="C1233">
        <v>2</v>
      </c>
      <c r="D1233">
        <v>2011</v>
      </c>
      <c r="E1233" s="2">
        <v>912762.76</v>
      </c>
      <c r="F1233">
        <v>0</v>
      </c>
      <c r="G1233" s="3">
        <v>69.16</v>
      </c>
      <c r="H1233" s="2">
        <v>3.7839999999999998</v>
      </c>
      <c r="I1233">
        <v>140.19698500000001</v>
      </c>
      <c r="J1233" s="3">
        <v>8.0229999999999997</v>
      </c>
    </row>
    <row r="1234" spans="1:10" x14ac:dyDescent="0.25">
      <c r="A1234">
        <v>22</v>
      </c>
      <c r="B1234" s="1">
        <v>40795</v>
      </c>
      <c r="C1234">
        <v>9</v>
      </c>
      <c r="D1234">
        <v>2011</v>
      </c>
      <c r="E1234" s="2">
        <v>1004434.54</v>
      </c>
      <c r="F1234">
        <v>1</v>
      </c>
      <c r="G1234" s="3">
        <v>69.14</v>
      </c>
      <c r="H1234" s="2">
        <v>3.8090000000000002</v>
      </c>
      <c r="I1234">
        <v>140.23101729999999</v>
      </c>
      <c r="J1234" s="3">
        <v>8.0229999999999997</v>
      </c>
    </row>
    <row r="1235" spans="1:10" x14ac:dyDescent="0.25">
      <c r="A1235">
        <v>22</v>
      </c>
      <c r="B1235" s="1">
        <v>40734</v>
      </c>
      <c r="C1235">
        <v>7</v>
      </c>
      <c r="D1235">
        <v>2011</v>
      </c>
      <c r="E1235" s="2">
        <v>993436.67</v>
      </c>
      <c r="F1235">
        <v>0</v>
      </c>
      <c r="G1235" s="3">
        <v>56.44</v>
      </c>
      <c r="H1235" s="2">
        <v>3.633</v>
      </c>
      <c r="I1235">
        <v>140.43475000000001</v>
      </c>
      <c r="J1235" s="3">
        <v>7.7060000000000004</v>
      </c>
    </row>
    <row r="1236" spans="1:10" x14ac:dyDescent="0.25">
      <c r="A1236">
        <v>22</v>
      </c>
      <c r="B1236" s="1">
        <v>40644</v>
      </c>
      <c r="C1236">
        <v>4</v>
      </c>
      <c r="D1236">
        <v>2011</v>
      </c>
      <c r="E1236" s="2">
        <v>1106575.5900000001</v>
      </c>
      <c r="F1236">
        <v>0</v>
      </c>
      <c r="G1236" s="3">
        <v>42.81</v>
      </c>
      <c r="H1236" s="2">
        <v>3.5859999999999999</v>
      </c>
      <c r="I1236">
        <v>140.42797580000001</v>
      </c>
      <c r="J1236" s="3">
        <v>7.7060000000000004</v>
      </c>
    </row>
    <row r="1237" spans="1:10" x14ac:dyDescent="0.25">
      <c r="A1237">
        <v>22</v>
      </c>
      <c r="B1237" s="1">
        <v>40858</v>
      </c>
      <c r="C1237">
        <v>11</v>
      </c>
      <c r="D1237">
        <v>2011</v>
      </c>
      <c r="E1237" s="2">
        <v>1051740.29</v>
      </c>
      <c r="F1237">
        <v>0</v>
      </c>
      <c r="G1237" s="3">
        <v>47.8</v>
      </c>
      <c r="H1237" s="2">
        <v>3.57</v>
      </c>
      <c r="I1237">
        <v>140.4111613</v>
      </c>
      <c r="J1237" s="3">
        <v>7.7060000000000004</v>
      </c>
    </row>
    <row r="1238" spans="1:10" x14ac:dyDescent="0.25">
      <c r="A1238">
        <v>22</v>
      </c>
      <c r="B1238" s="1">
        <v>40586</v>
      </c>
      <c r="C1238">
        <v>2</v>
      </c>
      <c r="D1238">
        <v>2011</v>
      </c>
      <c r="E1238" s="2">
        <v>1167621.1399999999</v>
      </c>
      <c r="F1238">
        <v>0</v>
      </c>
      <c r="G1238" s="3">
        <v>49.11</v>
      </c>
      <c r="H1238" s="2">
        <v>3.5009999999999999</v>
      </c>
      <c r="I1238">
        <v>140.4307857</v>
      </c>
      <c r="J1238" s="3">
        <v>7.7060000000000004</v>
      </c>
    </row>
    <row r="1239" spans="1:10" x14ac:dyDescent="0.25">
      <c r="A1239">
        <v>22</v>
      </c>
      <c r="B1239" s="1">
        <v>40798</v>
      </c>
      <c r="C1239">
        <v>9</v>
      </c>
      <c r="D1239">
        <v>2011</v>
      </c>
      <c r="E1239" s="2">
        <v>1308967.44</v>
      </c>
      <c r="F1239">
        <v>0</v>
      </c>
      <c r="G1239" s="3">
        <v>45.35</v>
      </c>
      <c r="H1239" s="2">
        <v>3.47</v>
      </c>
      <c r="I1239">
        <v>140.43978569999999</v>
      </c>
      <c r="J1239" s="3">
        <v>7.7060000000000004</v>
      </c>
    </row>
    <row r="1240" spans="1:10" x14ac:dyDescent="0.25">
      <c r="A1240">
        <v>22</v>
      </c>
      <c r="B1240" s="1">
        <v>41061</v>
      </c>
      <c r="C1240">
        <v>6</v>
      </c>
      <c r="D1240">
        <v>2012</v>
      </c>
      <c r="E1240" s="2">
        <v>895358.2</v>
      </c>
      <c r="F1240">
        <v>0</v>
      </c>
      <c r="G1240" s="3">
        <v>34.61</v>
      </c>
      <c r="H1240" s="2">
        <v>3.4390000000000001</v>
      </c>
      <c r="I1240">
        <v>140.64613589999999</v>
      </c>
      <c r="J1240" s="3">
        <v>7.5030000000000001</v>
      </c>
    </row>
    <row r="1241" spans="1:10" x14ac:dyDescent="0.25">
      <c r="A1241">
        <v>22</v>
      </c>
      <c r="B1241" s="1">
        <v>40970</v>
      </c>
      <c r="C1241">
        <v>3</v>
      </c>
      <c r="D1241">
        <v>2012</v>
      </c>
      <c r="E1241" s="2">
        <v>958487.75</v>
      </c>
      <c r="F1241">
        <v>0</v>
      </c>
      <c r="G1241" s="3">
        <v>40.58</v>
      </c>
      <c r="H1241" s="2">
        <v>3.633</v>
      </c>
      <c r="I1241">
        <v>141.01619239999999</v>
      </c>
      <c r="J1241" s="3">
        <v>7.5030000000000001</v>
      </c>
    </row>
    <row r="1242" spans="1:10" x14ac:dyDescent="0.25">
      <c r="A1242">
        <v>22</v>
      </c>
      <c r="B1242" s="1">
        <v>41184</v>
      </c>
      <c r="C1242">
        <v>10</v>
      </c>
      <c r="D1242">
        <v>2012</v>
      </c>
      <c r="E1242" s="2">
        <v>1034448.07</v>
      </c>
      <c r="F1242">
        <v>1</v>
      </c>
      <c r="G1242" s="3">
        <v>35.68</v>
      </c>
      <c r="H1242" s="2">
        <v>3.6549999999999998</v>
      </c>
      <c r="I1242">
        <v>141.11998270000001</v>
      </c>
      <c r="J1242" s="3">
        <v>7.5030000000000001</v>
      </c>
    </row>
    <row r="1243" spans="1:10" x14ac:dyDescent="0.25">
      <c r="A1243">
        <v>22</v>
      </c>
      <c r="B1243" s="1">
        <v>40942</v>
      </c>
      <c r="C1243">
        <v>2</v>
      </c>
      <c r="D1243">
        <v>2012</v>
      </c>
      <c r="E1243" s="2">
        <v>974866.65</v>
      </c>
      <c r="F1243">
        <v>0</v>
      </c>
      <c r="G1243" s="3">
        <v>37.47</v>
      </c>
      <c r="H1243" s="2">
        <v>3.827</v>
      </c>
      <c r="I1243">
        <v>141.3875357</v>
      </c>
      <c r="J1243" s="3">
        <v>7.5030000000000001</v>
      </c>
    </row>
    <row r="1244" spans="1:10" x14ac:dyDescent="0.25">
      <c r="A1244">
        <v>22</v>
      </c>
      <c r="B1244" s="1">
        <v>41155</v>
      </c>
      <c r="C1244">
        <v>9</v>
      </c>
      <c r="D1244">
        <v>2012</v>
      </c>
      <c r="E1244" s="2">
        <v>991127.01</v>
      </c>
      <c r="F1244">
        <v>0</v>
      </c>
      <c r="G1244" s="3">
        <v>41.72</v>
      </c>
      <c r="H1244" s="2">
        <v>3.8759999999999999</v>
      </c>
      <c r="I1244">
        <v>141.4742857</v>
      </c>
      <c r="J1244" s="3">
        <v>7.5030000000000001</v>
      </c>
    </row>
    <row r="1245" spans="1:10" x14ac:dyDescent="0.25">
      <c r="A1245">
        <v>22</v>
      </c>
      <c r="B1245" s="1">
        <v>41064</v>
      </c>
      <c r="C1245">
        <v>6</v>
      </c>
      <c r="D1245">
        <v>2012</v>
      </c>
      <c r="E1245" s="2">
        <v>1197489.6599999999</v>
      </c>
      <c r="F1245">
        <v>0</v>
      </c>
      <c r="G1245" s="3">
        <v>46.38</v>
      </c>
      <c r="H1245" s="2">
        <v>3.9569999999999999</v>
      </c>
      <c r="I1245">
        <v>141.7712396</v>
      </c>
      <c r="J1245" s="3">
        <v>7.6710000000000003</v>
      </c>
    </row>
    <row r="1246" spans="1:10" x14ac:dyDescent="0.25">
      <c r="A1246">
        <v>22</v>
      </c>
      <c r="B1246" s="1">
        <v>41004</v>
      </c>
      <c r="C1246">
        <v>4</v>
      </c>
      <c r="D1246">
        <v>2012</v>
      </c>
      <c r="E1246" s="2">
        <v>1005083.31</v>
      </c>
      <c r="F1246">
        <v>0</v>
      </c>
      <c r="G1246" s="3">
        <v>50.75</v>
      </c>
      <c r="H1246" s="2">
        <v>3.9910000000000001</v>
      </c>
      <c r="I1246">
        <v>142.01779289999999</v>
      </c>
      <c r="J1246" s="3">
        <v>7.6710000000000003</v>
      </c>
    </row>
    <row r="1247" spans="1:10" x14ac:dyDescent="0.25">
      <c r="A1247">
        <v>22</v>
      </c>
      <c r="B1247" s="1">
        <v>41218</v>
      </c>
      <c r="C1247">
        <v>11</v>
      </c>
      <c r="D1247">
        <v>2012</v>
      </c>
      <c r="E1247" s="2">
        <v>997868.63</v>
      </c>
      <c r="F1247">
        <v>0</v>
      </c>
      <c r="G1247" s="3">
        <v>56.72</v>
      </c>
      <c r="H1247" s="2">
        <v>3.9470000000000001</v>
      </c>
      <c r="I1247">
        <v>142.0759262</v>
      </c>
      <c r="J1247" s="3">
        <v>7.6710000000000003</v>
      </c>
    </row>
    <row r="1248" spans="1:10" x14ac:dyDescent="0.25">
      <c r="A1248">
        <v>22</v>
      </c>
      <c r="B1248" s="1">
        <v>40914</v>
      </c>
      <c r="C1248">
        <v>1</v>
      </c>
      <c r="D1248">
        <v>2012</v>
      </c>
      <c r="E1248" s="2">
        <v>1102857.3700000001</v>
      </c>
      <c r="F1248">
        <v>0</v>
      </c>
      <c r="G1248" s="3">
        <v>70.010000000000005</v>
      </c>
      <c r="H1248" s="2">
        <v>3.798</v>
      </c>
      <c r="I1248">
        <v>142.10954380000001</v>
      </c>
      <c r="J1248" s="3">
        <v>7.6710000000000003</v>
      </c>
    </row>
    <row r="1249" spans="1:10" x14ac:dyDescent="0.25">
      <c r="A1249">
        <v>22</v>
      </c>
      <c r="B1249" s="1">
        <v>41127</v>
      </c>
      <c r="C1249">
        <v>8</v>
      </c>
      <c r="D1249">
        <v>2012</v>
      </c>
      <c r="E1249" s="2">
        <v>1061134.3700000001</v>
      </c>
      <c r="F1249">
        <v>0</v>
      </c>
      <c r="G1249" s="3">
        <v>61.71</v>
      </c>
      <c r="H1249" s="2">
        <v>3.746</v>
      </c>
      <c r="I1249">
        <v>142.11580989999999</v>
      </c>
      <c r="J1249" s="3">
        <v>7.6710000000000003</v>
      </c>
    </row>
    <row r="1250" spans="1:10" x14ac:dyDescent="0.25">
      <c r="A1250">
        <v>22</v>
      </c>
      <c r="B1250" s="1">
        <v>41067</v>
      </c>
      <c r="C1250">
        <v>6</v>
      </c>
      <c r="D1250">
        <v>2012</v>
      </c>
      <c r="E1250" s="2">
        <v>1097786.1399999999</v>
      </c>
      <c r="F1250">
        <v>0</v>
      </c>
      <c r="G1250" s="3">
        <v>77.41</v>
      </c>
      <c r="H1250" s="2">
        <v>3.5379999999999998</v>
      </c>
      <c r="I1250">
        <v>142.22342979999999</v>
      </c>
      <c r="J1250" s="3">
        <v>7.7530000000000001</v>
      </c>
    </row>
    <row r="1251" spans="1:10" x14ac:dyDescent="0.25">
      <c r="A1251">
        <v>22</v>
      </c>
      <c r="B1251" s="1">
        <v>40976</v>
      </c>
      <c r="C1251">
        <v>3</v>
      </c>
      <c r="D1251">
        <v>2012</v>
      </c>
      <c r="E1251" s="2">
        <v>1007257.83</v>
      </c>
      <c r="F1251">
        <v>0</v>
      </c>
      <c r="G1251" s="3">
        <v>72.989999999999995</v>
      </c>
      <c r="H1251" s="2">
        <v>3.698</v>
      </c>
      <c r="I1251">
        <v>142.19162789999999</v>
      </c>
      <c r="J1251" s="3">
        <v>7.7530000000000001</v>
      </c>
    </row>
    <row r="1252" spans="1:10" x14ac:dyDescent="0.25">
      <c r="A1252">
        <v>22</v>
      </c>
      <c r="B1252" s="1">
        <v>41190</v>
      </c>
      <c r="C1252">
        <v>10</v>
      </c>
      <c r="D1252">
        <v>2012</v>
      </c>
      <c r="E1252" s="2">
        <v>973812.79</v>
      </c>
      <c r="F1252">
        <v>0</v>
      </c>
      <c r="G1252" s="3">
        <v>76.739999999999995</v>
      </c>
      <c r="H1252" s="2">
        <v>3.7719999999999998</v>
      </c>
      <c r="I1252">
        <v>142.17056339999999</v>
      </c>
      <c r="J1252" s="3">
        <v>7.7530000000000001</v>
      </c>
    </row>
    <row r="1253" spans="1:10" x14ac:dyDescent="0.25">
      <c r="A1253">
        <v>22</v>
      </c>
      <c r="B1253" s="1">
        <v>41099</v>
      </c>
      <c r="C1253">
        <v>7</v>
      </c>
      <c r="D1253">
        <v>2012</v>
      </c>
      <c r="E1253" s="2">
        <v>996628.8</v>
      </c>
      <c r="F1253">
        <v>1</v>
      </c>
      <c r="G1253" s="3">
        <v>73.3</v>
      </c>
      <c r="H1253" s="2">
        <v>3.9209999999999998</v>
      </c>
      <c r="I1253">
        <v>142.500303</v>
      </c>
      <c r="J1253" s="3">
        <v>7.7530000000000001</v>
      </c>
    </row>
    <row r="1254" spans="1:10" x14ac:dyDescent="0.25">
      <c r="A1254">
        <v>22</v>
      </c>
      <c r="B1254" s="1">
        <v>41039</v>
      </c>
      <c r="C1254">
        <v>5</v>
      </c>
      <c r="D1254">
        <v>2012</v>
      </c>
      <c r="E1254" s="2">
        <v>1009887.36</v>
      </c>
      <c r="F1254">
        <v>0</v>
      </c>
      <c r="G1254" s="3">
        <v>62.09</v>
      </c>
      <c r="H1254" s="2">
        <v>4.0270000000000001</v>
      </c>
      <c r="I1254">
        <v>142.85168329999999</v>
      </c>
      <c r="J1254" s="3">
        <v>7.5430000000000001</v>
      </c>
    </row>
    <row r="1255" spans="1:10" x14ac:dyDescent="0.25">
      <c r="A1255">
        <v>22</v>
      </c>
      <c r="B1255" s="1">
        <v>41253</v>
      </c>
      <c r="C1255">
        <v>12</v>
      </c>
      <c r="D1255">
        <v>2012</v>
      </c>
      <c r="E1255" s="2">
        <v>1004039.84</v>
      </c>
      <c r="F1255">
        <v>0</v>
      </c>
      <c r="G1255" s="3">
        <v>54.18</v>
      </c>
      <c r="H1255" s="2">
        <v>4.0289999999999999</v>
      </c>
      <c r="I1255">
        <v>142.93761670000001</v>
      </c>
      <c r="J1255" s="3">
        <v>7.5430000000000001</v>
      </c>
    </row>
    <row r="1256" spans="1:10" x14ac:dyDescent="0.25">
      <c r="A1256">
        <v>23</v>
      </c>
      <c r="B1256" s="1">
        <v>40300</v>
      </c>
      <c r="C1256">
        <v>5</v>
      </c>
      <c r="D1256">
        <v>2010</v>
      </c>
      <c r="E1256" s="2">
        <v>1364721.58</v>
      </c>
      <c r="F1256">
        <v>0</v>
      </c>
      <c r="G1256" s="3">
        <v>15.25</v>
      </c>
      <c r="H1256" s="2">
        <v>2.7879999999999998</v>
      </c>
      <c r="I1256">
        <v>131.5279032</v>
      </c>
      <c r="J1256" s="3">
        <v>5.8920000000000003</v>
      </c>
    </row>
    <row r="1257" spans="1:10" x14ac:dyDescent="0.25">
      <c r="A1257">
        <v>23</v>
      </c>
      <c r="B1257" s="1">
        <v>40514</v>
      </c>
      <c r="C1257">
        <v>12</v>
      </c>
      <c r="D1257">
        <v>2010</v>
      </c>
      <c r="E1257" s="2">
        <v>1380892.08</v>
      </c>
      <c r="F1257">
        <v>1</v>
      </c>
      <c r="G1257" s="3">
        <v>18.75</v>
      </c>
      <c r="H1257" s="2">
        <v>2.7709999999999999</v>
      </c>
      <c r="I1257">
        <v>131.58661290000001</v>
      </c>
      <c r="J1257" s="3">
        <v>5.8920000000000003</v>
      </c>
    </row>
    <row r="1258" spans="1:10" x14ac:dyDescent="0.25">
      <c r="A1258">
        <v>23</v>
      </c>
      <c r="B1258" s="1">
        <v>40301</v>
      </c>
      <c r="C1258">
        <v>5</v>
      </c>
      <c r="D1258">
        <v>2010</v>
      </c>
      <c r="E1258" s="2">
        <v>1311175.93</v>
      </c>
      <c r="F1258">
        <v>0</v>
      </c>
      <c r="G1258" s="3">
        <v>33.15</v>
      </c>
      <c r="H1258" s="2">
        <v>2.766</v>
      </c>
      <c r="I1258">
        <v>131.73500000000001</v>
      </c>
      <c r="J1258" s="3">
        <v>5.8920000000000003</v>
      </c>
    </row>
    <row r="1259" spans="1:10" x14ac:dyDescent="0.25">
      <c r="A1259">
        <v>23</v>
      </c>
      <c r="B1259" s="1">
        <v>40515</v>
      </c>
      <c r="C1259">
        <v>12</v>
      </c>
      <c r="D1259">
        <v>2010</v>
      </c>
      <c r="E1259" s="2">
        <v>1408082.96</v>
      </c>
      <c r="F1259">
        <v>0</v>
      </c>
      <c r="G1259" s="3">
        <v>36.07</v>
      </c>
      <c r="H1259" s="2">
        <v>2.8050000000000002</v>
      </c>
      <c r="I1259">
        <v>131.78399999999999</v>
      </c>
      <c r="J1259" s="3">
        <v>5.8920000000000003</v>
      </c>
    </row>
    <row r="1260" spans="1:10" x14ac:dyDescent="0.25">
      <c r="A1260">
        <v>23</v>
      </c>
      <c r="B1260" s="1">
        <v>40213</v>
      </c>
      <c r="C1260">
        <v>2</v>
      </c>
      <c r="D1260">
        <v>2010</v>
      </c>
      <c r="E1260" s="2">
        <v>1556627.62</v>
      </c>
      <c r="F1260">
        <v>0</v>
      </c>
      <c r="G1260" s="3">
        <v>40.5</v>
      </c>
      <c r="H1260" s="2">
        <v>2.8260000000000001</v>
      </c>
      <c r="I1260">
        <v>131.9019677</v>
      </c>
      <c r="J1260" s="3">
        <v>5.4349999999999996</v>
      </c>
    </row>
    <row r="1261" spans="1:10" x14ac:dyDescent="0.25">
      <c r="A1261">
        <v>23</v>
      </c>
      <c r="B1261" s="1">
        <v>40425</v>
      </c>
      <c r="C1261">
        <v>9</v>
      </c>
      <c r="D1261">
        <v>2010</v>
      </c>
      <c r="E1261" s="2">
        <v>1264434.7</v>
      </c>
      <c r="F1261">
        <v>0</v>
      </c>
      <c r="G1261" s="3">
        <v>56.82</v>
      </c>
      <c r="H1261" s="2">
        <v>2.8490000000000002</v>
      </c>
      <c r="I1261">
        <v>131.94080650000001</v>
      </c>
      <c r="J1261" s="3">
        <v>5.4349999999999996</v>
      </c>
    </row>
    <row r="1262" spans="1:10" x14ac:dyDescent="0.25">
      <c r="A1262">
        <v>23</v>
      </c>
      <c r="B1262" s="1">
        <v>40364</v>
      </c>
      <c r="C1262">
        <v>7</v>
      </c>
      <c r="D1262">
        <v>2010</v>
      </c>
      <c r="E1262" s="2">
        <v>1365552.28</v>
      </c>
      <c r="F1262">
        <v>0</v>
      </c>
      <c r="G1262" s="3">
        <v>61.04</v>
      </c>
      <c r="H1262" s="2">
        <v>2.9809999999999999</v>
      </c>
      <c r="I1262">
        <v>132.1062</v>
      </c>
      <c r="J1262" s="3">
        <v>5.4349999999999996</v>
      </c>
    </row>
    <row r="1263" spans="1:10" x14ac:dyDescent="0.25">
      <c r="A1263">
        <v>23</v>
      </c>
      <c r="B1263" s="1">
        <v>40274</v>
      </c>
      <c r="C1263">
        <v>4</v>
      </c>
      <c r="D1263">
        <v>2010</v>
      </c>
      <c r="E1263" s="2">
        <v>1514435.51</v>
      </c>
      <c r="F1263">
        <v>0</v>
      </c>
      <c r="G1263" s="3">
        <v>64.94</v>
      </c>
      <c r="H1263" s="2">
        <v>2.8570000000000002</v>
      </c>
      <c r="I1263">
        <v>132.36483870000001</v>
      </c>
      <c r="J1263" s="3">
        <v>5.4349999999999996</v>
      </c>
    </row>
    <row r="1264" spans="1:10" x14ac:dyDescent="0.25">
      <c r="A1264">
        <v>23</v>
      </c>
      <c r="B1264" s="1">
        <v>40488</v>
      </c>
      <c r="C1264">
        <v>11</v>
      </c>
      <c r="D1264">
        <v>2010</v>
      </c>
      <c r="E1264" s="2">
        <v>1439432.06</v>
      </c>
      <c r="F1264">
        <v>0</v>
      </c>
      <c r="G1264" s="3">
        <v>58.35</v>
      </c>
      <c r="H1264" s="2">
        <v>2.83</v>
      </c>
      <c r="I1264">
        <v>132.43574190000001</v>
      </c>
      <c r="J1264" s="3">
        <v>5.4349999999999996</v>
      </c>
    </row>
    <row r="1265" spans="1:10" x14ac:dyDescent="0.25">
      <c r="A1265">
        <v>23</v>
      </c>
      <c r="B1265" s="1">
        <v>40216</v>
      </c>
      <c r="C1265">
        <v>2</v>
      </c>
      <c r="D1265">
        <v>2010</v>
      </c>
      <c r="E1265" s="2">
        <v>1549113.18</v>
      </c>
      <c r="F1265">
        <v>0</v>
      </c>
      <c r="G1265" s="3">
        <v>64.760000000000005</v>
      </c>
      <c r="H1265" s="2">
        <v>2.8149999999999999</v>
      </c>
      <c r="I1265">
        <v>132.5218667</v>
      </c>
      <c r="J1265" s="3">
        <v>5.3259999999999996</v>
      </c>
    </row>
    <row r="1266" spans="1:10" x14ac:dyDescent="0.25">
      <c r="A1266">
        <v>23</v>
      </c>
      <c r="B1266" s="1">
        <v>40428</v>
      </c>
      <c r="C1266">
        <v>9</v>
      </c>
      <c r="D1266">
        <v>2010</v>
      </c>
      <c r="E1266" s="2">
        <v>1417535.78</v>
      </c>
      <c r="F1266">
        <v>0</v>
      </c>
      <c r="G1266" s="3">
        <v>77.16</v>
      </c>
      <c r="H1266" s="2">
        <v>2.806</v>
      </c>
      <c r="I1266">
        <v>132.54613330000001</v>
      </c>
      <c r="J1266" s="3">
        <v>5.3259999999999996</v>
      </c>
    </row>
    <row r="1267" spans="1:10" x14ac:dyDescent="0.25">
      <c r="A1267">
        <v>23</v>
      </c>
      <c r="B1267" s="1">
        <v>40337</v>
      </c>
      <c r="C1267">
        <v>6</v>
      </c>
      <c r="D1267">
        <v>2010</v>
      </c>
      <c r="E1267" s="2">
        <v>1417013.07</v>
      </c>
      <c r="F1267">
        <v>0</v>
      </c>
      <c r="G1267" s="3">
        <v>70.03</v>
      </c>
      <c r="H1267" s="2">
        <v>2.7919999999999998</v>
      </c>
      <c r="I1267">
        <v>132.6141935</v>
      </c>
      <c r="J1267" s="3">
        <v>5.3259999999999996</v>
      </c>
    </row>
    <row r="1268" spans="1:10" x14ac:dyDescent="0.25">
      <c r="A1268">
        <v>23</v>
      </c>
      <c r="B1268" s="1">
        <v>40246</v>
      </c>
      <c r="C1268">
        <v>3</v>
      </c>
      <c r="D1268">
        <v>2010</v>
      </c>
      <c r="E1268" s="2">
        <v>1405119.23</v>
      </c>
      <c r="F1268">
        <v>0</v>
      </c>
      <c r="G1268" s="3">
        <v>72.91</v>
      </c>
      <c r="H1268" s="2">
        <v>2.7349999999999999</v>
      </c>
      <c r="I1268">
        <v>132.72483869999999</v>
      </c>
      <c r="J1268" s="3">
        <v>5.3259999999999996</v>
      </c>
    </row>
    <row r="1269" spans="1:10" x14ac:dyDescent="0.25">
      <c r="A1269">
        <v>23</v>
      </c>
      <c r="B1269" s="1">
        <v>40460</v>
      </c>
      <c r="C1269">
        <v>10</v>
      </c>
      <c r="D1269">
        <v>2010</v>
      </c>
      <c r="E1269" s="2">
        <v>1272842.8500000001</v>
      </c>
      <c r="F1269">
        <v>1</v>
      </c>
      <c r="G1269" s="3">
        <v>63.21</v>
      </c>
      <c r="H1269" s="2">
        <v>2.7170000000000001</v>
      </c>
      <c r="I1269">
        <v>132.75645159999999</v>
      </c>
      <c r="J1269" s="3">
        <v>5.3259999999999996</v>
      </c>
    </row>
    <row r="1270" spans="1:10" x14ac:dyDescent="0.25">
      <c r="A1270">
        <v>23</v>
      </c>
      <c r="B1270" s="1">
        <v>40188</v>
      </c>
      <c r="C1270">
        <v>1</v>
      </c>
      <c r="D1270">
        <v>2010</v>
      </c>
      <c r="E1270" s="2">
        <v>1129909.44</v>
      </c>
      <c r="F1270">
        <v>0</v>
      </c>
      <c r="G1270" s="3">
        <v>62.07</v>
      </c>
      <c r="H1270" s="2">
        <v>2.7170000000000001</v>
      </c>
      <c r="I1270">
        <v>132.7568</v>
      </c>
      <c r="J1270" s="3">
        <v>5.2869999999999999</v>
      </c>
    </row>
    <row r="1271" spans="1:10" x14ac:dyDescent="0.25">
      <c r="A1271">
        <v>23</v>
      </c>
      <c r="B1271" s="1">
        <v>40400</v>
      </c>
      <c r="C1271">
        <v>8</v>
      </c>
      <c r="D1271">
        <v>2010</v>
      </c>
      <c r="E1271" s="2">
        <v>1179851.68</v>
      </c>
      <c r="F1271">
        <v>0</v>
      </c>
      <c r="G1271" s="3">
        <v>50.75</v>
      </c>
      <c r="H1271" s="2">
        <v>2.7759999999999998</v>
      </c>
      <c r="I1271">
        <v>132.75166669999999</v>
      </c>
      <c r="J1271" s="3">
        <v>5.2869999999999999</v>
      </c>
    </row>
    <row r="1272" spans="1:10" x14ac:dyDescent="0.25">
      <c r="A1272">
        <v>23</v>
      </c>
      <c r="B1272" s="1">
        <v>40309</v>
      </c>
      <c r="C1272">
        <v>5</v>
      </c>
      <c r="D1272">
        <v>2010</v>
      </c>
      <c r="E1272" s="2">
        <v>1203119.96</v>
      </c>
      <c r="F1272">
        <v>0</v>
      </c>
      <c r="G1272" s="3">
        <v>36.6</v>
      </c>
      <c r="H1272" s="2">
        <v>2.9380000000000002</v>
      </c>
      <c r="I1272">
        <v>132.92458060000001</v>
      </c>
      <c r="J1272" s="3">
        <v>5.2869999999999999</v>
      </c>
    </row>
    <row r="1273" spans="1:10" x14ac:dyDescent="0.25">
      <c r="A1273">
        <v>23</v>
      </c>
      <c r="B1273" s="1">
        <v>40523</v>
      </c>
      <c r="C1273">
        <v>12</v>
      </c>
      <c r="D1273">
        <v>2010</v>
      </c>
      <c r="E1273" s="2">
        <v>1387953.75</v>
      </c>
      <c r="F1273">
        <v>0</v>
      </c>
      <c r="G1273" s="3">
        <v>35.590000000000003</v>
      </c>
      <c r="H1273" s="2">
        <v>2.9609999999999999</v>
      </c>
      <c r="I1273">
        <v>132.97832260000001</v>
      </c>
      <c r="J1273" s="3">
        <v>5.2869999999999999</v>
      </c>
    </row>
    <row r="1274" spans="1:10" x14ac:dyDescent="0.25">
      <c r="A1274">
        <v>23</v>
      </c>
      <c r="B1274" s="1">
        <v>40249</v>
      </c>
      <c r="C1274">
        <v>3</v>
      </c>
      <c r="D1274">
        <v>2010</v>
      </c>
      <c r="E1274" s="2">
        <v>1617025.41</v>
      </c>
      <c r="F1274">
        <v>0</v>
      </c>
      <c r="G1274" s="3">
        <v>34.299999999999997</v>
      </c>
      <c r="H1274" s="2">
        <v>3.0649999999999999</v>
      </c>
      <c r="I1274">
        <v>132.75666670000001</v>
      </c>
      <c r="J1274" s="3">
        <v>5.2869999999999999</v>
      </c>
    </row>
    <row r="1275" spans="1:10" x14ac:dyDescent="0.25">
      <c r="A1275">
        <v>23</v>
      </c>
      <c r="B1275" s="1">
        <v>40463</v>
      </c>
      <c r="C1275">
        <v>10</v>
      </c>
      <c r="D1275">
        <v>2010</v>
      </c>
      <c r="E1275" s="2">
        <v>1872365.99</v>
      </c>
      <c r="F1275">
        <v>0</v>
      </c>
      <c r="G1275" s="3">
        <v>20.12</v>
      </c>
      <c r="H1275" s="2">
        <v>3.1320000000000001</v>
      </c>
      <c r="I1275">
        <v>132.6764</v>
      </c>
      <c r="J1275" s="3">
        <v>5.2869999999999999</v>
      </c>
    </row>
    <row r="1276" spans="1:10" x14ac:dyDescent="0.25">
      <c r="A1276">
        <v>23</v>
      </c>
      <c r="B1276" s="1">
        <v>40725</v>
      </c>
      <c r="C1276">
        <v>7</v>
      </c>
      <c r="D1276">
        <v>2011</v>
      </c>
      <c r="E1276" s="2">
        <v>1122034.48</v>
      </c>
      <c r="F1276">
        <v>0</v>
      </c>
      <c r="G1276" s="3">
        <v>27.81</v>
      </c>
      <c r="H1276" s="2">
        <v>3.1930000000000001</v>
      </c>
      <c r="I1276">
        <v>132.88232260000001</v>
      </c>
      <c r="J1276" s="3">
        <v>5.1139999999999999</v>
      </c>
    </row>
    <row r="1277" spans="1:10" x14ac:dyDescent="0.25">
      <c r="A1277">
        <v>23</v>
      </c>
      <c r="B1277" s="1">
        <v>40635</v>
      </c>
      <c r="C1277">
        <v>4</v>
      </c>
      <c r="D1277">
        <v>2011</v>
      </c>
      <c r="E1277" s="2">
        <v>1159438.53</v>
      </c>
      <c r="F1277">
        <v>0</v>
      </c>
      <c r="G1277" s="3">
        <v>14.5</v>
      </c>
      <c r="H1277" s="2">
        <v>3.24</v>
      </c>
      <c r="I1277">
        <v>133.18341939999999</v>
      </c>
      <c r="J1277" s="3">
        <v>5.1139999999999999</v>
      </c>
    </row>
    <row r="1278" spans="1:10" x14ac:dyDescent="0.25">
      <c r="A1278">
        <v>23</v>
      </c>
      <c r="B1278" s="1">
        <v>40849</v>
      </c>
      <c r="C1278">
        <v>11</v>
      </c>
      <c r="D1278">
        <v>2011</v>
      </c>
      <c r="E1278" s="2">
        <v>1249786.3999999999</v>
      </c>
      <c r="F1278">
        <v>1</v>
      </c>
      <c r="G1278" s="3">
        <v>21.52</v>
      </c>
      <c r="H1278" s="2">
        <v>3.2549999999999999</v>
      </c>
      <c r="I1278">
        <v>133.26087100000001</v>
      </c>
      <c r="J1278" s="3">
        <v>5.1139999999999999</v>
      </c>
    </row>
    <row r="1279" spans="1:10" x14ac:dyDescent="0.25">
      <c r="A1279">
        <v>23</v>
      </c>
      <c r="B1279" s="1">
        <v>40636</v>
      </c>
      <c r="C1279">
        <v>4</v>
      </c>
      <c r="D1279">
        <v>2011</v>
      </c>
      <c r="E1279" s="2">
        <v>1301185.28</v>
      </c>
      <c r="F1279">
        <v>0</v>
      </c>
      <c r="G1279" s="3">
        <v>20.67</v>
      </c>
      <c r="H1279" s="2">
        <v>3.4369999999999998</v>
      </c>
      <c r="I1279">
        <v>133.61414289999999</v>
      </c>
      <c r="J1279" s="3">
        <v>5.1139999999999999</v>
      </c>
    </row>
    <row r="1280" spans="1:10" x14ac:dyDescent="0.25">
      <c r="A1280">
        <v>23</v>
      </c>
      <c r="B1280" s="1">
        <v>40850</v>
      </c>
      <c r="C1280">
        <v>11</v>
      </c>
      <c r="D1280">
        <v>2011</v>
      </c>
      <c r="E1280" s="2">
        <v>1042043.55</v>
      </c>
      <c r="F1280">
        <v>0</v>
      </c>
      <c r="G1280" s="3">
        <v>29.36</v>
      </c>
      <c r="H1280" s="2">
        <v>3.6</v>
      </c>
      <c r="I1280">
        <v>133.7361429</v>
      </c>
      <c r="J1280" s="3">
        <v>5.1139999999999999</v>
      </c>
    </row>
    <row r="1281" spans="1:10" x14ac:dyDescent="0.25">
      <c r="A1281">
        <v>23</v>
      </c>
      <c r="B1281" s="1">
        <v>40547</v>
      </c>
      <c r="C1281">
        <v>1</v>
      </c>
      <c r="D1281">
        <v>2011</v>
      </c>
      <c r="E1281" s="2">
        <v>1182694.95</v>
      </c>
      <c r="F1281">
        <v>0</v>
      </c>
      <c r="G1281" s="3">
        <v>29.44</v>
      </c>
      <c r="H1281" s="2">
        <v>3.6379999999999999</v>
      </c>
      <c r="I1281">
        <v>134.06825810000001</v>
      </c>
      <c r="J1281" s="3">
        <v>4.7809999999999997</v>
      </c>
    </row>
    <row r="1282" spans="1:10" x14ac:dyDescent="0.25">
      <c r="A1282">
        <v>23</v>
      </c>
      <c r="B1282" s="1">
        <v>40759</v>
      </c>
      <c r="C1282">
        <v>8</v>
      </c>
      <c r="D1282">
        <v>2011</v>
      </c>
      <c r="E1282" s="2">
        <v>1248901.98</v>
      </c>
      <c r="F1282">
        <v>0</v>
      </c>
      <c r="G1282" s="3">
        <v>36.74</v>
      </c>
      <c r="H1282" s="2">
        <v>3.72</v>
      </c>
      <c r="I1282">
        <v>134.17777419999999</v>
      </c>
      <c r="J1282" s="3">
        <v>4.7809999999999997</v>
      </c>
    </row>
    <row r="1283" spans="1:10" x14ac:dyDescent="0.25">
      <c r="A1283">
        <v>23</v>
      </c>
      <c r="B1283" s="1">
        <v>40699</v>
      </c>
      <c r="C1283">
        <v>6</v>
      </c>
      <c r="D1283">
        <v>2011</v>
      </c>
      <c r="E1283" s="2">
        <v>1359921.13</v>
      </c>
      <c r="F1283">
        <v>0</v>
      </c>
      <c r="G1283" s="3">
        <v>50.07</v>
      </c>
      <c r="H1283" s="2">
        <v>4.0780000000000003</v>
      </c>
      <c r="I1283">
        <v>134.51436670000001</v>
      </c>
      <c r="J1283" s="3">
        <v>4.7809999999999997</v>
      </c>
    </row>
    <row r="1284" spans="1:10" x14ac:dyDescent="0.25">
      <c r="A1284">
        <v>23</v>
      </c>
      <c r="B1284" s="1">
        <v>40608</v>
      </c>
      <c r="C1284">
        <v>3</v>
      </c>
      <c r="D1284">
        <v>2011</v>
      </c>
      <c r="E1284" s="2">
        <v>1562161.97</v>
      </c>
      <c r="F1284">
        <v>0</v>
      </c>
      <c r="G1284" s="3">
        <v>67.209999999999994</v>
      </c>
      <c r="H1284" s="2">
        <v>3.9729999999999999</v>
      </c>
      <c r="I1284">
        <v>134.85516129999999</v>
      </c>
      <c r="J1284" s="3">
        <v>4.7809999999999997</v>
      </c>
    </row>
    <row r="1285" spans="1:10" x14ac:dyDescent="0.25">
      <c r="A1285">
        <v>23</v>
      </c>
      <c r="B1285" s="1">
        <v>40822</v>
      </c>
      <c r="C1285">
        <v>10</v>
      </c>
      <c r="D1285">
        <v>2011</v>
      </c>
      <c r="E1285" s="2">
        <v>1447028.06</v>
      </c>
      <c r="F1285">
        <v>0</v>
      </c>
      <c r="G1285" s="3">
        <v>65.23</v>
      </c>
      <c r="H1285" s="2">
        <v>3.9239999999999999</v>
      </c>
      <c r="I1285">
        <v>134.94254839999999</v>
      </c>
      <c r="J1285" s="3">
        <v>4.7809999999999997</v>
      </c>
    </row>
    <row r="1286" spans="1:10" x14ac:dyDescent="0.25">
      <c r="A1286">
        <v>23</v>
      </c>
      <c r="B1286" s="1">
        <v>40550</v>
      </c>
      <c r="C1286">
        <v>1</v>
      </c>
      <c r="D1286">
        <v>2011</v>
      </c>
      <c r="E1286" s="2">
        <v>1492507.44</v>
      </c>
      <c r="F1286">
        <v>0</v>
      </c>
      <c r="G1286" s="3">
        <v>65.650000000000006</v>
      </c>
      <c r="H1286" s="2">
        <v>3.8149999999999999</v>
      </c>
      <c r="I1286">
        <v>135.4468</v>
      </c>
      <c r="J1286" s="3">
        <v>4.5839999999999996</v>
      </c>
    </row>
    <row r="1287" spans="1:10" x14ac:dyDescent="0.25">
      <c r="A1287">
        <v>23</v>
      </c>
      <c r="B1287" s="1">
        <v>40762</v>
      </c>
      <c r="C1287">
        <v>8</v>
      </c>
      <c r="D1287">
        <v>2011</v>
      </c>
      <c r="E1287" s="2">
        <v>1379488.05</v>
      </c>
      <c r="F1287">
        <v>0</v>
      </c>
      <c r="G1287" s="3">
        <v>69.92</v>
      </c>
      <c r="H1287" s="2">
        <v>3.7839999999999998</v>
      </c>
      <c r="I1287">
        <v>135.62833330000001</v>
      </c>
      <c r="J1287" s="3">
        <v>4.5839999999999996</v>
      </c>
    </row>
    <row r="1288" spans="1:10" x14ac:dyDescent="0.25">
      <c r="A1288">
        <v>23</v>
      </c>
      <c r="B1288" s="1">
        <v>40671</v>
      </c>
      <c r="C1288">
        <v>5</v>
      </c>
      <c r="D1288">
        <v>2011</v>
      </c>
      <c r="E1288" s="2">
        <v>1416344.68</v>
      </c>
      <c r="F1288">
        <v>0</v>
      </c>
      <c r="G1288" s="3">
        <v>69.53</v>
      </c>
      <c r="H1288" s="2">
        <v>3.903</v>
      </c>
      <c r="I1288">
        <v>136.05403229999999</v>
      </c>
      <c r="J1288" s="3">
        <v>4.5839999999999996</v>
      </c>
    </row>
    <row r="1289" spans="1:10" x14ac:dyDescent="0.25">
      <c r="A1289">
        <v>23</v>
      </c>
      <c r="B1289" s="1">
        <v>40885</v>
      </c>
      <c r="C1289">
        <v>12</v>
      </c>
      <c r="D1289">
        <v>2011</v>
      </c>
      <c r="E1289" s="2">
        <v>1380952.05</v>
      </c>
      <c r="F1289">
        <v>0</v>
      </c>
      <c r="G1289" s="3">
        <v>69.86</v>
      </c>
      <c r="H1289" s="2">
        <v>3.88</v>
      </c>
      <c r="I1289">
        <v>136.14412899999999</v>
      </c>
      <c r="J1289" s="3">
        <v>4.5839999999999996</v>
      </c>
    </row>
    <row r="1290" spans="1:10" x14ac:dyDescent="0.25">
      <c r="A1290">
        <v>23</v>
      </c>
      <c r="B1290" s="1">
        <v>40583</v>
      </c>
      <c r="C1290">
        <v>2</v>
      </c>
      <c r="D1290">
        <v>2011</v>
      </c>
      <c r="E1290" s="2">
        <v>1464295.69</v>
      </c>
      <c r="F1290">
        <v>0</v>
      </c>
      <c r="G1290" s="3">
        <v>65.33</v>
      </c>
      <c r="H1290" s="2">
        <v>3.7839999999999998</v>
      </c>
      <c r="I1290">
        <v>136.24409679999999</v>
      </c>
      <c r="J1290" s="3">
        <v>4.5839999999999996</v>
      </c>
    </row>
    <row r="1291" spans="1:10" x14ac:dyDescent="0.25">
      <c r="A1291">
        <v>23</v>
      </c>
      <c r="B1291" s="1">
        <v>40795</v>
      </c>
      <c r="C1291">
        <v>9</v>
      </c>
      <c r="D1291">
        <v>2011</v>
      </c>
      <c r="E1291" s="2">
        <v>1423289.9</v>
      </c>
      <c r="F1291">
        <v>1</v>
      </c>
      <c r="G1291" s="3">
        <v>66.040000000000006</v>
      </c>
      <c r="H1291" s="2">
        <v>3.8090000000000002</v>
      </c>
      <c r="I1291">
        <v>136.27458060000001</v>
      </c>
      <c r="J1291" s="3">
        <v>4.5839999999999996</v>
      </c>
    </row>
    <row r="1292" spans="1:10" x14ac:dyDescent="0.25">
      <c r="A1292">
        <v>23</v>
      </c>
      <c r="B1292" s="1">
        <v>40734</v>
      </c>
      <c r="C1292">
        <v>7</v>
      </c>
      <c r="D1292">
        <v>2011</v>
      </c>
      <c r="E1292" s="2">
        <v>1463501.99</v>
      </c>
      <c r="F1292">
        <v>0</v>
      </c>
      <c r="G1292" s="3">
        <v>49</v>
      </c>
      <c r="H1292" s="2">
        <v>3.633</v>
      </c>
      <c r="I1292">
        <v>136.47200000000001</v>
      </c>
      <c r="J1292" s="3">
        <v>4.42</v>
      </c>
    </row>
    <row r="1293" spans="1:10" x14ac:dyDescent="0.25">
      <c r="A1293">
        <v>23</v>
      </c>
      <c r="B1293" s="1">
        <v>40644</v>
      </c>
      <c r="C1293">
        <v>4</v>
      </c>
      <c r="D1293">
        <v>2011</v>
      </c>
      <c r="E1293" s="2">
        <v>1428436.33</v>
      </c>
      <c r="F1293">
        <v>0</v>
      </c>
      <c r="G1293" s="3">
        <v>39.18</v>
      </c>
      <c r="H1293" s="2">
        <v>3.5859999999999999</v>
      </c>
      <c r="I1293">
        <v>136.47512900000001</v>
      </c>
      <c r="J1293" s="3">
        <v>4.42</v>
      </c>
    </row>
    <row r="1294" spans="1:10" x14ac:dyDescent="0.25">
      <c r="A1294">
        <v>23</v>
      </c>
      <c r="B1294" s="1">
        <v>40858</v>
      </c>
      <c r="C1294">
        <v>11</v>
      </c>
      <c r="D1294">
        <v>2011</v>
      </c>
      <c r="E1294" s="2">
        <v>1436940.78</v>
      </c>
      <c r="F1294">
        <v>0</v>
      </c>
      <c r="G1294" s="3">
        <v>44.04</v>
      </c>
      <c r="H1294" s="2">
        <v>3.57</v>
      </c>
      <c r="I1294">
        <v>136.46180649999999</v>
      </c>
      <c r="J1294" s="3">
        <v>4.42</v>
      </c>
    </row>
    <row r="1295" spans="1:10" x14ac:dyDescent="0.25">
      <c r="A1295">
        <v>23</v>
      </c>
      <c r="B1295" s="1">
        <v>40586</v>
      </c>
      <c r="C1295">
        <v>2</v>
      </c>
      <c r="D1295">
        <v>2011</v>
      </c>
      <c r="E1295" s="2">
        <v>1552886.59</v>
      </c>
      <c r="F1295">
        <v>0</v>
      </c>
      <c r="G1295" s="3">
        <v>43.6</v>
      </c>
      <c r="H1295" s="2">
        <v>3.5009999999999999</v>
      </c>
      <c r="I1295">
        <v>136.49093329999999</v>
      </c>
      <c r="J1295" s="3">
        <v>4.42</v>
      </c>
    </row>
    <row r="1296" spans="1:10" x14ac:dyDescent="0.25">
      <c r="A1296">
        <v>23</v>
      </c>
      <c r="B1296" s="1">
        <v>40798</v>
      </c>
      <c r="C1296">
        <v>9</v>
      </c>
      <c r="D1296">
        <v>2011</v>
      </c>
      <c r="E1296" s="2">
        <v>1841173.6</v>
      </c>
      <c r="F1296">
        <v>0</v>
      </c>
      <c r="G1296" s="3">
        <v>36.4</v>
      </c>
      <c r="H1296" s="2">
        <v>3.47</v>
      </c>
      <c r="I1296">
        <v>136.50306670000001</v>
      </c>
      <c r="J1296" s="3">
        <v>4.42</v>
      </c>
    </row>
    <row r="1297" spans="1:10" x14ac:dyDescent="0.25">
      <c r="A1297">
        <v>23</v>
      </c>
      <c r="B1297" s="1">
        <v>41061</v>
      </c>
      <c r="C1297">
        <v>6</v>
      </c>
      <c r="D1297">
        <v>2012</v>
      </c>
      <c r="E1297" s="2">
        <v>1150662.55</v>
      </c>
      <c r="F1297">
        <v>0</v>
      </c>
      <c r="G1297" s="3">
        <v>24.29</v>
      </c>
      <c r="H1297" s="2">
        <v>3.4390000000000001</v>
      </c>
      <c r="I1297">
        <v>136.69812899999999</v>
      </c>
      <c r="J1297" s="3">
        <v>4.2610000000000001</v>
      </c>
    </row>
    <row r="1298" spans="1:10" x14ac:dyDescent="0.25">
      <c r="A1298">
        <v>23</v>
      </c>
      <c r="B1298" s="1">
        <v>40970</v>
      </c>
      <c r="C1298">
        <v>3</v>
      </c>
      <c r="D1298">
        <v>2012</v>
      </c>
      <c r="E1298" s="2">
        <v>1261872.67</v>
      </c>
      <c r="F1298">
        <v>0</v>
      </c>
      <c r="G1298" s="3">
        <v>29.71</v>
      </c>
      <c r="H1298" s="2">
        <v>3.633</v>
      </c>
      <c r="I1298">
        <v>137.06325810000001</v>
      </c>
      <c r="J1298" s="3">
        <v>4.2610000000000001</v>
      </c>
    </row>
    <row r="1299" spans="1:10" x14ac:dyDescent="0.25">
      <c r="A1299">
        <v>23</v>
      </c>
      <c r="B1299" s="1">
        <v>41184</v>
      </c>
      <c r="C1299">
        <v>10</v>
      </c>
      <c r="D1299">
        <v>2012</v>
      </c>
      <c r="E1299" s="2">
        <v>1358444.07</v>
      </c>
      <c r="F1299">
        <v>1</v>
      </c>
      <c r="G1299" s="3">
        <v>26.6</v>
      </c>
      <c r="H1299" s="2">
        <v>3.6549999999999998</v>
      </c>
      <c r="I1299">
        <v>137.1666774</v>
      </c>
      <c r="J1299" s="3">
        <v>4.2610000000000001</v>
      </c>
    </row>
    <row r="1300" spans="1:10" x14ac:dyDescent="0.25">
      <c r="A1300">
        <v>23</v>
      </c>
      <c r="B1300" s="1">
        <v>40942</v>
      </c>
      <c r="C1300">
        <v>2</v>
      </c>
      <c r="D1300">
        <v>2012</v>
      </c>
      <c r="E1300" s="2">
        <v>1322852.2</v>
      </c>
      <c r="F1300">
        <v>0</v>
      </c>
      <c r="G1300" s="3">
        <v>25.91</v>
      </c>
      <c r="H1300" s="2">
        <v>3.827</v>
      </c>
      <c r="I1300">
        <v>137.42389660000001</v>
      </c>
      <c r="J1300" s="3">
        <v>4.2610000000000001</v>
      </c>
    </row>
    <row r="1301" spans="1:10" x14ac:dyDescent="0.25">
      <c r="A1301">
        <v>23</v>
      </c>
      <c r="B1301" s="1">
        <v>41155</v>
      </c>
      <c r="C1301">
        <v>9</v>
      </c>
      <c r="D1301">
        <v>2012</v>
      </c>
      <c r="E1301" s="2">
        <v>1292724.8999999999</v>
      </c>
      <c r="F1301">
        <v>0</v>
      </c>
      <c r="G1301" s="3">
        <v>33.11</v>
      </c>
      <c r="H1301" s="2">
        <v>3.8759999999999999</v>
      </c>
      <c r="I1301">
        <v>137.50668970000001</v>
      </c>
      <c r="J1301" s="3">
        <v>4.2610000000000001</v>
      </c>
    </row>
    <row r="1302" spans="1:10" x14ac:dyDescent="0.25">
      <c r="A1302">
        <v>23</v>
      </c>
      <c r="B1302" s="1">
        <v>41064</v>
      </c>
      <c r="C1302">
        <v>6</v>
      </c>
      <c r="D1302">
        <v>2012</v>
      </c>
      <c r="E1302" s="2">
        <v>1604605.69</v>
      </c>
      <c r="F1302">
        <v>0</v>
      </c>
      <c r="G1302" s="3">
        <v>37.43</v>
      </c>
      <c r="H1302" s="2">
        <v>3.9569999999999999</v>
      </c>
      <c r="I1302">
        <v>137.79709679999999</v>
      </c>
      <c r="J1302" s="3">
        <v>4.125</v>
      </c>
    </row>
    <row r="1303" spans="1:10" x14ac:dyDescent="0.25">
      <c r="A1303">
        <v>23</v>
      </c>
      <c r="B1303" s="1">
        <v>41004</v>
      </c>
      <c r="C1303">
        <v>4</v>
      </c>
      <c r="D1303">
        <v>2012</v>
      </c>
      <c r="E1303" s="2">
        <v>1317379.68</v>
      </c>
      <c r="F1303">
        <v>0</v>
      </c>
      <c r="G1303" s="3">
        <v>45.88</v>
      </c>
      <c r="H1303" s="2">
        <v>3.9910000000000001</v>
      </c>
      <c r="I1303">
        <v>138.03319999999999</v>
      </c>
      <c r="J1303" s="3">
        <v>4.125</v>
      </c>
    </row>
    <row r="1304" spans="1:10" x14ac:dyDescent="0.25">
      <c r="A1304">
        <v>23</v>
      </c>
      <c r="B1304" s="1">
        <v>41218</v>
      </c>
      <c r="C1304">
        <v>11</v>
      </c>
      <c r="D1304">
        <v>2012</v>
      </c>
      <c r="E1304" s="2">
        <v>1321914.3400000001</v>
      </c>
      <c r="F1304">
        <v>0</v>
      </c>
      <c r="G1304" s="3">
        <v>52.9</v>
      </c>
      <c r="H1304" s="2">
        <v>3.9470000000000001</v>
      </c>
      <c r="I1304">
        <v>138.08826669999999</v>
      </c>
      <c r="J1304" s="3">
        <v>4.125</v>
      </c>
    </row>
    <row r="1305" spans="1:10" x14ac:dyDescent="0.25">
      <c r="A1305">
        <v>23</v>
      </c>
      <c r="B1305" s="1">
        <v>40914</v>
      </c>
      <c r="C1305">
        <v>1</v>
      </c>
      <c r="D1305">
        <v>2012</v>
      </c>
      <c r="E1305" s="2">
        <v>1476144.34</v>
      </c>
      <c r="F1305">
        <v>0</v>
      </c>
      <c r="G1305" s="3">
        <v>66.22</v>
      </c>
      <c r="H1305" s="2">
        <v>3.798</v>
      </c>
      <c r="I1305">
        <v>138.11380650000001</v>
      </c>
      <c r="J1305" s="3">
        <v>4.125</v>
      </c>
    </row>
    <row r="1306" spans="1:10" x14ac:dyDescent="0.25">
      <c r="A1306">
        <v>23</v>
      </c>
      <c r="B1306" s="1">
        <v>41127</v>
      </c>
      <c r="C1306">
        <v>8</v>
      </c>
      <c r="D1306">
        <v>2012</v>
      </c>
      <c r="E1306" s="2">
        <v>1568048.54</v>
      </c>
      <c r="F1306">
        <v>0</v>
      </c>
      <c r="G1306" s="3">
        <v>56.82</v>
      </c>
      <c r="H1306" s="2">
        <v>3.746</v>
      </c>
      <c r="I1306">
        <v>138.11741939999999</v>
      </c>
      <c r="J1306" s="3">
        <v>4.125</v>
      </c>
    </row>
    <row r="1307" spans="1:10" x14ac:dyDescent="0.25">
      <c r="A1307">
        <v>23</v>
      </c>
      <c r="B1307" s="1">
        <v>41067</v>
      </c>
      <c r="C1307">
        <v>6</v>
      </c>
      <c r="D1307">
        <v>2012</v>
      </c>
      <c r="E1307" s="2">
        <v>1545370.16</v>
      </c>
      <c r="F1307">
        <v>0</v>
      </c>
      <c r="G1307" s="3">
        <v>70.86</v>
      </c>
      <c r="H1307" s="2">
        <v>3.5379999999999998</v>
      </c>
      <c r="I1307">
        <v>138.22963329999999</v>
      </c>
      <c r="J1307" s="3">
        <v>4.1559999999999997</v>
      </c>
    </row>
    <row r="1308" spans="1:10" x14ac:dyDescent="0.25">
      <c r="A1308">
        <v>23</v>
      </c>
      <c r="B1308" s="1">
        <v>40976</v>
      </c>
      <c r="C1308">
        <v>3</v>
      </c>
      <c r="D1308">
        <v>2012</v>
      </c>
      <c r="E1308" s="2">
        <v>1416926.31</v>
      </c>
      <c r="F1308">
        <v>0</v>
      </c>
      <c r="G1308" s="3">
        <v>71.510000000000005</v>
      </c>
      <c r="H1308" s="2">
        <v>3.698</v>
      </c>
      <c r="I1308">
        <v>138.17358060000001</v>
      </c>
      <c r="J1308" s="3">
        <v>4.1559999999999997</v>
      </c>
    </row>
    <row r="1309" spans="1:10" x14ac:dyDescent="0.25">
      <c r="A1309">
        <v>23</v>
      </c>
      <c r="B1309" s="1">
        <v>41190</v>
      </c>
      <c r="C1309">
        <v>10</v>
      </c>
      <c r="D1309">
        <v>2012</v>
      </c>
      <c r="E1309" s="2">
        <v>1436311.76</v>
      </c>
      <c r="F1309">
        <v>0</v>
      </c>
      <c r="G1309" s="3">
        <v>71.12</v>
      </c>
      <c r="H1309" s="2">
        <v>3.7719999999999998</v>
      </c>
      <c r="I1309">
        <v>138.1437742</v>
      </c>
      <c r="J1309" s="3">
        <v>4.1559999999999997</v>
      </c>
    </row>
    <row r="1310" spans="1:10" x14ac:dyDescent="0.25">
      <c r="A1310">
        <v>23</v>
      </c>
      <c r="B1310" s="1">
        <v>41099</v>
      </c>
      <c r="C1310">
        <v>7</v>
      </c>
      <c r="D1310">
        <v>2012</v>
      </c>
      <c r="E1310" s="2">
        <v>1427162.26</v>
      </c>
      <c r="F1310">
        <v>1</v>
      </c>
      <c r="G1310" s="3">
        <v>66.739999999999995</v>
      </c>
      <c r="H1310" s="2">
        <v>3.9209999999999998</v>
      </c>
      <c r="I1310">
        <v>138.47293550000001</v>
      </c>
      <c r="J1310" s="3">
        <v>4.1559999999999997</v>
      </c>
    </row>
    <row r="1311" spans="1:10" x14ac:dyDescent="0.25">
      <c r="A1311">
        <v>23</v>
      </c>
      <c r="B1311" s="1">
        <v>41039</v>
      </c>
      <c r="C1311">
        <v>5</v>
      </c>
      <c r="D1311">
        <v>2012</v>
      </c>
      <c r="E1311" s="2">
        <v>1464616.59</v>
      </c>
      <c r="F1311">
        <v>0</v>
      </c>
      <c r="G1311" s="3">
        <v>56.65</v>
      </c>
      <c r="H1311" s="2">
        <v>4.0270000000000001</v>
      </c>
      <c r="I1311">
        <v>138.82560000000001</v>
      </c>
      <c r="J1311" s="3">
        <v>4.1449999999999996</v>
      </c>
    </row>
    <row r="1312" spans="1:10" x14ac:dyDescent="0.25">
      <c r="A1312">
        <v>23</v>
      </c>
      <c r="B1312" s="1">
        <v>41253</v>
      </c>
      <c r="C1312">
        <v>12</v>
      </c>
      <c r="D1312">
        <v>2012</v>
      </c>
      <c r="E1312" s="2">
        <v>1412925.25</v>
      </c>
      <c r="F1312">
        <v>0</v>
      </c>
      <c r="G1312" s="3">
        <v>48.1</v>
      </c>
      <c r="H1312" s="2">
        <v>4.0289999999999999</v>
      </c>
      <c r="I1312">
        <v>138.9117</v>
      </c>
      <c r="J1312" s="3">
        <v>4.1449999999999996</v>
      </c>
    </row>
    <row r="1313" spans="1:10" x14ac:dyDescent="0.25">
      <c r="A1313">
        <v>24</v>
      </c>
      <c r="B1313" s="1">
        <v>40300</v>
      </c>
      <c r="C1313">
        <v>5</v>
      </c>
      <c r="D1313">
        <v>2010</v>
      </c>
      <c r="E1313" s="2">
        <v>1388725.63</v>
      </c>
      <c r="F1313">
        <v>0</v>
      </c>
      <c r="G1313" s="3">
        <v>22.43</v>
      </c>
      <c r="H1313" s="2">
        <v>2.9540000000000002</v>
      </c>
      <c r="I1313">
        <v>131.5279032</v>
      </c>
      <c r="J1313" s="3">
        <v>8.3260000000000005</v>
      </c>
    </row>
    <row r="1314" spans="1:10" x14ac:dyDescent="0.25">
      <c r="A1314">
        <v>24</v>
      </c>
      <c r="B1314" s="1">
        <v>40514</v>
      </c>
      <c r="C1314">
        <v>12</v>
      </c>
      <c r="D1314">
        <v>2010</v>
      </c>
      <c r="E1314" s="2">
        <v>1414107.1</v>
      </c>
      <c r="F1314">
        <v>1</v>
      </c>
      <c r="G1314" s="3">
        <v>25.94</v>
      </c>
      <c r="H1314" s="2">
        <v>2.94</v>
      </c>
      <c r="I1314">
        <v>131.58661290000001</v>
      </c>
      <c r="J1314" s="3">
        <v>8.3260000000000005</v>
      </c>
    </row>
    <row r="1315" spans="1:10" x14ac:dyDescent="0.25">
      <c r="A1315">
        <v>24</v>
      </c>
      <c r="B1315" s="1">
        <v>40301</v>
      </c>
      <c r="C1315">
        <v>5</v>
      </c>
      <c r="D1315">
        <v>2010</v>
      </c>
      <c r="E1315" s="2">
        <v>1412387.37</v>
      </c>
      <c r="F1315">
        <v>0</v>
      </c>
      <c r="G1315" s="3">
        <v>36.729999999999997</v>
      </c>
      <c r="H1315" s="2">
        <v>2.919</v>
      </c>
      <c r="I1315">
        <v>131.73500000000001</v>
      </c>
      <c r="J1315" s="3">
        <v>8.3260000000000005</v>
      </c>
    </row>
    <row r="1316" spans="1:10" x14ac:dyDescent="0.25">
      <c r="A1316">
        <v>24</v>
      </c>
      <c r="B1316" s="1">
        <v>40515</v>
      </c>
      <c r="C1316">
        <v>12</v>
      </c>
      <c r="D1316">
        <v>2010</v>
      </c>
      <c r="E1316" s="2">
        <v>1309340.1599999999</v>
      </c>
      <c r="F1316">
        <v>0</v>
      </c>
      <c r="G1316" s="3">
        <v>42.31</v>
      </c>
      <c r="H1316" s="2">
        <v>2.9380000000000002</v>
      </c>
      <c r="I1316">
        <v>131.78399999999999</v>
      </c>
      <c r="J1316" s="3">
        <v>8.3260000000000005</v>
      </c>
    </row>
    <row r="1317" spans="1:10" x14ac:dyDescent="0.25">
      <c r="A1317">
        <v>24</v>
      </c>
      <c r="B1317" s="1">
        <v>40213</v>
      </c>
      <c r="C1317">
        <v>2</v>
      </c>
      <c r="D1317">
        <v>2010</v>
      </c>
      <c r="E1317" s="2">
        <v>1478321.26</v>
      </c>
      <c r="F1317">
        <v>0</v>
      </c>
      <c r="G1317" s="3">
        <v>45.22</v>
      </c>
      <c r="H1317" s="2">
        <v>2.9569999999999999</v>
      </c>
      <c r="I1317">
        <v>131.9019677</v>
      </c>
      <c r="J1317" s="3">
        <v>8.2110000000000003</v>
      </c>
    </row>
    <row r="1318" spans="1:10" x14ac:dyDescent="0.25">
      <c r="A1318">
        <v>24</v>
      </c>
      <c r="B1318" s="1">
        <v>40425</v>
      </c>
      <c r="C1318">
        <v>9</v>
      </c>
      <c r="D1318">
        <v>2010</v>
      </c>
      <c r="E1318" s="2">
        <v>1379579.63</v>
      </c>
      <c r="F1318">
        <v>0</v>
      </c>
      <c r="G1318" s="3">
        <v>62.06</v>
      </c>
      <c r="H1318" s="2">
        <v>2.992</v>
      </c>
      <c r="I1318">
        <v>131.94080650000001</v>
      </c>
      <c r="J1318" s="3">
        <v>8.2110000000000003</v>
      </c>
    </row>
    <row r="1319" spans="1:10" x14ac:dyDescent="0.25">
      <c r="A1319">
        <v>24</v>
      </c>
      <c r="B1319" s="1">
        <v>40364</v>
      </c>
      <c r="C1319">
        <v>7</v>
      </c>
      <c r="D1319">
        <v>2010</v>
      </c>
      <c r="E1319" s="2">
        <v>1409705.03</v>
      </c>
      <c r="F1319">
        <v>0</v>
      </c>
      <c r="G1319" s="3">
        <v>66.650000000000006</v>
      </c>
      <c r="H1319" s="2">
        <v>3.0950000000000002</v>
      </c>
      <c r="I1319">
        <v>132.1062</v>
      </c>
      <c r="J1319" s="3">
        <v>8.2110000000000003</v>
      </c>
    </row>
    <row r="1320" spans="1:10" x14ac:dyDescent="0.25">
      <c r="A1320">
        <v>24</v>
      </c>
      <c r="B1320" s="1">
        <v>40274</v>
      </c>
      <c r="C1320">
        <v>4</v>
      </c>
      <c r="D1320">
        <v>2010</v>
      </c>
      <c r="E1320" s="2">
        <v>1566668.91</v>
      </c>
      <c r="F1320">
        <v>0</v>
      </c>
      <c r="G1320" s="3">
        <v>71.989999999999995</v>
      </c>
      <c r="H1320" s="2">
        <v>3.0059999999999998</v>
      </c>
      <c r="I1320">
        <v>132.36483870000001</v>
      </c>
      <c r="J1320" s="3">
        <v>8.2110000000000003</v>
      </c>
    </row>
    <row r="1321" spans="1:10" x14ac:dyDescent="0.25">
      <c r="A1321">
        <v>24</v>
      </c>
      <c r="B1321" s="1">
        <v>40488</v>
      </c>
      <c r="C1321">
        <v>11</v>
      </c>
      <c r="D1321">
        <v>2010</v>
      </c>
      <c r="E1321" s="2">
        <v>1375458.21</v>
      </c>
      <c r="F1321">
        <v>0</v>
      </c>
      <c r="G1321" s="3">
        <v>64.84</v>
      </c>
      <c r="H1321" s="2">
        <v>2.972</v>
      </c>
      <c r="I1321">
        <v>132.43574190000001</v>
      </c>
      <c r="J1321" s="3">
        <v>8.2110000000000003</v>
      </c>
    </row>
    <row r="1322" spans="1:10" x14ac:dyDescent="0.25">
      <c r="A1322">
        <v>24</v>
      </c>
      <c r="B1322" s="1">
        <v>40216</v>
      </c>
      <c r="C1322">
        <v>2</v>
      </c>
      <c r="D1322">
        <v>2010</v>
      </c>
      <c r="E1322" s="2">
        <v>1563387.94</v>
      </c>
      <c r="F1322">
        <v>0</v>
      </c>
      <c r="G1322" s="3">
        <v>71.12</v>
      </c>
      <c r="H1322" s="2">
        <v>2.9580000000000002</v>
      </c>
      <c r="I1322">
        <v>132.5218667</v>
      </c>
      <c r="J1322" s="3">
        <v>8.1170000000000009</v>
      </c>
    </row>
    <row r="1323" spans="1:10" x14ac:dyDescent="0.25">
      <c r="A1323">
        <v>24</v>
      </c>
      <c r="B1323" s="1">
        <v>40428</v>
      </c>
      <c r="C1323">
        <v>9</v>
      </c>
      <c r="D1323">
        <v>2010</v>
      </c>
      <c r="E1323" s="2">
        <v>1665502.55</v>
      </c>
      <c r="F1323">
        <v>0</v>
      </c>
      <c r="G1323" s="3">
        <v>79.05</v>
      </c>
      <c r="H1323" s="2">
        <v>2.94</v>
      </c>
      <c r="I1323">
        <v>132.54613330000001</v>
      </c>
      <c r="J1323" s="3">
        <v>8.1170000000000009</v>
      </c>
    </row>
    <row r="1324" spans="1:10" x14ac:dyDescent="0.25">
      <c r="A1324">
        <v>24</v>
      </c>
      <c r="B1324" s="1">
        <v>40337</v>
      </c>
      <c r="C1324">
        <v>6</v>
      </c>
      <c r="D1324">
        <v>2010</v>
      </c>
      <c r="E1324" s="2">
        <v>1442819.28</v>
      </c>
      <c r="F1324">
        <v>0</v>
      </c>
      <c r="G1324" s="3">
        <v>74.540000000000006</v>
      </c>
      <c r="H1324" s="2">
        <v>2.9420000000000002</v>
      </c>
      <c r="I1324">
        <v>132.6141935</v>
      </c>
      <c r="J1324" s="3">
        <v>8.1170000000000009</v>
      </c>
    </row>
    <row r="1325" spans="1:10" x14ac:dyDescent="0.25">
      <c r="A1325">
        <v>24</v>
      </c>
      <c r="B1325" s="1">
        <v>40246</v>
      </c>
      <c r="C1325">
        <v>3</v>
      </c>
      <c r="D1325">
        <v>2010</v>
      </c>
      <c r="E1325" s="2">
        <v>1366381.6</v>
      </c>
      <c r="F1325">
        <v>0</v>
      </c>
      <c r="G1325" s="3">
        <v>73.52</v>
      </c>
      <c r="H1325" s="2">
        <v>2.86</v>
      </c>
      <c r="I1325">
        <v>132.72483869999999</v>
      </c>
      <c r="J1325" s="3">
        <v>8.1170000000000009</v>
      </c>
    </row>
    <row r="1326" spans="1:10" x14ac:dyDescent="0.25">
      <c r="A1326">
        <v>24</v>
      </c>
      <c r="B1326" s="1">
        <v>40460</v>
      </c>
      <c r="C1326">
        <v>10</v>
      </c>
      <c r="D1326">
        <v>2010</v>
      </c>
      <c r="E1326" s="2">
        <v>1474498.59</v>
      </c>
      <c r="F1326">
        <v>1</v>
      </c>
      <c r="G1326" s="3">
        <v>67.11</v>
      </c>
      <c r="H1326" s="2">
        <v>2.8370000000000002</v>
      </c>
      <c r="I1326">
        <v>132.75645159999999</v>
      </c>
      <c r="J1326" s="3">
        <v>8.1170000000000009</v>
      </c>
    </row>
    <row r="1327" spans="1:10" x14ac:dyDescent="0.25">
      <c r="A1327">
        <v>24</v>
      </c>
      <c r="B1327" s="1">
        <v>40188</v>
      </c>
      <c r="C1327">
        <v>1</v>
      </c>
      <c r="D1327">
        <v>2010</v>
      </c>
      <c r="E1327" s="2">
        <v>1215273.2</v>
      </c>
      <c r="F1327">
        <v>0</v>
      </c>
      <c r="G1327" s="3">
        <v>66.88</v>
      </c>
      <c r="H1327" s="2">
        <v>2.84</v>
      </c>
      <c r="I1327">
        <v>132.7568</v>
      </c>
      <c r="J1327" s="3">
        <v>8.2750000000000004</v>
      </c>
    </row>
    <row r="1328" spans="1:10" x14ac:dyDescent="0.25">
      <c r="A1328">
        <v>24</v>
      </c>
      <c r="B1328" s="1">
        <v>40400</v>
      </c>
      <c r="C1328">
        <v>8</v>
      </c>
      <c r="D1328">
        <v>2010</v>
      </c>
      <c r="E1328" s="2">
        <v>1361944.94</v>
      </c>
      <c r="F1328">
        <v>0</v>
      </c>
      <c r="G1328" s="3">
        <v>54.82</v>
      </c>
      <c r="H1328" s="2">
        <v>2.903</v>
      </c>
      <c r="I1328">
        <v>132.75166669999999</v>
      </c>
      <c r="J1328" s="3">
        <v>8.2750000000000004</v>
      </c>
    </row>
    <row r="1329" spans="1:10" x14ac:dyDescent="0.25">
      <c r="A1329">
        <v>24</v>
      </c>
      <c r="B1329" s="1">
        <v>40309</v>
      </c>
      <c r="C1329">
        <v>5</v>
      </c>
      <c r="D1329">
        <v>2010</v>
      </c>
      <c r="E1329" s="2">
        <v>1285358.01</v>
      </c>
      <c r="F1329">
        <v>0</v>
      </c>
      <c r="G1329" s="3">
        <v>42.2</v>
      </c>
      <c r="H1329" s="2">
        <v>3.0489999999999999</v>
      </c>
      <c r="I1329">
        <v>132.92458060000001</v>
      </c>
      <c r="J1329" s="3">
        <v>8.2750000000000004</v>
      </c>
    </row>
    <row r="1330" spans="1:10" x14ac:dyDescent="0.25">
      <c r="A1330">
        <v>24</v>
      </c>
      <c r="B1330" s="1">
        <v>40523</v>
      </c>
      <c r="C1330">
        <v>12</v>
      </c>
      <c r="D1330">
        <v>2010</v>
      </c>
      <c r="E1330" s="2">
        <v>1312877.01</v>
      </c>
      <c r="F1330">
        <v>0</v>
      </c>
      <c r="G1330" s="3">
        <v>41.76</v>
      </c>
      <c r="H1330" s="2">
        <v>3.0649999999999999</v>
      </c>
      <c r="I1330">
        <v>132.97832260000001</v>
      </c>
      <c r="J1330" s="3">
        <v>8.2750000000000004</v>
      </c>
    </row>
    <row r="1331" spans="1:10" x14ac:dyDescent="0.25">
      <c r="A1331">
        <v>24</v>
      </c>
      <c r="B1331" s="1">
        <v>40249</v>
      </c>
      <c r="C1331">
        <v>3</v>
      </c>
      <c r="D1331">
        <v>2010</v>
      </c>
      <c r="E1331" s="2">
        <v>1413302.7</v>
      </c>
      <c r="F1331">
        <v>0</v>
      </c>
      <c r="G1331" s="3">
        <v>37.08</v>
      </c>
      <c r="H1331" s="2">
        <v>3.2</v>
      </c>
      <c r="I1331">
        <v>132.75666670000001</v>
      </c>
      <c r="J1331" s="3">
        <v>8.2750000000000004</v>
      </c>
    </row>
    <row r="1332" spans="1:10" x14ac:dyDescent="0.25">
      <c r="A1332">
        <v>24</v>
      </c>
      <c r="B1332" s="1">
        <v>40463</v>
      </c>
      <c r="C1332">
        <v>10</v>
      </c>
      <c r="D1332">
        <v>2010</v>
      </c>
      <c r="E1332" s="2">
        <v>1593012.75</v>
      </c>
      <c r="F1332">
        <v>0</v>
      </c>
      <c r="G1332" s="3">
        <v>27.11</v>
      </c>
      <c r="H1332" s="2">
        <v>3.2549999999999999</v>
      </c>
      <c r="I1332">
        <v>132.6764</v>
      </c>
      <c r="J1332" s="3">
        <v>8.2750000000000004</v>
      </c>
    </row>
    <row r="1333" spans="1:10" x14ac:dyDescent="0.25">
      <c r="A1333">
        <v>24</v>
      </c>
      <c r="B1333" s="1">
        <v>40725</v>
      </c>
      <c r="C1333">
        <v>7</v>
      </c>
      <c r="D1333">
        <v>2011</v>
      </c>
      <c r="E1333" s="2">
        <v>1178641.71</v>
      </c>
      <c r="F1333">
        <v>0</v>
      </c>
      <c r="G1333" s="3">
        <v>30.72</v>
      </c>
      <c r="H1333" s="2">
        <v>3.351</v>
      </c>
      <c r="I1333">
        <v>132.88232260000001</v>
      </c>
      <c r="J1333" s="3">
        <v>8.2520000000000007</v>
      </c>
    </row>
    <row r="1334" spans="1:10" x14ac:dyDescent="0.25">
      <c r="A1334">
        <v>24</v>
      </c>
      <c r="B1334" s="1">
        <v>40635</v>
      </c>
      <c r="C1334">
        <v>4</v>
      </c>
      <c r="D1334">
        <v>2011</v>
      </c>
      <c r="E1334" s="2">
        <v>1225182.04</v>
      </c>
      <c r="F1334">
        <v>0</v>
      </c>
      <c r="G1334" s="3">
        <v>23.83</v>
      </c>
      <c r="H1334" s="2">
        <v>3.4</v>
      </c>
      <c r="I1334">
        <v>133.18341939999999</v>
      </c>
      <c r="J1334" s="3">
        <v>8.2520000000000007</v>
      </c>
    </row>
    <row r="1335" spans="1:10" x14ac:dyDescent="0.25">
      <c r="A1335">
        <v>24</v>
      </c>
      <c r="B1335" s="1">
        <v>40849</v>
      </c>
      <c r="C1335">
        <v>11</v>
      </c>
      <c r="D1335">
        <v>2011</v>
      </c>
      <c r="E1335" s="2">
        <v>1341240.6200000001</v>
      </c>
      <c r="F1335">
        <v>1</v>
      </c>
      <c r="G1335" s="3">
        <v>26.51</v>
      </c>
      <c r="H1335" s="2">
        <v>3.4159999999999999</v>
      </c>
      <c r="I1335">
        <v>133.26087100000001</v>
      </c>
      <c r="J1335" s="3">
        <v>8.2520000000000007</v>
      </c>
    </row>
    <row r="1336" spans="1:10" x14ac:dyDescent="0.25">
      <c r="A1336">
        <v>24</v>
      </c>
      <c r="B1336" s="1">
        <v>40636</v>
      </c>
      <c r="C1336">
        <v>4</v>
      </c>
      <c r="D1336">
        <v>2011</v>
      </c>
      <c r="E1336" s="2">
        <v>1346994.53</v>
      </c>
      <c r="F1336">
        <v>0</v>
      </c>
      <c r="G1336" s="3">
        <v>31.36</v>
      </c>
      <c r="H1336" s="2">
        <v>3.605</v>
      </c>
      <c r="I1336">
        <v>133.61414289999999</v>
      </c>
      <c r="J1336" s="3">
        <v>8.2520000000000007</v>
      </c>
    </row>
    <row r="1337" spans="1:10" x14ac:dyDescent="0.25">
      <c r="A1337">
        <v>24</v>
      </c>
      <c r="B1337" s="1">
        <v>40850</v>
      </c>
      <c r="C1337">
        <v>11</v>
      </c>
      <c r="D1337">
        <v>2011</v>
      </c>
      <c r="E1337" s="2">
        <v>1253218.7</v>
      </c>
      <c r="F1337">
        <v>0</v>
      </c>
      <c r="G1337" s="3">
        <v>39.51</v>
      </c>
      <c r="H1337" s="2">
        <v>3.7519999999999998</v>
      </c>
      <c r="I1337">
        <v>133.7361429</v>
      </c>
      <c r="J1337" s="3">
        <v>8.2520000000000007</v>
      </c>
    </row>
    <row r="1338" spans="1:10" x14ac:dyDescent="0.25">
      <c r="A1338">
        <v>24</v>
      </c>
      <c r="B1338" s="1">
        <v>40547</v>
      </c>
      <c r="C1338">
        <v>1</v>
      </c>
      <c r="D1338">
        <v>2011</v>
      </c>
      <c r="E1338" s="2">
        <v>1163803.3</v>
      </c>
      <c r="F1338">
        <v>0</v>
      </c>
      <c r="G1338" s="3">
        <v>35.729999999999997</v>
      </c>
      <c r="H1338" s="2">
        <v>3.8109999999999999</v>
      </c>
      <c r="I1338">
        <v>134.06825810000001</v>
      </c>
      <c r="J1338" s="3">
        <v>8.2119999999999997</v>
      </c>
    </row>
    <row r="1339" spans="1:10" x14ac:dyDescent="0.25">
      <c r="A1339">
        <v>24</v>
      </c>
      <c r="B1339" s="1">
        <v>40759</v>
      </c>
      <c r="C1339">
        <v>8</v>
      </c>
      <c r="D1339">
        <v>2011</v>
      </c>
      <c r="E1339" s="2">
        <v>1273670.32</v>
      </c>
      <c r="F1339">
        <v>0</v>
      </c>
      <c r="G1339" s="3">
        <v>44.7</v>
      </c>
      <c r="H1339" s="2">
        <v>3.895</v>
      </c>
      <c r="I1339">
        <v>134.17777419999999</v>
      </c>
      <c r="J1339" s="3">
        <v>8.2119999999999997</v>
      </c>
    </row>
    <row r="1340" spans="1:10" x14ac:dyDescent="0.25">
      <c r="A1340">
        <v>24</v>
      </c>
      <c r="B1340" s="1">
        <v>40699</v>
      </c>
      <c r="C1340">
        <v>6</v>
      </c>
      <c r="D1340">
        <v>2011</v>
      </c>
      <c r="E1340" s="2">
        <v>1339630.3500000001</v>
      </c>
      <c r="F1340">
        <v>0</v>
      </c>
      <c r="G1340" s="3">
        <v>55.75</v>
      </c>
      <c r="H1340" s="2">
        <v>4.1920000000000002</v>
      </c>
      <c r="I1340">
        <v>134.51436670000001</v>
      </c>
      <c r="J1340" s="3">
        <v>8.2119999999999997</v>
      </c>
    </row>
    <row r="1341" spans="1:10" x14ac:dyDescent="0.25">
      <c r="A1341">
        <v>24</v>
      </c>
      <c r="B1341" s="1">
        <v>40608</v>
      </c>
      <c r="C1341">
        <v>3</v>
      </c>
      <c r="D1341">
        <v>2011</v>
      </c>
      <c r="E1341" s="2">
        <v>1554837.62</v>
      </c>
      <c r="F1341">
        <v>0</v>
      </c>
      <c r="G1341" s="3">
        <v>73.12</v>
      </c>
      <c r="H1341" s="2">
        <v>4.069</v>
      </c>
      <c r="I1341">
        <v>134.85516129999999</v>
      </c>
      <c r="J1341" s="3">
        <v>8.2119999999999997</v>
      </c>
    </row>
    <row r="1342" spans="1:10" x14ac:dyDescent="0.25">
      <c r="A1342">
        <v>24</v>
      </c>
      <c r="B1342" s="1">
        <v>40822</v>
      </c>
      <c r="C1342">
        <v>10</v>
      </c>
      <c r="D1342">
        <v>2011</v>
      </c>
      <c r="E1342" s="2">
        <v>1373841.91</v>
      </c>
      <c r="F1342">
        <v>0</v>
      </c>
      <c r="G1342" s="3">
        <v>70.02</v>
      </c>
      <c r="H1342" s="2">
        <v>4.0250000000000004</v>
      </c>
      <c r="I1342">
        <v>134.94254839999999</v>
      </c>
      <c r="J1342" s="3">
        <v>8.2119999999999997</v>
      </c>
    </row>
    <row r="1343" spans="1:10" x14ac:dyDescent="0.25">
      <c r="A1343">
        <v>24</v>
      </c>
      <c r="B1343" s="1">
        <v>40550</v>
      </c>
      <c r="C1343">
        <v>1</v>
      </c>
      <c r="D1343">
        <v>2011</v>
      </c>
      <c r="E1343" s="2">
        <v>1445596.61</v>
      </c>
      <c r="F1343">
        <v>0</v>
      </c>
      <c r="G1343" s="3">
        <v>70.27</v>
      </c>
      <c r="H1343" s="2">
        <v>3.9159999999999999</v>
      </c>
      <c r="I1343">
        <v>135.4468</v>
      </c>
      <c r="J1343" s="3">
        <v>8.3580000000000005</v>
      </c>
    </row>
    <row r="1344" spans="1:10" x14ac:dyDescent="0.25">
      <c r="A1344">
        <v>24</v>
      </c>
      <c r="B1344" s="1">
        <v>40762</v>
      </c>
      <c r="C1344">
        <v>8</v>
      </c>
      <c r="D1344">
        <v>2011</v>
      </c>
      <c r="E1344" s="2">
        <v>1567340.07</v>
      </c>
      <c r="F1344">
        <v>0</v>
      </c>
      <c r="G1344" s="3">
        <v>72.56</v>
      </c>
      <c r="H1344" s="2">
        <v>3.8860000000000001</v>
      </c>
      <c r="I1344">
        <v>135.62833330000001</v>
      </c>
      <c r="J1344" s="3">
        <v>8.3580000000000005</v>
      </c>
    </row>
    <row r="1345" spans="1:10" x14ac:dyDescent="0.25">
      <c r="A1345">
        <v>24</v>
      </c>
      <c r="B1345" s="1">
        <v>40671</v>
      </c>
      <c r="C1345">
        <v>5</v>
      </c>
      <c r="D1345">
        <v>2011</v>
      </c>
      <c r="E1345" s="2">
        <v>1417616.81</v>
      </c>
      <c r="F1345">
        <v>0</v>
      </c>
      <c r="G1345" s="3">
        <v>74.64</v>
      </c>
      <c r="H1345" s="2">
        <v>4.0199999999999996</v>
      </c>
      <c r="I1345">
        <v>136.05403229999999</v>
      </c>
      <c r="J1345" s="3">
        <v>8.3580000000000005</v>
      </c>
    </row>
    <row r="1346" spans="1:10" x14ac:dyDescent="0.25">
      <c r="A1346">
        <v>24</v>
      </c>
      <c r="B1346" s="1">
        <v>40885</v>
      </c>
      <c r="C1346">
        <v>12</v>
      </c>
      <c r="D1346">
        <v>2011</v>
      </c>
      <c r="E1346" s="2">
        <v>1402818.01</v>
      </c>
      <c r="F1346">
        <v>0</v>
      </c>
      <c r="G1346" s="3">
        <v>72.52</v>
      </c>
      <c r="H1346" s="2">
        <v>3.9950000000000001</v>
      </c>
      <c r="I1346">
        <v>136.14412899999999</v>
      </c>
      <c r="J1346" s="3">
        <v>8.3580000000000005</v>
      </c>
    </row>
    <row r="1347" spans="1:10" x14ac:dyDescent="0.25">
      <c r="A1347">
        <v>24</v>
      </c>
      <c r="B1347" s="1">
        <v>40583</v>
      </c>
      <c r="C1347">
        <v>2</v>
      </c>
      <c r="D1347">
        <v>2011</v>
      </c>
      <c r="E1347" s="2">
        <v>1196105.44</v>
      </c>
      <c r="F1347">
        <v>0</v>
      </c>
      <c r="G1347" s="3">
        <v>68.14</v>
      </c>
      <c r="H1347" s="2">
        <v>3.879</v>
      </c>
      <c r="I1347">
        <v>136.24409679999999</v>
      </c>
      <c r="J1347" s="3">
        <v>8.3580000000000005</v>
      </c>
    </row>
    <row r="1348" spans="1:10" x14ac:dyDescent="0.25">
      <c r="A1348">
        <v>24</v>
      </c>
      <c r="B1348" s="1">
        <v>40795</v>
      </c>
      <c r="C1348">
        <v>9</v>
      </c>
      <c r="D1348">
        <v>2011</v>
      </c>
      <c r="E1348" s="2">
        <v>1527455.19</v>
      </c>
      <c r="F1348">
        <v>1</v>
      </c>
      <c r="G1348" s="3">
        <v>68.319999999999993</v>
      </c>
      <c r="H1348" s="2">
        <v>3.93</v>
      </c>
      <c r="I1348">
        <v>136.27458060000001</v>
      </c>
      <c r="J1348" s="3">
        <v>8.3580000000000005</v>
      </c>
    </row>
    <row r="1349" spans="1:10" x14ac:dyDescent="0.25">
      <c r="A1349">
        <v>24</v>
      </c>
      <c r="B1349" s="1">
        <v>40734</v>
      </c>
      <c r="C1349">
        <v>7</v>
      </c>
      <c r="D1349">
        <v>2011</v>
      </c>
      <c r="E1349" s="2">
        <v>1405914.39</v>
      </c>
      <c r="F1349">
        <v>0</v>
      </c>
      <c r="G1349" s="3">
        <v>53.87</v>
      </c>
      <c r="H1349" s="2">
        <v>3.7749999999999999</v>
      </c>
      <c r="I1349">
        <v>136.47200000000001</v>
      </c>
      <c r="J1349" s="3">
        <v>8.4540000000000006</v>
      </c>
    </row>
    <row r="1350" spans="1:10" x14ac:dyDescent="0.25">
      <c r="A1350">
        <v>24</v>
      </c>
      <c r="B1350" s="1">
        <v>40644</v>
      </c>
      <c r="C1350">
        <v>4</v>
      </c>
      <c r="D1350">
        <v>2011</v>
      </c>
      <c r="E1350" s="2">
        <v>1385860.38</v>
      </c>
      <c r="F1350">
        <v>0</v>
      </c>
      <c r="G1350" s="3">
        <v>39.869999999999997</v>
      </c>
      <c r="H1350" s="2">
        <v>3.738</v>
      </c>
      <c r="I1350">
        <v>136.47512900000001</v>
      </c>
      <c r="J1350" s="3">
        <v>8.4540000000000006</v>
      </c>
    </row>
    <row r="1351" spans="1:10" x14ac:dyDescent="0.25">
      <c r="A1351">
        <v>24</v>
      </c>
      <c r="B1351" s="1">
        <v>40858</v>
      </c>
      <c r="C1351">
        <v>11</v>
      </c>
      <c r="D1351">
        <v>2011</v>
      </c>
      <c r="E1351" s="2">
        <v>1425078.59</v>
      </c>
      <c r="F1351">
        <v>0</v>
      </c>
      <c r="G1351" s="3">
        <v>46.78</v>
      </c>
      <c r="H1351" s="2">
        <v>3.7189999999999999</v>
      </c>
      <c r="I1351">
        <v>136.46180649999999</v>
      </c>
      <c r="J1351" s="3">
        <v>8.4540000000000006</v>
      </c>
    </row>
    <row r="1352" spans="1:10" x14ac:dyDescent="0.25">
      <c r="A1352">
        <v>24</v>
      </c>
      <c r="B1352" s="1">
        <v>40586</v>
      </c>
      <c r="C1352">
        <v>2</v>
      </c>
      <c r="D1352">
        <v>2011</v>
      </c>
      <c r="E1352" s="2">
        <v>1335647.1000000001</v>
      </c>
      <c r="F1352">
        <v>0</v>
      </c>
      <c r="G1352" s="3">
        <v>47.21</v>
      </c>
      <c r="H1352" s="2">
        <v>3.6659999999999999</v>
      </c>
      <c r="I1352">
        <v>136.49093329999999</v>
      </c>
      <c r="J1352" s="3">
        <v>8.4540000000000006</v>
      </c>
    </row>
    <row r="1353" spans="1:10" x14ac:dyDescent="0.25">
      <c r="A1353">
        <v>24</v>
      </c>
      <c r="B1353" s="1">
        <v>40798</v>
      </c>
      <c r="C1353">
        <v>9</v>
      </c>
      <c r="D1353">
        <v>2011</v>
      </c>
      <c r="E1353" s="2">
        <v>1529615.54</v>
      </c>
      <c r="F1353">
        <v>0</v>
      </c>
      <c r="G1353" s="3">
        <v>42.3</v>
      </c>
      <c r="H1353" s="2">
        <v>3.6269999999999998</v>
      </c>
      <c r="I1353">
        <v>136.50306670000001</v>
      </c>
      <c r="J1353" s="3">
        <v>8.4540000000000006</v>
      </c>
    </row>
    <row r="1354" spans="1:10" x14ac:dyDescent="0.25">
      <c r="A1354">
        <v>24</v>
      </c>
      <c r="B1354" s="1">
        <v>41061</v>
      </c>
      <c r="C1354">
        <v>6</v>
      </c>
      <c r="D1354">
        <v>2012</v>
      </c>
      <c r="E1354" s="2">
        <v>1251581.8899999999</v>
      </c>
      <c r="F1354">
        <v>0</v>
      </c>
      <c r="G1354" s="3">
        <v>32.86</v>
      </c>
      <c r="H1354" s="2">
        <v>3.585</v>
      </c>
      <c r="I1354">
        <v>136.69812899999999</v>
      </c>
      <c r="J1354" s="3">
        <v>8.6590000000000007</v>
      </c>
    </row>
    <row r="1355" spans="1:10" x14ac:dyDescent="0.25">
      <c r="A1355">
        <v>24</v>
      </c>
      <c r="B1355" s="1">
        <v>40970</v>
      </c>
      <c r="C1355">
        <v>3</v>
      </c>
      <c r="D1355">
        <v>2012</v>
      </c>
      <c r="E1355" s="2">
        <v>1249696.97</v>
      </c>
      <c r="F1355">
        <v>0</v>
      </c>
      <c r="G1355" s="3">
        <v>38.61</v>
      </c>
      <c r="H1355" s="2">
        <v>3.7959999999999998</v>
      </c>
      <c r="I1355">
        <v>137.06325810000001</v>
      </c>
      <c r="J1355" s="3">
        <v>8.6590000000000007</v>
      </c>
    </row>
    <row r="1356" spans="1:10" x14ac:dyDescent="0.25">
      <c r="A1356">
        <v>24</v>
      </c>
      <c r="B1356" s="1">
        <v>41184</v>
      </c>
      <c r="C1356">
        <v>10</v>
      </c>
      <c r="D1356">
        <v>2012</v>
      </c>
      <c r="E1356" s="2">
        <v>1403460.87</v>
      </c>
      <c r="F1356">
        <v>1</v>
      </c>
      <c r="G1356" s="3">
        <v>33.82</v>
      </c>
      <c r="H1356" s="2">
        <v>3.8260000000000001</v>
      </c>
      <c r="I1356">
        <v>137.1666774</v>
      </c>
      <c r="J1356" s="3">
        <v>8.6590000000000007</v>
      </c>
    </row>
    <row r="1357" spans="1:10" x14ac:dyDescent="0.25">
      <c r="A1357">
        <v>24</v>
      </c>
      <c r="B1357" s="1">
        <v>40942</v>
      </c>
      <c r="C1357">
        <v>2</v>
      </c>
      <c r="D1357">
        <v>2012</v>
      </c>
      <c r="E1357" s="2">
        <v>1213994.3899999999</v>
      </c>
      <c r="F1357">
        <v>0</v>
      </c>
      <c r="G1357" s="3">
        <v>35.36</v>
      </c>
      <c r="H1357" s="2">
        <v>3.9830000000000001</v>
      </c>
      <c r="I1357">
        <v>137.42389660000001</v>
      </c>
      <c r="J1357" s="3">
        <v>8.6590000000000007</v>
      </c>
    </row>
    <row r="1358" spans="1:10" x14ac:dyDescent="0.25">
      <c r="A1358">
        <v>24</v>
      </c>
      <c r="B1358" s="1">
        <v>41155</v>
      </c>
      <c r="C1358">
        <v>9</v>
      </c>
      <c r="D1358">
        <v>2012</v>
      </c>
      <c r="E1358" s="2">
        <v>1325835.7</v>
      </c>
      <c r="F1358">
        <v>0</v>
      </c>
      <c r="G1358" s="3">
        <v>41.5</v>
      </c>
      <c r="H1358" s="2">
        <v>4.0209999999999999</v>
      </c>
      <c r="I1358">
        <v>137.50668970000001</v>
      </c>
      <c r="J1358" s="3">
        <v>8.6590000000000007</v>
      </c>
    </row>
    <row r="1359" spans="1:10" x14ac:dyDescent="0.25">
      <c r="A1359">
        <v>24</v>
      </c>
      <c r="B1359" s="1">
        <v>41064</v>
      </c>
      <c r="C1359">
        <v>6</v>
      </c>
      <c r="D1359">
        <v>2012</v>
      </c>
      <c r="E1359" s="2">
        <v>1524734.29</v>
      </c>
      <c r="F1359">
        <v>0</v>
      </c>
      <c r="G1359" s="3">
        <v>45.25</v>
      </c>
      <c r="H1359" s="2">
        <v>4.1429999999999998</v>
      </c>
      <c r="I1359">
        <v>137.79709679999999</v>
      </c>
      <c r="J1359" s="3">
        <v>8.9830000000000005</v>
      </c>
    </row>
    <row r="1360" spans="1:10" x14ac:dyDescent="0.25">
      <c r="A1360">
        <v>24</v>
      </c>
      <c r="B1360" s="1">
        <v>41004</v>
      </c>
      <c r="C1360">
        <v>4</v>
      </c>
      <c r="D1360">
        <v>2012</v>
      </c>
      <c r="E1360" s="2">
        <v>1306551.71</v>
      </c>
      <c r="F1360">
        <v>0</v>
      </c>
      <c r="G1360" s="3">
        <v>52.14</v>
      </c>
      <c r="H1360" s="2">
        <v>4.1239999999999997</v>
      </c>
      <c r="I1360">
        <v>138.03319999999999</v>
      </c>
      <c r="J1360" s="3">
        <v>8.9830000000000005</v>
      </c>
    </row>
    <row r="1361" spans="1:10" x14ac:dyDescent="0.25">
      <c r="A1361">
        <v>24</v>
      </c>
      <c r="B1361" s="1">
        <v>41218</v>
      </c>
      <c r="C1361">
        <v>11</v>
      </c>
      <c r="D1361">
        <v>2012</v>
      </c>
      <c r="E1361" s="2">
        <v>1355391.79</v>
      </c>
      <c r="F1361">
        <v>0</v>
      </c>
      <c r="G1361" s="3">
        <v>58.7</v>
      </c>
      <c r="H1361" s="2">
        <v>4.0549999999999997</v>
      </c>
      <c r="I1361">
        <v>138.08826669999999</v>
      </c>
      <c r="J1361" s="3">
        <v>8.9830000000000005</v>
      </c>
    </row>
    <row r="1362" spans="1:10" x14ac:dyDescent="0.25">
      <c r="A1362">
        <v>24</v>
      </c>
      <c r="B1362" s="1">
        <v>40914</v>
      </c>
      <c r="C1362">
        <v>1</v>
      </c>
      <c r="D1362">
        <v>2012</v>
      </c>
      <c r="E1362" s="2">
        <v>1467722.19</v>
      </c>
      <c r="F1362">
        <v>0</v>
      </c>
      <c r="G1362" s="3">
        <v>71.790000000000006</v>
      </c>
      <c r="H1362" s="2">
        <v>3.915</v>
      </c>
      <c r="I1362">
        <v>138.11380650000001</v>
      </c>
      <c r="J1362" s="3">
        <v>8.9830000000000005</v>
      </c>
    </row>
    <row r="1363" spans="1:10" x14ac:dyDescent="0.25">
      <c r="A1363">
        <v>24</v>
      </c>
      <c r="B1363" s="1">
        <v>41127</v>
      </c>
      <c r="C1363">
        <v>8</v>
      </c>
      <c r="D1363">
        <v>2012</v>
      </c>
      <c r="E1363" s="2">
        <v>1406313.13</v>
      </c>
      <c r="F1363">
        <v>0</v>
      </c>
      <c r="G1363" s="3">
        <v>59.93</v>
      </c>
      <c r="H1363" s="2">
        <v>3.871</v>
      </c>
      <c r="I1363">
        <v>138.11741939999999</v>
      </c>
      <c r="J1363" s="3">
        <v>8.9830000000000005</v>
      </c>
    </row>
    <row r="1364" spans="1:10" x14ac:dyDescent="0.25">
      <c r="A1364">
        <v>24</v>
      </c>
      <c r="B1364" s="1">
        <v>41067</v>
      </c>
      <c r="C1364">
        <v>6</v>
      </c>
      <c r="D1364">
        <v>2012</v>
      </c>
      <c r="E1364" s="2">
        <v>1645097.75</v>
      </c>
      <c r="F1364">
        <v>0</v>
      </c>
      <c r="G1364" s="3">
        <v>77.180000000000007</v>
      </c>
      <c r="H1364" s="2">
        <v>3.6459999999999999</v>
      </c>
      <c r="I1364">
        <v>138.22963329999999</v>
      </c>
      <c r="J1364" s="3">
        <v>8.9529999999999994</v>
      </c>
    </row>
    <row r="1365" spans="1:10" x14ac:dyDescent="0.25">
      <c r="A1365">
        <v>24</v>
      </c>
      <c r="B1365" s="1">
        <v>40976</v>
      </c>
      <c r="C1365">
        <v>3</v>
      </c>
      <c r="D1365">
        <v>2012</v>
      </c>
      <c r="E1365" s="2">
        <v>1440374.13</v>
      </c>
      <c r="F1365">
        <v>0</v>
      </c>
      <c r="G1365" s="3">
        <v>73.260000000000005</v>
      </c>
      <c r="H1365" s="2">
        <v>3.819</v>
      </c>
      <c r="I1365">
        <v>138.17358060000001</v>
      </c>
      <c r="J1365" s="3">
        <v>8.9529999999999994</v>
      </c>
    </row>
    <row r="1366" spans="1:10" x14ac:dyDescent="0.25">
      <c r="A1366">
        <v>24</v>
      </c>
      <c r="B1366" s="1">
        <v>41190</v>
      </c>
      <c r="C1366">
        <v>10</v>
      </c>
      <c r="D1366">
        <v>2012</v>
      </c>
      <c r="E1366" s="2">
        <v>1497054.81</v>
      </c>
      <c r="F1366">
        <v>0</v>
      </c>
      <c r="G1366" s="3">
        <v>75.53</v>
      </c>
      <c r="H1366" s="2">
        <v>3.863</v>
      </c>
      <c r="I1366">
        <v>138.1437742</v>
      </c>
      <c r="J1366" s="3">
        <v>8.9529999999999994</v>
      </c>
    </row>
    <row r="1367" spans="1:10" x14ac:dyDescent="0.25">
      <c r="A1367">
        <v>24</v>
      </c>
      <c r="B1367" s="1">
        <v>41099</v>
      </c>
      <c r="C1367">
        <v>7</v>
      </c>
      <c r="D1367">
        <v>2012</v>
      </c>
      <c r="E1367" s="2">
        <v>1477134.75</v>
      </c>
      <c r="F1367">
        <v>1</v>
      </c>
      <c r="G1367" s="3">
        <v>72.81</v>
      </c>
      <c r="H1367" s="2">
        <v>4.0759999999999996</v>
      </c>
      <c r="I1367">
        <v>138.47293550000001</v>
      </c>
      <c r="J1367" s="3">
        <v>8.9529999999999994</v>
      </c>
    </row>
    <row r="1368" spans="1:10" x14ac:dyDescent="0.25">
      <c r="A1368">
        <v>24</v>
      </c>
      <c r="B1368" s="1">
        <v>41039</v>
      </c>
      <c r="C1368">
        <v>5</v>
      </c>
      <c r="D1368">
        <v>2012</v>
      </c>
      <c r="E1368" s="2">
        <v>1416720.54</v>
      </c>
      <c r="F1368">
        <v>0</v>
      </c>
      <c r="G1368" s="3">
        <v>60.35</v>
      </c>
      <c r="H1368" s="2">
        <v>4.1509999999999998</v>
      </c>
      <c r="I1368">
        <v>138.82560000000001</v>
      </c>
      <c r="J1368" s="3">
        <v>8.6929999999999996</v>
      </c>
    </row>
    <row r="1369" spans="1:10" x14ac:dyDescent="0.25">
      <c r="A1369">
        <v>24</v>
      </c>
      <c r="B1369" s="1">
        <v>41253</v>
      </c>
      <c r="C1369">
        <v>12</v>
      </c>
      <c r="D1369">
        <v>2012</v>
      </c>
      <c r="E1369" s="2">
        <v>1416301.17</v>
      </c>
      <c r="F1369">
        <v>0</v>
      </c>
      <c r="G1369" s="3">
        <v>51.64</v>
      </c>
      <c r="H1369" s="2">
        <v>4.1859999999999999</v>
      </c>
      <c r="I1369">
        <v>138.9117</v>
      </c>
      <c r="J1369" s="3">
        <v>8.6929999999999996</v>
      </c>
    </row>
    <row r="1370" spans="1:10" x14ac:dyDescent="0.25">
      <c r="A1370">
        <v>25</v>
      </c>
      <c r="B1370" s="1">
        <v>40300</v>
      </c>
      <c r="C1370">
        <v>5</v>
      </c>
      <c r="D1370">
        <v>2010</v>
      </c>
      <c r="E1370" s="2">
        <v>677231.63</v>
      </c>
      <c r="F1370">
        <v>0</v>
      </c>
      <c r="G1370" s="3">
        <v>21.1</v>
      </c>
      <c r="H1370" s="2">
        <v>2.7839999999999998</v>
      </c>
      <c r="I1370">
        <v>204.24719350000001</v>
      </c>
      <c r="J1370" s="3">
        <v>8.1869999999999994</v>
      </c>
    </row>
    <row r="1371" spans="1:10" x14ac:dyDescent="0.25">
      <c r="A1371">
        <v>25</v>
      </c>
      <c r="B1371" s="1">
        <v>40514</v>
      </c>
      <c r="C1371">
        <v>12</v>
      </c>
      <c r="D1371">
        <v>2010</v>
      </c>
      <c r="E1371" s="2">
        <v>583364.02</v>
      </c>
      <c r="F1371">
        <v>1</v>
      </c>
      <c r="G1371" s="3">
        <v>19.64</v>
      </c>
      <c r="H1371" s="2">
        <v>2.7730000000000001</v>
      </c>
      <c r="I1371">
        <v>204.3857472</v>
      </c>
      <c r="J1371" s="3">
        <v>8.1869999999999994</v>
      </c>
    </row>
    <row r="1372" spans="1:10" x14ac:dyDescent="0.25">
      <c r="A1372">
        <v>25</v>
      </c>
      <c r="B1372" s="1">
        <v>40301</v>
      </c>
      <c r="C1372">
        <v>5</v>
      </c>
      <c r="D1372">
        <v>2010</v>
      </c>
      <c r="E1372" s="2">
        <v>665750.06000000006</v>
      </c>
      <c r="F1372">
        <v>0</v>
      </c>
      <c r="G1372" s="3">
        <v>29.45</v>
      </c>
      <c r="H1372" s="2">
        <v>2.7770000000000001</v>
      </c>
      <c r="I1372">
        <v>204.49407339999999</v>
      </c>
      <c r="J1372" s="3">
        <v>8.1869999999999994</v>
      </c>
    </row>
    <row r="1373" spans="1:10" x14ac:dyDescent="0.25">
      <c r="A1373">
        <v>25</v>
      </c>
      <c r="B1373" s="1">
        <v>40515</v>
      </c>
      <c r="C1373">
        <v>12</v>
      </c>
      <c r="D1373">
        <v>2010</v>
      </c>
      <c r="E1373" s="2">
        <v>660619.99</v>
      </c>
      <c r="F1373">
        <v>0</v>
      </c>
      <c r="G1373" s="3">
        <v>40.049999999999997</v>
      </c>
      <c r="H1373" s="2">
        <v>2.8180000000000001</v>
      </c>
      <c r="I1373">
        <v>204.52505980000001</v>
      </c>
      <c r="J1373" s="3">
        <v>8.1869999999999994</v>
      </c>
    </row>
    <row r="1374" spans="1:10" x14ac:dyDescent="0.25">
      <c r="A1374">
        <v>25</v>
      </c>
      <c r="B1374" s="1">
        <v>40213</v>
      </c>
      <c r="C1374">
        <v>2</v>
      </c>
      <c r="D1374">
        <v>2010</v>
      </c>
      <c r="E1374" s="2">
        <v>822486.37</v>
      </c>
      <c r="F1374">
        <v>0</v>
      </c>
      <c r="G1374" s="3">
        <v>47.2</v>
      </c>
      <c r="H1374" s="2">
        <v>2.85</v>
      </c>
      <c r="I1374">
        <v>204.02528419999999</v>
      </c>
      <c r="J1374" s="3">
        <v>7.8559999999999999</v>
      </c>
    </row>
    <row r="1375" spans="1:10" x14ac:dyDescent="0.25">
      <c r="A1375">
        <v>25</v>
      </c>
      <c r="B1375" s="1">
        <v>40425</v>
      </c>
      <c r="C1375">
        <v>9</v>
      </c>
      <c r="D1375">
        <v>2010</v>
      </c>
      <c r="E1375" s="2">
        <v>712647.97</v>
      </c>
      <c r="F1375">
        <v>0</v>
      </c>
      <c r="G1375" s="3">
        <v>61.36</v>
      </c>
      <c r="H1375" s="2">
        <v>2.8690000000000002</v>
      </c>
      <c r="I1375">
        <v>203.84881340000001</v>
      </c>
      <c r="J1375" s="3">
        <v>7.8559999999999999</v>
      </c>
    </row>
    <row r="1376" spans="1:10" x14ac:dyDescent="0.25">
      <c r="A1376">
        <v>25</v>
      </c>
      <c r="B1376" s="1">
        <v>40364</v>
      </c>
      <c r="C1376">
        <v>7</v>
      </c>
      <c r="D1376">
        <v>2010</v>
      </c>
      <c r="E1376" s="2">
        <v>724468.97</v>
      </c>
      <c r="F1376">
        <v>0</v>
      </c>
      <c r="G1376" s="3">
        <v>63.67</v>
      </c>
      <c r="H1376" s="2">
        <v>2.9660000000000002</v>
      </c>
      <c r="I1376">
        <v>203.6101784</v>
      </c>
      <c r="J1376" s="3">
        <v>7.8559999999999999</v>
      </c>
    </row>
    <row r="1377" spans="1:10" x14ac:dyDescent="0.25">
      <c r="A1377">
        <v>25</v>
      </c>
      <c r="B1377" s="1">
        <v>40274</v>
      </c>
      <c r="C1377">
        <v>4</v>
      </c>
      <c r="D1377">
        <v>2010</v>
      </c>
      <c r="E1377" s="2">
        <v>764155.44</v>
      </c>
      <c r="F1377">
        <v>0</v>
      </c>
      <c r="G1377" s="3">
        <v>69.22</v>
      </c>
      <c r="H1377" s="2">
        <v>2.847</v>
      </c>
      <c r="I1377">
        <v>204.4042877</v>
      </c>
      <c r="J1377" s="3">
        <v>7.8559999999999999</v>
      </c>
    </row>
    <row r="1378" spans="1:10" x14ac:dyDescent="0.25">
      <c r="A1378">
        <v>25</v>
      </c>
      <c r="B1378" s="1">
        <v>40488</v>
      </c>
      <c r="C1378">
        <v>11</v>
      </c>
      <c r="D1378">
        <v>2010</v>
      </c>
      <c r="E1378" s="2">
        <v>737163.2</v>
      </c>
      <c r="F1378">
        <v>0</v>
      </c>
      <c r="G1378" s="3">
        <v>63.68</v>
      </c>
      <c r="H1378" s="2">
        <v>2.8090000000000002</v>
      </c>
      <c r="I1378">
        <v>204.66791979999999</v>
      </c>
      <c r="J1378" s="3">
        <v>7.8559999999999999</v>
      </c>
    </row>
    <row r="1379" spans="1:10" x14ac:dyDescent="0.25">
      <c r="A1379">
        <v>25</v>
      </c>
      <c r="B1379" s="1">
        <v>40216</v>
      </c>
      <c r="C1379">
        <v>2</v>
      </c>
      <c r="D1379">
        <v>2010</v>
      </c>
      <c r="E1379" s="2">
        <v>759407.87</v>
      </c>
      <c r="F1379">
        <v>0</v>
      </c>
      <c r="G1379" s="3">
        <v>66.42</v>
      </c>
      <c r="H1379" s="2">
        <v>2.8149999999999999</v>
      </c>
      <c r="I1379">
        <v>204.46505590000001</v>
      </c>
      <c r="J1379" s="3">
        <v>7.5270000000000001</v>
      </c>
    </row>
    <row r="1380" spans="1:10" x14ac:dyDescent="0.25">
      <c r="A1380">
        <v>25</v>
      </c>
      <c r="B1380" s="1">
        <v>40428</v>
      </c>
      <c r="C1380">
        <v>9</v>
      </c>
      <c r="D1380">
        <v>2010</v>
      </c>
      <c r="E1380" s="2">
        <v>719591.13</v>
      </c>
      <c r="F1380">
        <v>0</v>
      </c>
      <c r="G1380" s="3">
        <v>75.239999999999995</v>
      </c>
      <c r="H1380" s="2">
        <v>2.7930000000000001</v>
      </c>
      <c r="I1380">
        <v>204.3625658</v>
      </c>
      <c r="J1380" s="3">
        <v>7.5270000000000001</v>
      </c>
    </row>
    <row r="1381" spans="1:10" x14ac:dyDescent="0.25">
      <c r="A1381">
        <v>25</v>
      </c>
      <c r="B1381" s="1">
        <v>40337</v>
      </c>
      <c r="C1381">
        <v>6</v>
      </c>
      <c r="D1381">
        <v>2010</v>
      </c>
      <c r="E1381" s="2">
        <v>699464.43</v>
      </c>
      <c r="F1381">
        <v>0</v>
      </c>
      <c r="G1381" s="3">
        <v>71.790000000000006</v>
      </c>
      <c r="H1381" s="2">
        <v>2.7839999999999998</v>
      </c>
      <c r="I1381">
        <v>204.72932520000001</v>
      </c>
      <c r="J1381" s="3">
        <v>7.5270000000000001</v>
      </c>
    </row>
    <row r="1382" spans="1:10" x14ac:dyDescent="0.25">
      <c r="A1382">
        <v>25</v>
      </c>
      <c r="B1382" s="1">
        <v>40246</v>
      </c>
      <c r="C1382">
        <v>3</v>
      </c>
      <c r="D1382">
        <v>2010</v>
      </c>
      <c r="E1382" s="2">
        <v>685700.08</v>
      </c>
      <c r="F1382">
        <v>0</v>
      </c>
      <c r="G1382" s="3">
        <v>71.17</v>
      </c>
      <c r="H1382" s="2">
        <v>2.7149999999999999</v>
      </c>
      <c r="I1382">
        <v>204.75835660000001</v>
      </c>
      <c r="J1382" s="3">
        <v>7.5270000000000001</v>
      </c>
    </row>
    <row r="1383" spans="1:10" x14ac:dyDescent="0.25">
      <c r="A1383">
        <v>25</v>
      </c>
      <c r="B1383" s="1">
        <v>40460</v>
      </c>
      <c r="C1383">
        <v>10</v>
      </c>
      <c r="D1383">
        <v>2010</v>
      </c>
      <c r="E1383" s="2">
        <v>655811.94999999995</v>
      </c>
      <c r="F1383">
        <v>1</v>
      </c>
      <c r="G1383" s="3">
        <v>61.14</v>
      </c>
      <c r="H1383" s="2">
        <v>2.6989999999999998</v>
      </c>
      <c r="I1383">
        <v>204.7266827</v>
      </c>
      <c r="J1383" s="3">
        <v>7.5270000000000001</v>
      </c>
    </row>
    <row r="1384" spans="1:10" x14ac:dyDescent="0.25">
      <c r="A1384">
        <v>25</v>
      </c>
      <c r="B1384" s="1">
        <v>40188</v>
      </c>
      <c r="C1384">
        <v>1</v>
      </c>
      <c r="D1384">
        <v>2010</v>
      </c>
      <c r="E1384" s="2">
        <v>658640.14</v>
      </c>
      <c r="F1384">
        <v>0</v>
      </c>
      <c r="G1384" s="3">
        <v>57.56</v>
      </c>
      <c r="H1384" s="2">
        <v>2.7069999999999999</v>
      </c>
      <c r="I1384">
        <v>204.88509730000001</v>
      </c>
      <c r="J1384" s="3">
        <v>7.484</v>
      </c>
    </row>
    <row r="1385" spans="1:10" x14ac:dyDescent="0.25">
      <c r="A1385">
        <v>25</v>
      </c>
      <c r="B1385" s="1">
        <v>40400</v>
      </c>
      <c r="C1385">
        <v>8</v>
      </c>
      <c r="D1385">
        <v>2010</v>
      </c>
      <c r="E1385" s="2">
        <v>674283.86</v>
      </c>
      <c r="F1385">
        <v>0</v>
      </c>
      <c r="G1385" s="3">
        <v>48.46</v>
      </c>
      <c r="H1385" s="2">
        <v>2.7639999999999998</v>
      </c>
      <c r="I1385">
        <v>204.95198199999999</v>
      </c>
      <c r="J1385" s="3">
        <v>7.484</v>
      </c>
    </row>
    <row r="1386" spans="1:10" x14ac:dyDescent="0.25">
      <c r="A1386">
        <v>25</v>
      </c>
      <c r="B1386" s="1">
        <v>40309</v>
      </c>
      <c r="C1386">
        <v>5</v>
      </c>
      <c r="D1386">
        <v>2010</v>
      </c>
      <c r="E1386" s="2">
        <v>696314.53</v>
      </c>
      <c r="F1386">
        <v>0</v>
      </c>
      <c r="G1386" s="3">
        <v>38.799999999999997</v>
      </c>
      <c r="H1386" s="2">
        <v>2.9169999999999998</v>
      </c>
      <c r="I1386">
        <v>205.16083699999999</v>
      </c>
      <c r="J1386" s="3">
        <v>7.484</v>
      </c>
    </row>
    <row r="1387" spans="1:10" x14ac:dyDescent="0.25">
      <c r="A1387">
        <v>25</v>
      </c>
      <c r="B1387" s="1">
        <v>40523</v>
      </c>
      <c r="C1387">
        <v>12</v>
      </c>
      <c r="D1387">
        <v>2010</v>
      </c>
      <c r="E1387" s="2">
        <v>713250.08</v>
      </c>
      <c r="F1387">
        <v>0</v>
      </c>
      <c r="G1387" s="3">
        <v>40.68</v>
      </c>
      <c r="H1387" s="2">
        <v>2.931</v>
      </c>
      <c r="I1387">
        <v>205.20986139999999</v>
      </c>
      <c r="J1387" s="3">
        <v>7.484</v>
      </c>
    </row>
    <row r="1388" spans="1:10" x14ac:dyDescent="0.25">
      <c r="A1388">
        <v>25</v>
      </c>
      <c r="B1388" s="1">
        <v>40249</v>
      </c>
      <c r="C1388">
        <v>3</v>
      </c>
      <c r="D1388">
        <v>2010</v>
      </c>
      <c r="E1388" s="2">
        <v>885572.96</v>
      </c>
      <c r="F1388">
        <v>0</v>
      </c>
      <c r="G1388" s="3">
        <v>32.409999999999997</v>
      </c>
      <c r="H1388" s="2">
        <v>3.0459999999999998</v>
      </c>
      <c r="I1388">
        <v>204.8249189</v>
      </c>
      <c r="J1388" s="3">
        <v>7.484</v>
      </c>
    </row>
    <row r="1389" spans="1:10" x14ac:dyDescent="0.25">
      <c r="A1389">
        <v>25</v>
      </c>
      <c r="B1389" s="1">
        <v>40463</v>
      </c>
      <c r="C1389">
        <v>10</v>
      </c>
      <c r="D1389">
        <v>2010</v>
      </c>
      <c r="E1389" s="2">
        <v>964729.18</v>
      </c>
      <c r="F1389">
        <v>0</v>
      </c>
      <c r="G1389" s="3">
        <v>22.65</v>
      </c>
      <c r="H1389" s="2">
        <v>3.109</v>
      </c>
      <c r="I1389">
        <v>204.68773780000001</v>
      </c>
      <c r="J1389" s="3">
        <v>7.484</v>
      </c>
    </row>
    <row r="1390" spans="1:10" x14ac:dyDescent="0.25">
      <c r="A1390">
        <v>25</v>
      </c>
      <c r="B1390" s="1">
        <v>40725</v>
      </c>
      <c r="C1390">
        <v>7</v>
      </c>
      <c r="D1390">
        <v>2011</v>
      </c>
      <c r="E1390" s="2">
        <v>558794.63</v>
      </c>
      <c r="F1390">
        <v>0</v>
      </c>
      <c r="G1390" s="3">
        <v>29</v>
      </c>
      <c r="H1390" s="2">
        <v>3.1930000000000001</v>
      </c>
      <c r="I1390">
        <v>204.6487803</v>
      </c>
      <c r="J1390" s="3">
        <v>7.343</v>
      </c>
    </row>
    <row r="1391" spans="1:10" x14ac:dyDescent="0.25">
      <c r="A1391">
        <v>25</v>
      </c>
      <c r="B1391" s="1">
        <v>40635</v>
      </c>
      <c r="C1391">
        <v>4</v>
      </c>
      <c r="D1391">
        <v>2011</v>
      </c>
      <c r="E1391" s="2">
        <v>639830.44999999995</v>
      </c>
      <c r="F1391">
        <v>0</v>
      </c>
      <c r="G1391" s="3">
        <v>23.94</v>
      </c>
      <c r="H1391" s="2">
        <v>3.2309999999999999</v>
      </c>
      <c r="I1391">
        <v>205.7329407</v>
      </c>
      <c r="J1391" s="3">
        <v>7.343</v>
      </c>
    </row>
    <row r="1392" spans="1:10" x14ac:dyDescent="0.25">
      <c r="A1392">
        <v>25</v>
      </c>
      <c r="B1392" s="1">
        <v>40849</v>
      </c>
      <c r="C1392">
        <v>11</v>
      </c>
      <c r="D1392">
        <v>2011</v>
      </c>
      <c r="E1392" s="2">
        <v>615666.78</v>
      </c>
      <c r="F1392">
        <v>1</v>
      </c>
      <c r="G1392" s="3">
        <v>21.18</v>
      </c>
      <c r="H1392" s="2">
        <v>3.2389999999999999</v>
      </c>
      <c r="I1392">
        <v>206.0763862</v>
      </c>
      <c r="J1392" s="3">
        <v>7.343</v>
      </c>
    </row>
    <row r="1393" spans="1:10" x14ac:dyDescent="0.25">
      <c r="A1393">
        <v>25</v>
      </c>
      <c r="B1393" s="1">
        <v>40636</v>
      </c>
      <c r="C1393">
        <v>4</v>
      </c>
      <c r="D1393">
        <v>2011</v>
      </c>
      <c r="E1393" s="2">
        <v>640912.18000000005</v>
      </c>
      <c r="F1393">
        <v>0</v>
      </c>
      <c r="G1393" s="3">
        <v>31.59</v>
      </c>
      <c r="H1393" s="2">
        <v>3.4329999999999998</v>
      </c>
      <c r="I1393">
        <v>206.91534849999999</v>
      </c>
      <c r="J1393" s="3">
        <v>7.343</v>
      </c>
    </row>
    <row r="1394" spans="1:10" x14ac:dyDescent="0.25">
      <c r="A1394">
        <v>25</v>
      </c>
      <c r="B1394" s="1">
        <v>40850</v>
      </c>
      <c r="C1394">
        <v>11</v>
      </c>
      <c r="D1394">
        <v>2011</v>
      </c>
      <c r="E1394" s="2">
        <v>599828.39</v>
      </c>
      <c r="F1394">
        <v>0</v>
      </c>
      <c r="G1394" s="3">
        <v>36.729999999999997</v>
      </c>
      <c r="H1394" s="2">
        <v>3.5819999999999999</v>
      </c>
      <c r="I1394">
        <v>207.1882876</v>
      </c>
      <c r="J1394" s="3">
        <v>7.343</v>
      </c>
    </row>
    <row r="1395" spans="1:10" x14ac:dyDescent="0.25">
      <c r="A1395">
        <v>25</v>
      </c>
      <c r="B1395" s="1">
        <v>40547</v>
      </c>
      <c r="C1395">
        <v>1</v>
      </c>
      <c r="D1395">
        <v>2011</v>
      </c>
      <c r="E1395" s="2">
        <v>618377.79</v>
      </c>
      <c r="F1395">
        <v>0</v>
      </c>
      <c r="G1395" s="3">
        <v>28.5</v>
      </c>
      <c r="H1395" s="2">
        <v>3.6379999999999999</v>
      </c>
      <c r="I1395">
        <v>207.88230429999999</v>
      </c>
      <c r="J1395" s="3">
        <v>7.2869999999999999</v>
      </c>
    </row>
    <row r="1396" spans="1:10" x14ac:dyDescent="0.25">
      <c r="A1396">
        <v>25</v>
      </c>
      <c r="B1396" s="1">
        <v>40759</v>
      </c>
      <c r="C1396">
        <v>8</v>
      </c>
      <c r="D1396">
        <v>2011</v>
      </c>
      <c r="E1396" s="2">
        <v>648606.13</v>
      </c>
      <c r="F1396">
        <v>0</v>
      </c>
      <c r="G1396" s="3">
        <v>42.11</v>
      </c>
      <c r="H1396" s="2">
        <v>3.72</v>
      </c>
      <c r="I1396">
        <v>208.10926420000001</v>
      </c>
      <c r="J1396" s="3">
        <v>7.2869999999999999</v>
      </c>
    </row>
    <row r="1397" spans="1:10" x14ac:dyDescent="0.25">
      <c r="A1397">
        <v>25</v>
      </c>
      <c r="B1397" s="1">
        <v>40699</v>
      </c>
      <c r="C1397">
        <v>6</v>
      </c>
      <c r="D1397">
        <v>2011</v>
      </c>
      <c r="E1397" s="2">
        <v>659446.55000000005</v>
      </c>
      <c r="F1397">
        <v>0</v>
      </c>
      <c r="G1397" s="3">
        <v>49.5</v>
      </c>
      <c r="H1397" s="2">
        <v>4.0460000000000003</v>
      </c>
      <c r="I1397">
        <v>208.79925950000001</v>
      </c>
      <c r="J1397" s="3">
        <v>7.2869999999999999</v>
      </c>
    </row>
    <row r="1398" spans="1:10" x14ac:dyDescent="0.25">
      <c r="A1398">
        <v>25</v>
      </c>
      <c r="B1398" s="1">
        <v>40608</v>
      </c>
      <c r="C1398">
        <v>3</v>
      </c>
      <c r="D1398">
        <v>2011</v>
      </c>
      <c r="E1398" s="2">
        <v>737551.74</v>
      </c>
      <c r="F1398">
        <v>0</v>
      </c>
      <c r="G1398" s="3">
        <v>70.69</v>
      </c>
      <c r="H1398" s="2">
        <v>3.9220000000000002</v>
      </c>
      <c r="I1398">
        <v>208.35511159999999</v>
      </c>
      <c r="J1398" s="3">
        <v>7.2869999999999999</v>
      </c>
    </row>
    <row r="1399" spans="1:10" x14ac:dyDescent="0.25">
      <c r="A1399">
        <v>25</v>
      </c>
      <c r="B1399" s="1">
        <v>40822</v>
      </c>
      <c r="C1399">
        <v>10</v>
      </c>
      <c r="D1399">
        <v>2011</v>
      </c>
      <c r="E1399" s="2">
        <v>740259.63</v>
      </c>
      <c r="F1399">
        <v>0</v>
      </c>
      <c r="G1399" s="3">
        <v>71.45</v>
      </c>
      <c r="H1399" s="2">
        <v>3.8809999999999998</v>
      </c>
      <c r="I1399">
        <v>208.1535092</v>
      </c>
      <c r="J1399" s="3">
        <v>7.2869999999999999</v>
      </c>
    </row>
    <row r="1400" spans="1:10" x14ac:dyDescent="0.25">
      <c r="A1400">
        <v>25</v>
      </c>
      <c r="B1400" s="1">
        <v>40550</v>
      </c>
      <c r="C1400">
        <v>1</v>
      </c>
      <c r="D1400">
        <v>2011</v>
      </c>
      <c r="E1400" s="2">
        <v>706206.86</v>
      </c>
      <c r="F1400">
        <v>0</v>
      </c>
      <c r="G1400" s="3">
        <v>66.61</v>
      </c>
      <c r="H1400" s="2">
        <v>3.7480000000000002</v>
      </c>
      <c r="I1400">
        <v>208.33464319999999</v>
      </c>
      <c r="J1400" s="3">
        <v>7.274</v>
      </c>
    </row>
    <row r="1401" spans="1:10" x14ac:dyDescent="0.25">
      <c r="A1401">
        <v>25</v>
      </c>
      <c r="B1401" s="1">
        <v>40762</v>
      </c>
      <c r="C1401">
        <v>8</v>
      </c>
      <c r="D1401">
        <v>2011</v>
      </c>
      <c r="E1401" s="2">
        <v>698529.64</v>
      </c>
      <c r="F1401">
        <v>0</v>
      </c>
      <c r="G1401" s="3">
        <v>71.64</v>
      </c>
      <c r="H1401" s="2">
        <v>3.7109999999999999</v>
      </c>
      <c r="I1401">
        <v>208.43868470000001</v>
      </c>
      <c r="J1401" s="3">
        <v>7.274</v>
      </c>
    </row>
    <row r="1402" spans="1:10" x14ac:dyDescent="0.25">
      <c r="A1402">
        <v>25</v>
      </c>
      <c r="B1402" s="1">
        <v>40671</v>
      </c>
      <c r="C1402">
        <v>5</v>
      </c>
      <c r="D1402">
        <v>2011</v>
      </c>
      <c r="E1402" s="2">
        <v>679706.01</v>
      </c>
      <c r="F1402">
        <v>0</v>
      </c>
      <c r="G1402" s="3">
        <v>74</v>
      </c>
      <c r="H1402" s="2">
        <v>3.8420000000000001</v>
      </c>
      <c r="I1402">
        <v>208.71923799999999</v>
      </c>
      <c r="J1402" s="3">
        <v>7.274</v>
      </c>
    </row>
    <row r="1403" spans="1:10" x14ac:dyDescent="0.25">
      <c r="A1403">
        <v>25</v>
      </c>
      <c r="B1403" s="1">
        <v>40885</v>
      </c>
      <c r="C1403">
        <v>12</v>
      </c>
      <c r="D1403">
        <v>2011</v>
      </c>
      <c r="E1403" s="2">
        <v>667130.48</v>
      </c>
      <c r="F1403">
        <v>0</v>
      </c>
      <c r="G1403" s="3">
        <v>70.930000000000007</v>
      </c>
      <c r="H1403" s="2">
        <v>3.8119999999999998</v>
      </c>
      <c r="I1403">
        <v>208.78200609999999</v>
      </c>
      <c r="J1403" s="3">
        <v>7.274</v>
      </c>
    </row>
    <row r="1404" spans="1:10" x14ac:dyDescent="0.25">
      <c r="A1404">
        <v>25</v>
      </c>
      <c r="B1404" s="1">
        <v>40583</v>
      </c>
      <c r="C1404">
        <v>2</v>
      </c>
      <c r="D1404">
        <v>2011</v>
      </c>
      <c r="E1404" s="2">
        <v>699779</v>
      </c>
      <c r="F1404">
        <v>0</v>
      </c>
      <c r="G1404" s="3">
        <v>67.2</v>
      </c>
      <c r="H1404" s="2">
        <v>3.7029999999999998</v>
      </c>
      <c r="I1404">
        <v>208.96251609999999</v>
      </c>
      <c r="J1404" s="3">
        <v>7.274</v>
      </c>
    </row>
    <row r="1405" spans="1:10" x14ac:dyDescent="0.25">
      <c r="A1405">
        <v>25</v>
      </c>
      <c r="B1405" s="1">
        <v>40795</v>
      </c>
      <c r="C1405">
        <v>9</v>
      </c>
      <c r="D1405">
        <v>2011</v>
      </c>
      <c r="E1405" s="2">
        <v>673248.48</v>
      </c>
      <c r="F1405">
        <v>1</v>
      </c>
      <c r="G1405" s="3">
        <v>67.510000000000005</v>
      </c>
      <c r="H1405" s="2">
        <v>3.738</v>
      </c>
      <c r="I1405">
        <v>209.0225562</v>
      </c>
      <c r="J1405" s="3">
        <v>7.274</v>
      </c>
    </row>
    <row r="1406" spans="1:10" x14ac:dyDescent="0.25">
      <c r="A1406">
        <v>25</v>
      </c>
      <c r="B1406" s="1">
        <v>40734</v>
      </c>
      <c r="C1406">
        <v>7</v>
      </c>
      <c r="D1406">
        <v>2011</v>
      </c>
      <c r="E1406" s="2">
        <v>671522.87</v>
      </c>
      <c r="F1406">
        <v>0</v>
      </c>
      <c r="G1406" s="3">
        <v>50.82</v>
      </c>
      <c r="H1406" s="2">
        <v>3.5830000000000002</v>
      </c>
      <c r="I1406">
        <v>210.11705950000001</v>
      </c>
      <c r="J1406" s="3">
        <v>7.0819999999999999</v>
      </c>
    </row>
    <row r="1407" spans="1:10" x14ac:dyDescent="0.25">
      <c r="A1407">
        <v>25</v>
      </c>
      <c r="B1407" s="1">
        <v>40644</v>
      </c>
      <c r="C1407">
        <v>4</v>
      </c>
      <c r="D1407">
        <v>2011</v>
      </c>
      <c r="E1407" s="2">
        <v>718393.61</v>
      </c>
      <c r="F1407">
        <v>0</v>
      </c>
      <c r="G1407" s="3">
        <v>40.880000000000003</v>
      </c>
      <c r="H1407" s="2">
        <v>3.5510000000000002</v>
      </c>
      <c r="I1407">
        <v>210.83645509999999</v>
      </c>
      <c r="J1407" s="3">
        <v>7.0819999999999999</v>
      </c>
    </row>
    <row r="1408" spans="1:10" x14ac:dyDescent="0.25">
      <c r="A1408">
        <v>25</v>
      </c>
      <c r="B1408" s="1">
        <v>40858</v>
      </c>
      <c r="C1408">
        <v>11</v>
      </c>
      <c r="D1408">
        <v>2011</v>
      </c>
      <c r="E1408" s="2">
        <v>719235.07</v>
      </c>
      <c r="F1408">
        <v>0</v>
      </c>
      <c r="G1408" s="3">
        <v>44.81</v>
      </c>
      <c r="H1408" s="2">
        <v>3.53</v>
      </c>
      <c r="I1408">
        <v>210.98102009999999</v>
      </c>
      <c r="J1408" s="3">
        <v>7.0819999999999999</v>
      </c>
    </row>
    <row r="1409" spans="1:10" x14ac:dyDescent="0.25">
      <c r="A1409">
        <v>25</v>
      </c>
      <c r="B1409" s="1">
        <v>40586</v>
      </c>
      <c r="C1409">
        <v>2</v>
      </c>
      <c r="D1409">
        <v>2011</v>
      </c>
      <c r="E1409" s="2">
        <v>878314.57</v>
      </c>
      <c r="F1409">
        <v>0</v>
      </c>
      <c r="G1409" s="3">
        <v>42.85</v>
      </c>
      <c r="H1409" s="2">
        <v>3.452</v>
      </c>
      <c r="I1409">
        <v>211.6394306</v>
      </c>
      <c r="J1409" s="3">
        <v>7.0819999999999999</v>
      </c>
    </row>
    <row r="1410" spans="1:10" x14ac:dyDescent="0.25">
      <c r="A1410">
        <v>25</v>
      </c>
      <c r="B1410" s="1">
        <v>40798</v>
      </c>
      <c r="C1410">
        <v>9</v>
      </c>
      <c r="D1410">
        <v>2011</v>
      </c>
      <c r="E1410" s="2">
        <v>916446.02</v>
      </c>
      <c r="F1410">
        <v>0</v>
      </c>
      <c r="G1410" s="3">
        <v>38.69</v>
      </c>
      <c r="H1410" s="2">
        <v>3.415</v>
      </c>
      <c r="I1410">
        <v>211.86678559999999</v>
      </c>
      <c r="J1410" s="3">
        <v>7.0819999999999999</v>
      </c>
    </row>
    <row r="1411" spans="1:10" x14ac:dyDescent="0.25">
      <c r="A1411">
        <v>25</v>
      </c>
      <c r="B1411" s="1">
        <v>41061</v>
      </c>
      <c r="C1411">
        <v>6</v>
      </c>
      <c r="D1411">
        <v>2012</v>
      </c>
      <c r="E1411" s="2">
        <v>636419.12</v>
      </c>
      <c r="F1411">
        <v>0</v>
      </c>
      <c r="G1411" s="3">
        <v>30.23</v>
      </c>
      <c r="H1411" s="2">
        <v>3.4220000000000002</v>
      </c>
      <c r="I1411">
        <v>212.5711125</v>
      </c>
      <c r="J1411" s="3">
        <v>6.9610000000000003</v>
      </c>
    </row>
    <row r="1412" spans="1:10" x14ac:dyDescent="0.25">
      <c r="A1412">
        <v>25</v>
      </c>
      <c r="B1412" s="1">
        <v>40970</v>
      </c>
      <c r="C1412">
        <v>3</v>
      </c>
      <c r="D1412">
        <v>2012</v>
      </c>
      <c r="E1412" s="2">
        <v>642776.4</v>
      </c>
      <c r="F1412">
        <v>0</v>
      </c>
      <c r="G1412" s="3">
        <v>34.979999999999997</v>
      </c>
      <c r="H1412" s="2">
        <v>3.617</v>
      </c>
      <c r="I1412">
        <v>213.02362249999999</v>
      </c>
      <c r="J1412" s="3">
        <v>6.9610000000000003</v>
      </c>
    </row>
    <row r="1413" spans="1:10" x14ac:dyDescent="0.25">
      <c r="A1413">
        <v>25</v>
      </c>
      <c r="B1413" s="1">
        <v>41184</v>
      </c>
      <c r="C1413">
        <v>10</v>
      </c>
      <c r="D1413">
        <v>2012</v>
      </c>
      <c r="E1413" s="2">
        <v>658984.38</v>
      </c>
      <c r="F1413">
        <v>1</v>
      </c>
      <c r="G1413" s="3">
        <v>32.47</v>
      </c>
      <c r="H1413" s="2">
        <v>3.64</v>
      </c>
      <c r="I1413">
        <v>213.11861379999999</v>
      </c>
      <c r="J1413" s="3">
        <v>6.9610000000000003</v>
      </c>
    </row>
    <row r="1414" spans="1:10" x14ac:dyDescent="0.25">
      <c r="A1414">
        <v>25</v>
      </c>
      <c r="B1414" s="1">
        <v>40942</v>
      </c>
      <c r="C1414">
        <v>2</v>
      </c>
      <c r="D1414">
        <v>2012</v>
      </c>
      <c r="E1414" s="2">
        <v>643155.89</v>
      </c>
      <c r="F1414">
        <v>0</v>
      </c>
      <c r="G1414" s="3">
        <v>36.01</v>
      </c>
      <c r="H1414" s="2">
        <v>3.8159999999999998</v>
      </c>
      <c r="I1414">
        <v>213.6718127</v>
      </c>
      <c r="J1414" s="3">
        <v>6.9610000000000003</v>
      </c>
    </row>
    <row r="1415" spans="1:10" x14ac:dyDescent="0.25">
      <c r="A1415">
        <v>25</v>
      </c>
      <c r="B1415" s="1">
        <v>41155</v>
      </c>
      <c r="C1415">
        <v>9</v>
      </c>
      <c r="D1415">
        <v>2012</v>
      </c>
      <c r="E1415" s="2">
        <v>643711.53</v>
      </c>
      <c r="F1415">
        <v>0</v>
      </c>
      <c r="G1415" s="3">
        <v>37.44</v>
      </c>
      <c r="H1415" s="2">
        <v>3.8479999999999999</v>
      </c>
      <c r="I1415">
        <v>213.8711137</v>
      </c>
      <c r="J1415" s="3">
        <v>6.9610000000000003</v>
      </c>
    </row>
    <row r="1416" spans="1:10" x14ac:dyDescent="0.25">
      <c r="A1416">
        <v>25</v>
      </c>
      <c r="B1416" s="1">
        <v>41064</v>
      </c>
      <c r="C1416">
        <v>6</v>
      </c>
      <c r="D1416">
        <v>2012</v>
      </c>
      <c r="E1416" s="2">
        <v>791356.9</v>
      </c>
      <c r="F1416">
        <v>0</v>
      </c>
      <c r="G1416" s="3">
        <v>44.73</v>
      </c>
      <c r="H1416" s="2">
        <v>3.996</v>
      </c>
      <c r="I1416">
        <v>214.23870529999999</v>
      </c>
      <c r="J1416" s="3">
        <v>7.1390000000000002</v>
      </c>
    </row>
    <row r="1417" spans="1:10" x14ac:dyDescent="0.25">
      <c r="A1417">
        <v>25</v>
      </c>
      <c r="B1417" s="1">
        <v>41004</v>
      </c>
      <c r="C1417">
        <v>4</v>
      </c>
      <c r="D1417">
        <v>2012</v>
      </c>
      <c r="E1417" s="2">
        <v>696421.72</v>
      </c>
      <c r="F1417">
        <v>0</v>
      </c>
      <c r="G1417" s="3">
        <v>58.76</v>
      </c>
      <c r="H1417" s="2">
        <v>3.9510000000000001</v>
      </c>
      <c r="I1417">
        <v>214.47710810000001</v>
      </c>
      <c r="J1417" s="3">
        <v>7.1390000000000002</v>
      </c>
    </row>
    <row r="1418" spans="1:10" x14ac:dyDescent="0.25">
      <c r="A1418">
        <v>25</v>
      </c>
      <c r="B1418" s="1">
        <v>41218</v>
      </c>
      <c r="C1418">
        <v>11</v>
      </c>
      <c r="D1418">
        <v>2012</v>
      </c>
      <c r="E1418" s="2">
        <v>739866.16</v>
      </c>
      <c r="F1418">
        <v>0</v>
      </c>
      <c r="G1418" s="3">
        <v>59.21</v>
      </c>
      <c r="H1418" s="2">
        <v>3.8889999999999998</v>
      </c>
      <c r="I1418">
        <v>214.53190989999999</v>
      </c>
      <c r="J1418" s="3">
        <v>7.1390000000000002</v>
      </c>
    </row>
    <row r="1419" spans="1:10" x14ac:dyDescent="0.25">
      <c r="A1419">
        <v>25</v>
      </c>
      <c r="B1419" s="1">
        <v>40914</v>
      </c>
      <c r="C1419">
        <v>1</v>
      </c>
      <c r="D1419">
        <v>2012</v>
      </c>
      <c r="E1419" s="2">
        <v>694765.95</v>
      </c>
      <c r="F1419">
        <v>0</v>
      </c>
      <c r="G1419" s="3">
        <v>69.540000000000006</v>
      </c>
      <c r="H1419" s="2">
        <v>3.742</v>
      </c>
      <c r="I1419">
        <v>214.5513278</v>
      </c>
      <c r="J1419" s="3">
        <v>7.1390000000000002</v>
      </c>
    </row>
    <row r="1420" spans="1:10" x14ac:dyDescent="0.25">
      <c r="A1420">
        <v>25</v>
      </c>
      <c r="B1420" s="1">
        <v>41127</v>
      </c>
      <c r="C1420">
        <v>8</v>
      </c>
      <c r="D1420">
        <v>2012</v>
      </c>
      <c r="E1420" s="2">
        <v>730254.19</v>
      </c>
      <c r="F1420">
        <v>0</v>
      </c>
      <c r="G1420" s="3">
        <v>58.48</v>
      </c>
      <c r="H1420" s="2">
        <v>3.6890000000000001</v>
      </c>
      <c r="I1420">
        <v>214.5527132</v>
      </c>
      <c r="J1420" s="3">
        <v>7.1390000000000002</v>
      </c>
    </row>
    <row r="1421" spans="1:10" x14ac:dyDescent="0.25">
      <c r="A1421">
        <v>25</v>
      </c>
      <c r="B1421" s="1">
        <v>41067</v>
      </c>
      <c r="C1421">
        <v>6</v>
      </c>
      <c r="D1421">
        <v>2012</v>
      </c>
      <c r="E1421" s="2">
        <v>753385.55</v>
      </c>
      <c r="F1421">
        <v>0</v>
      </c>
      <c r="G1421" s="3">
        <v>75.52</v>
      </c>
      <c r="H1421" s="2">
        <v>3.4750000000000001</v>
      </c>
      <c r="I1421">
        <v>214.68735140000001</v>
      </c>
      <c r="J1421" s="3">
        <v>7.28</v>
      </c>
    </row>
    <row r="1422" spans="1:10" x14ac:dyDescent="0.25">
      <c r="A1422">
        <v>25</v>
      </c>
      <c r="B1422" s="1">
        <v>40976</v>
      </c>
      <c r="C1422">
        <v>3</v>
      </c>
      <c r="D1422">
        <v>2012</v>
      </c>
      <c r="E1422" s="2">
        <v>709724.6</v>
      </c>
      <c r="F1422">
        <v>0</v>
      </c>
      <c r="G1422" s="3">
        <v>72.08</v>
      </c>
      <c r="H1422" s="2">
        <v>3.6539999999999999</v>
      </c>
      <c r="I1422">
        <v>214.74335139999999</v>
      </c>
      <c r="J1422" s="3">
        <v>7.28</v>
      </c>
    </row>
    <row r="1423" spans="1:10" x14ac:dyDescent="0.25">
      <c r="A1423">
        <v>25</v>
      </c>
      <c r="B1423" s="1">
        <v>41190</v>
      </c>
      <c r="C1423">
        <v>10</v>
      </c>
      <c r="D1423">
        <v>2012</v>
      </c>
      <c r="E1423" s="2">
        <v>710496.97</v>
      </c>
      <c r="F1423">
        <v>0</v>
      </c>
      <c r="G1423" s="3">
        <v>71.930000000000007</v>
      </c>
      <c r="H1423" s="2">
        <v>3.722</v>
      </c>
      <c r="I1423">
        <v>214.7484595</v>
      </c>
      <c r="J1423" s="3">
        <v>7.28</v>
      </c>
    </row>
    <row r="1424" spans="1:10" x14ac:dyDescent="0.25">
      <c r="A1424">
        <v>25</v>
      </c>
      <c r="B1424" s="1">
        <v>41099</v>
      </c>
      <c r="C1424">
        <v>7</v>
      </c>
      <c r="D1424">
        <v>2012</v>
      </c>
      <c r="E1424" s="2">
        <v>671482.9</v>
      </c>
      <c r="F1424">
        <v>1</v>
      </c>
      <c r="G1424" s="3">
        <v>72.790000000000006</v>
      </c>
      <c r="H1424" s="2">
        <v>3.911</v>
      </c>
      <c r="I1424">
        <v>215.2189573</v>
      </c>
      <c r="J1424" s="3">
        <v>7.28</v>
      </c>
    </row>
    <row r="1425" spans="1:10" x14ac:dyDescent="0.25">
      <c r="A1425">
        <v>25</v>
      </c>
      <c r="B1425" s="1">
        <v>41039</v>
      </c>
      <c r="C1425">
        <v>5</v>
      </c>
      <c r="D1425">
        <v>2012</v>
      </c>
      <c r="E1425" s="2">
        <v>699536.73</v>
      </c>
      <c r="F1425">
        <v>0</v>
      </c>
      <c r="G1425" s="3">
        <v>57.58</v>
      </c>
      <c r="H1425" s="2">
        <v>3.9849999999999999</v>
      </c>
      <c r="I1425">
        <v>215.92588649999999</v>
      </c>
      <c r="J1425" s="3">
        <v>7.2930000000000001</v>
      </c>
    </row>
    <row r="1426" spans="1:10" x14ac:dyDescent="0.25">
      <c r="A1426">
        <v>25</v>
      </c>
      <c r="B1426" s="1">
        <v>41253</v>
      </c>
      <c r="C1426">
        <v>12</v>
      </c>
      <c r="D1426">
        <v>2012</v>
      </c>
      <c r="E1426" s="2">
        <v>697317.41</v>
      </c>
      <c r="F1426">
        <v>0</v>
      </c>
      <c r="G1426" s="3">
        <v>43.74</v>
      </c>
      <c r="H1426" s="2">
        <v>4</v>
      </c>
      <c r="I1426">
        <v>216.11505679999999</v>
      </c>
      <c r="J1426" s="3">
        <v>7.2930000000000001</v>
      </c>
    </row>
    <row r="1427" spans="1:10" x14ac:dyDescent="0.25">
      <c r="A1427">
        <v>26</v>
      </c>
      <c r="B1427" s="1">
        <v>40300</v>
      </c>
      <c r="C1427">
        <v>5</v>
      </c>
      <c r="D1427">
        <v>2010</v>
      </c>
      <c r="E1427" s="2">
        <v>1034119.21</v>
      </c>
      <c r="F1427">
        <v>0</v>
      </c>
      <c r="G1427" s="3">
        <v>9.5500000000000007</v>
      </c>
      <c r="H1427" s="2">
        <v>2.7879999999999998</v>
      </c>
      <c r="I1427">
        <v>131.5279032</v>
      </c>
      <c r="J1427" s="3">
        <v>8.4879999999999995</v>
      </c>
    </row>
    <row r="1428" spans="1:10" x14ac:dyDescent="0.25">
      <c r="A1428">
        <v>26</v>
      </c>
      <c r="B1428" s="1">
        <v>40514</v>
      </c>
      <c r="C1428">
        <v>12</v>
      </c>
      <c r="D1428">
        <v>2010</v>
      </c>
      <c r="E1428" s="2">
        <v>1015684.09</v>
      </c>
      <c r="F1428">
        <v>1</v>
      </c>
      <c r="G1428" s="3">
        <v>18.14</v>
      </c>
      <c r="H1428" s="2">
        <v>2.7709999999999999</v>
      </c>
      <c r="I1428">
        <v>131.58661290000001</v>
      </c>
      <c r="J1428" s="3">
        <v>8.4879999999999995</v>
      </c>
    </row>
    <row r="1429" spans="1:10" x14ac:dyDescent="0.25">
      <c r="A1429">
        <v>26</v>
      </c>
      <c r="B1429" s="1">
        <v>40301</v>
      </c>
      <c r="C1429">
        <v>5</v>
      </c>
      <c r="D1429">
        <v>2010</v>
      </c>
      <c r="E1429" s="2">
        <v>1005669.58</v>
      </c>
      <c r="F1429">
        <v>0</v>
      </c>
      <c r="G1429" s="3">
        <v>28.6</v>
      </c>
      <c r="H1429" s="2">
        <v>2.766</v>
      </c>
      <c r="I1429">
        <v>131.73500000000001</v>
      </c>
      <c r="J1429" s="3">
        <v>8.4879999999999995</v>
      </c>
    </row>
    <row r="1430" spans="1:10" x14ac:dyDescent="0.25">
      <c r="A1430">
        <v>26</v>
      </c>
      <c r="B1430" s="1">
        <v>40515</v>
      </c>
      <c r="C1430">
        <v>12</v>
      </c>
      <c r="D1430">
        <v>2010</v>
      </c>
      <c r="E1430" s="2">
        <v>963382.09</v>
      </c>
      <c r="F1430">
        <v>0</v>
      </c>
      <c r="G1430" s="3">
        <v>31.1</v>
      </c>
      <c r="H1430" s="2">
        <v>2.8050000000000002</v>
      </c>
      <c r="I1430">
        <v>131.78399999999999</v>
      </c>
      <c r="J1430" s="3">
        <v>8.4879999999999995</v>
      </c>
    </row>
    <row r="1431" spans="1:10" x14ac:dyDescent="0.25">
      <c r="A1431">
        <v>26</v>
      </c>
      <c r="B1431" s="1">
        <v>40213</v>
      </c>
      <c r="C1431">
        <v>2</v>
      </c>
      <c r="D1431">
        <v>2010</v>
      </c>
      <c r="E1431" s="2">
        <v>1029849.2</v>
      </c>
      <c r="F1431">
        <v>0</v>
      </c>
      <c r="G1431" s="3">
        <v>36.53</v>
      </c>
      <c r="H1431" s="2">
        <v>2.8260000000000001</v>
      </c>
      <c r="I1431">
        <v>131.9019677</v>
      </c>
      <c r="J1431" s="3">
        <v>8.5120000000000005</v>
      </c>
    </row>
    <row r="1432" spans="1:10" x14ac:dyDescent="0.25">
      <c r="A1432">
        <v>26</v>
      </c>
      <c r="B1432" s="1">
        <v>40425</v>
      </c>
      <c r="C1432">
        <v>9</v>
      </c>
      <c r="D1432">
        <v>2010</v>
      </c>
      <c r="E1432" s="2">
        <v>1022293.81</v>
      </c>
      <c r="F1432">
        <v>0</v>
      </c>
      <c r="G1432" s="3">
        <v>50.13</v>
      </c>
      <c r="H1432" s="2">
        <v>2.8490000000000002</v>
      </c>
      <c r="I1432">
        <v>131.94080650000001</v>
      </c>
      <c r="J1432" s="3">
        <v>8.5120000000000005</v>
      </c>
    </row>
    <row r="1433" spans="1:10" x14ac:dyDescent="0.25">
      <c r="A1433">
        <v>26</v>
      </c>
      <c r="B1433" s="1">
        <v>40364</v>
      </c>
      <c r="C1433">
        <v>7</v>
      </c>
      <c r="D1433">
        <v>2010</v>
      </c>
      <c r="E1433" s="2">
        <v>1074479.73</v>
      </c>
      <c r="F1433">
        <v>0</v>
      </c>
      <c r="G1433" s="3">
        <v>54.72</v>
      </c>
      <c r="H1433" s="2">
        <v>2.9809999999999999</v>
      </c>
      <c r="I1433">
        <v>132.1062</v>
      </c>
      <c r="J1433" s="3">
        <v>8.5120000000000005</v>
      </c>
    </row>
    <row r="1434" spans="1:10" x14ac:dyDescent="0.25">
      <c r="A1434">
        <v>26</v>
      </c>
      <c r="B1434" s="1">
        <v>40274</v>
      </c>
      <c r="C1434">
        <v>4</v>
      </c>
      <c r="D1434">
        <v>2010</v>
      </c>
      <c r="E1434" s="2">
        <v>1003202.66</v>
      </c>
      <c r="F1434">
        <v>0</v>
      </c>
      <c r="G1434" s="3">
        <v>58.46</v>
      </c>
      <c r="H1434" s="2">
        <v>2.8570000000000002</v>
      </c>
      <c r="I1434">
        <v>132.36483870000001</v>
      </c>
      <c r="J1434" s="3">
        <v>8.5120000000000005</v>
      </c>
    </row>
    <row r="1435" spans="1:10" x14ac:dyDescent="0.25">
      <c r="A1435">
        <v>26</v>
      </c>
      <c r="B1435" s="1">
        <v>40488</v>
      </c>
      <c r="C1435">
        <v>11</v>
      </c>
      <c r="D1435">
        <v>2010</v>
      </c>
      <c r="E1435" s="2">
        <v>1073862.5900000001</v>
      </c>
      <c r="F1435">
        <v>0</v>
      </c>
      <c r="G1435" s="3">
        <v>51.62</v>
      </c>
      <c r="H1435" s="2">
        <v>2.83</v>
      </c>
      <c r="I1435">
        <v>132.43574190000001</v>
      </c>
      <c r="J1435" s="3">
        <v>8.5120000000000005</v>
      </c>
    </row>
    <row r="1436" spans="1:10" x14ac:dyDescent="0.25">
      <c r="A1436">
        <v>26</v>
      </c>
      <c r="B1436" s="1">
        <v>40216</v>
      </c>
      <c r="C1436">
        <v>2</v>
      </c>
      <c r="D1436">
        <v>2010</v>
      </c>
      <c r="E1436" s="2">
        <v>1078455.48</v>
      </c>
      <c r="F1436">
        <v>0</v>
      </c>
      <c r="G1436" s="3">
        <v>58.9</v>
      </c>
      <c r="H1436" s="2">
        <v>2.8149999999999999</v>
      </c>
      <c r="I1436">
        <v>132.5218667</v>
      </c>
      <c r="J1436" s="3">
        <v>8.4450000000000003</v>
      </c>
    </row>
    <row r="1437" spans="1:10" x14ac:dyDescent="0.25">
      <c r="A1437">
        <v>26</v>
      </c>
      <c r="B1437" s="1">
        <v>40428</v>
      </c>
      <c r="C1437">
        <v>9</v>
      </c>
      <c r="D1437">
        <v>2010</v>
      </c>
      <c r="E1437" s="2">
        <v>1122356.53</v>
      </c>
      <c r="F1437">
        <v>0</v>
      </c>
      <c r="G1437" s="3">
        <v>71.08</v>
      </c>
      <c r="H1437" s="2">
        <v>2.806</v>
      </c>
      <c r="I1437">
        <v>132.54613330000001</v>
      </c>
      <c r="J1437" s="3">
        <v>8.4450000000000003</v>
      </c>
    </row>
    <row r="1438" spans="1:10" x14ac:dyDescent="0.25">
      <c r="A1438">
        <v>26</v>
      </c>
      <c r="B1438" s="1">
        <v>40337</v>
      </c>
      <c r="C1438">
        <v>6</v>
      </c>
      <c r="D1438">
        <v>2010</v>
      </c>
      <c r="E1438" s="2">
        <v>1125329.77</v>
      </c>
      <c r="F1438">
        <v>0</v>
      </c>
      <c r="G1438" s="3">
        <v>62.93</v>
      </c>
      <c r="H1438" s="2">
        <v>2.7919999999999998</v>
      </c>
      <c r="I1438">
        <v>132.6141935</v>
      </c>
      <c r="J1438" s="3">
        <v>8.4450000000000003</v>
      </c>
    </row>
    <row r="1439" spans="1:10" x14ac:dyDescent="0.25">
      <c r="A1439">
        <v>26</v>
      </c>
      <c r="B1439" s="1">
        <v>40246</v>
      </c>
      <c r="C1439">
        <v>3</v>
      </c>
      <c r="D1439">
        <v>2010</v>
      </c>
      <c r="E1439" s="2">
        <v>1037549.71</v>
      </c>
      <c r="F1439">
        <v>0</v>
      </c>
      <c r="G1439" s="3">
        <v>66.930000000000007</v>
      </c>
      <c r="H1439" s="2">
        <v>2.7349999999999999</v>
      </c>
      <c r="I1439">
        <v>132.72483869999999</v>
      </c>
      <c r="J1439" s="3">
        <v>8.4450000000000003</v>
      </c>
    </row>
    <row r="1440" spans="1:10" x14ac:dyDescent="0.25">
      <c r="A1440">
        <v>26</v>
      </c>
      <c r="B1440" s="1">
        <v>40460</v>
      </c>
      <c r="C1440">
        <v>10</v>
      </c>
      <c r="D1440">
        <v>2010</v>
      </c>
      <c r="E1440" s="2">
        <v>1042226.3</v>
      </c>
      <c r="F1440">
        <v>1</v>
      </c>
      <c r="G1440" s="3">
        <v>54.82</v>
      </c>
      <c r="H1440" s="2">
        <v>2.7170000000000001</v>
      </c>
      <c r="I1440">
        <v>132.75645159999999</v>
      </c>
      <c r="J1440" s="3">
        <v>8.4450000000000003</v>
      </c>
    </row>
    <row r="1441" spans="1:10" x14ac:dyDescent="0.25">
      <c r="A1441">
        <v>26</v>
      </c>
      <c r="B1441" s="1">
        <v>40188</v>
      </c>
      <c r="C1441">
        <v>1</v>
      </c>
      <c r="D1441">
        <v>2010</v>
      </c>
      <c r="E1441" s="2">
        <v>923221.52</v>
      </c>
      <c r="F1441">
        <v>0</v>
      </c>
      <c r="G1441" s="3">
        <v>57.8</v>
      </c>
      <c r="H1441" s="2">
        <v>2.7170000000000001</v>
      </c>
      <c r="I1441">
        <v>132.7568</v>
      </c>
      <c r="J1441" s="3">
        <v>8.1489999999999991</v>
      </c>
    </row>
    <row r="1442" spans="1:10" x14ac:dyDescent="0.25">
      <c r="A1442">
        <v>26</v>
      </c>
      <c r="B1442" s="1">
        <v>40400</v>
      </c>
      <c r="C1442">
        <v>8</v>
      </c>
      <c r="D1442">
        <v>2010</v>
      </c>
      <c r="E1442" s="2">
        <v>1001069.52</v>
      </c>
      <c r="F1442">
        <v>0</v>
      </c>
      <c r="G1442" s="3">
        <v>46.81</v>
      </c>
      <c r="H1442" s="2">
        <v>2.7759999999999998</v>
      </c>
      <c r="I1442">
        <v>132.75166669999999</v>
      </c>
      <c r="J1442" s="3">
        <v>8.1489999999999991</v>
      </c>
    </row>
    <row r="1443" spans="1:10" x14ac:dyDescent="0.25">
      <c r="A1443">
        <v>26</v>
      </c>
      <c r="B1443" s="1">
        <v>40309</v>
      </c>
      <c r="C1443">
        <v>5</v>
      </c>
      <c r="D1443">
        <v>2010</v>
      </c>
      <c r="E1443" s="2">
        <v>970224.51</v>
      </c>
      <c r="F1443">
        <v>0</v>
      </c>
      <c r="G1443" s="3">
        <v>30.51</v>
      </c>
      <c r="H1443" s="2">
        <v>2.9380000000000002</v>
      </c>
      <c r="I1443">
        <v>132.92458060000001</v>
      </c>
      <c r="J1443" s="3">
        <v>8.1489999999999991</v>
      </c>
    </row>
    <row r="1444" spans="1:10" x14ac:dyDescent="0.25">
      <c r="A1444">
        <v>26</v>
      </c>
      <c r="B1444" s="1">
        <v>40523</v>
      </c>
      <c r="C1444">
        <v>12</v>
      </c>
      <c r="D1444">
        <v>2010</v>
      </c>
      <c r="E1444" s="2">
        <v>971193.01</v>
      </c>
      <c r="F1444">
        <v>0</v>
      </c>
      <c r="G1444" s="3">
        <v>37.51</v>
      </c>
      <c r="H1444" s="2">
        <v>2.9609999999999999</v>
      </c>
      <c r="I1444">
        <v>132.97832260000001</v>
      </c>
      <c r="J1444" s="3">
        <v>8.1489999999999991</v>
      </c>
    </row>
    <row r="1445" spans="1:10" x14ac:dyDescent="0.25">
      <c r="A1445">
        <v>26</v>
      </c>
      <c r="B1445" s="1">
        <v>40249</v>
      </c>
      <c r="C1445">
        <v>3</v>
      </c>
      <c r="D1445">
        <v>2010</v>
      </c>
      <c r="E1445" s="2">
        <v>1016143.64</v>
      </c>
      <c r="F1445">
        <v>0</v>
      </c>
      <c r="G1445" s="3">
        <v>27.73</v>
      </c>
      <c r="H1445" s="2">
        <v>3.0649999999999999</v>
      </c>
      <c r="I1445">
        <v>132.75666670000001</v>
      </c>
      <c r="J1445" s="3">
        <v>8.1489999999999991</v>
      </c>
    </row>
    <row r="1446" spans="1:10" x14ac:dyDescent="0.25">
      <c r="A1446">
        <v>26</v>
      </c>
      <c r="B1446" s="1">
        <v>40463</v>
      </c>
      <c r="C1446">
        <v>10</v>
      </c>
      <c r="D1446">
        <v>2010</v>
      </c>
      <c r="E1446" s="2">
        <v>1149612.04</v>
      </c>
      <c r="F1446">
        <v>0</v>
      </c>
      <c r="G1446" s="3">
        <v>16.600000000000001</v>
      </c>
      <c r="H1446" s="2">
        <v>3.1320000000000001</v>
      </c>
      <c r="I1446">
        <v>132.6764</v>
      </c>
      <c r="J1446" s="3">
        <v>8.1489999999999991</v>
      </c>
    </row>
    <row r="1447" spans="1:10" x14ac:dyDescent="0.25">
      <c r="A1447">
        <v>26</v>
      </c>
      <c r="B1447" s="1">
        <v>40725</v>
      </c>
      <c r="C1447">
        <v>7</v>
      </c>
      <c r="D1447">
        <v>2011</v>
      </c>
      <c r="E1447" s="2">
        <v>938149.21</v>
      </c>
      <c r="F1447">
        <v>0</v>
      </c>
      <c r="G1447" s="3">
        <v>21.13</v>
      </c>
      <c r="H1447" s="2">
        <v>3.1930000000000001</v>
      </c>
      <c r="I1447">
        <v>132.88232260000001</v>
      </c>
      <c r="J1447" s="3">
        <v>7.907</v>
      </c>
    </row>
    <row r="1448" spans="1:10" x14ac:dyDescent="0.25">
      <c r="A1448">
        <v>26</v>
      </c>
      <c r="B1448" s="1">
        <v>40635</v>
      </c>
      <c r="C1448">
        <v>4</v>
      </c>
      <c r="D1448">
        <v>2011</v>
      </c>
      <c r="E1448" s="2">
        <v>911807.02</v>
      </c>
      <c r="F1448">
        <v>0</v>
      </c>
      <c r="G1448" s="3">
        <v>11.17</v>
      </c>
      <c r="H1448" s="2">
        <v>3.24</v>
      </c>
      <c r="I1448">
        <v>133.18341939999999</v>
      </c>
      <c r="J1448" s="3">
        <v>7.907</v>
      </c>
    </row>
    <row r="1449" spans="1:10" x14ac:dyDescent="0.25">
      <c r="A1449">
        <v>26</v>
      </c>
      <c r="B1449" s="1">
        <v>40849</v>
      </c>
      <c r="C1449">
        <v>11</v>
      </c>
      <c r="D1449">
        <v>2011</v>
      </c>
      <c r="E1449" s="2">
        <v>1010711.08</v>
      </c>
      <c r="F1449">
        <v>1</v>
      </c>
      <c r="G1449" s="3">
        <v>15.12</v>
      </c>
      <c r="H1449" s="2">
        <v>3.2549999999999999</v>
      </c>
      <c r="I1449">
        <v>133.26087100000001</v>
      </c>
      <c r="J1449" s="3">
        <v>7.907</v>
      </c>
    </row>
    <row r="1450" spans="1:10" x14ac:dyDescent="0.25">
      <c r="A1450">
        <v>26</v>
      </c>
      <c r="B1450" s="1">
        <v>40636</v>
      </c>
      <c r="C1450">
        <v>4</v>
      </c>
      <c r="D1450">
        <v>2011</v>
      </c>
      <c r="E1450" s="2">
        <v>945643.17</v>
      </c>
      <c r="F1450">
        <v>0</v>
      </c>
      <c r="G1450" s="3">
        <v>14.31</v>
      </c>
      <c r="H1450" s="2">
        <v>3.4369999999999998</v>
      </c>
      <c r="I1450">
        <v>133.61414289999999</v>
      </c>
      <c r="J1450" s="3">
        <v>7.907</v>
      </c>
    </row>
    <row r="1451" spans="1:10" x14ac:dyDescent="0.25">
      <c r="A1451">
        <v>26</v>
      </c>
      <c r="B1451" s="1">
        <v>40850</v>
      </c>
      <c r="C1451">
        <v>11</v>
      </c>
      <c r="D1451">
        <v>2011</v>
      </c>
      <c r="E1451" s="2">
        <v>946614.55</v>
      </c>
      <c r="F1451">
        <v>0</v>
      </c>
      <c r="G1451" s="3">
        <v>28.13</v>
      </c>
      <c r="H1451" s="2">
        <v>3.6</v>
      </c>
      <c r="I1451">
        <v>133.7361429</v>
      </c>
      <c r="J1451" s="3">
        <v>7.907</v>
      </c>
    </row>
    <row r="1452" spans="1:10" x14ac:dyDescent="0.25">
      <c r="A1452">
        <v>26</v>
      </c>
      <c r="B1452" s="1">
        <v>40547</v>
      </c>
      <c r="C1452">
        <v>1</v>
      </c>
      <c r="D1452">
        <v>2011</v>
      </c>
      <c r="E1452" s="2">
        <v>849231.61</v>
      </c>
      <c r="F1452">
        <v>0</v>
      </c>
      <c r="G1452" s="3">
        <v>22.99</v>
      </c>
      <c r="H1452" s="2">
        <v>3.6379999999999999</v>
      </c>
      <c r="I1452">
        <v>134.06825810000001</v>
      </c>
      <c r="J1452" s="3">
        <v>7.8179999999999996</v>
      </c>
    </row>
    <row r="1453" spans="1:10" x14ac:dyDescent="0.25">
      <c r="A1453">
        <v>26</v>
      </c>
      <c r="B1453" s="1">
        <v>40759</v>
      </c>
      <c r="C1453">
        <v>8</v>
      </c>
      <c r="D1453">
        <v>2011</v>
      </c>
      <c r="E1453" s="2">
        <v>985229.81</v>
      </c>
      <c r="F1453">
        <v>0</v>
      </c>
      <c r="G1453" s="3">
        <v>29.09</v>
      </c>
      <c r="H1453" s="2">
        <v>3.72</v>
      </c>
      <c r="I1453">
        <v>134.17777419999999</v>
      </c>
      <c r="J1453" s="3">
        <v>7.8179999999999996</v>
      </c>
    </row>
    <row r="1454" spans="1:10" x14ac:dyDescent="0.25">
      <c r="A1454">
        <v>26</v>
      </c>
      <c r="B1454" s="1">
        <v>40699</v>
      </c>
      <c r="C1454">
        <v>6</v>
      </c>
      <c r="D1454">
        <v>2011</v>
      </c>
      <c r="E1454" s="2">
        <v>1024778.23</v>
      </c>
      <c r="F1454">
        <v>0</v>
      </c>
      <c r="G1454" s="3">
        <v>45</v>
      </c>
      <c r="H1454" s="2">
        <v>4.0780000000000003</v>
      </c>
      <c r="I1454">
        <v>134.51436670000001</v>
      </c>
      <c r="J1454" s="3">
        <v>7.8179999999999996</v>
      </c>
    </row>
    <row r="1455" spans="1:10" x14ac:dyDescent="0.25">
      <c r="A1455">
        <v>26</v>
      </c>
      <c r="B1455" s="1">
        <v>40608</v>
      </c>
      <c r="C1455">
        <v>3</v>
      </c>
      <c r="D1455">
        <v>2011</v>
      </c>
      <c r="E1455" s="2">
        <v>1054454.3999999999</v>
      </c>
      <c r="F1455">
        <v>0</v>
      </c>
      <c r="G1455" s="3">
        <v>60.49</v>
      </c>
      <c r="H1455" s="2">
        <v>3.9729999999999999</v>
      </c>
      <c r="I1455">
        <v>134.85516129999999</v>
      </c>
      <c r="J1455" s="3">
        <v>7.8179999999999996</v>
      </c>
    </row>
    <row r="1456" spans="1:10" x14ac:dyDescent="0.25">
      <c r="A1456">
        <v>26</v>
      </c>
      <c r="B1456" s="1">
        <v>40822</v>
      </c>
      <c r="C1456">
        <v>10</v>
      </c>
      <c r="D1456">
        <v>2011</v>
      </c>
      <c r="E1456" s="2">
        <v>1094058.68</v>
      </c>
      <c r="F1456">
        <v>0</v>
      </c>
      <c r="G1456" s="3">
        <v>59.85</v>
      </c>
      <c r="H1456" s="2">
        <v>3.9239999999999999</v>
      </c>
      <c r="I1456">
        <v>134.94254839999999</v>
      </c>
      <c r="J1456" s="3">
        <v>7.8179999999999996</v>
      </c>
    </row>
    <row r="1457" spans="1:10" x14ac:dyDescent="0.25">
      <c r="A1457">
        <v>26</v>
      </c>
      <c r="B1457" s="1">
        <v>40550</v>
      </c>
      <c r="C1457">
        <v>1</v>
      </c>
      <c r="D1457">
        <v>2011</v>
      </c>
      <c r="E1457" s="2">
        <v>1070119.0900000001</v>
      </c>
      <c r="F1457">
        <v>0</v>
      </c>
      <c r="G1457" s="3">
        <v>59.89</v>
      </c>
      <c r="H1457" s="2">
        <v>3.8149999999999999</v>
      </c>
      <c r="I1457">
        <v>135.4468</v>
      </c>
      <c r="J1457" s="3">
        <v>7.7670000000000003</v>
      </c>
    </row>
    <row r="1458" spans="1:10" x14ac:dyDescent="0.25">
      <c r="A1458">
        <v>26</v>
      </c>
      <c r="B1458" s="1">
        <v>40762</v>
      </c>
      <c r="C1458">
        <v>8</v>
      </c>
      <c r="D1458">
        <v>2011</v>
      </c>
      <c r="E1458" s="2">
        <v>1133807.03</v>
      </c>
      <c r="F1458">
        <v>0</v>
      </c>
      <c r="G1458" s="3">
        <v>63.34</v>
      </c>
      <c r="H1458" s="2">
        <v>3.7839999999999998</v>
      </c>
      <c r="I1458">
        <v>135.62833330000001</v>
      </c>
      <c r="J1458" s="3">
        <v>7.7670000000000003</v>
      </c>
    </row>
    <row r="1459" spans="1:10" x14ac:dyDescent="0.25">
      <c r="A1459">
        <v>26</v>
      </c>
      <c r="B1459" s="1">
        <v>40671</v>
      </c>
      <c r="C1459">
        <v>5</v>
      </c>
      <c r="D1459">
        <v>2011</v>
      </c>
      <c r="E1459" s="2">
        <v>1107552.43</v>
      </c>
      <c r="F1459">
        <v>0</v>
      </c>
      <c r="G1459" s="3">
        <v>63.16</v>
      </c>
      <c r="H1459" s="2">
        <v>3.903</v>
      </c>
      <c r="I1459">
        <v>136.05403229999999</v>
      </c>
      <c r="J1459" s="3">
        <v>7.7670000000000003</v>
      </c>
    </row>
    <row r="1460" spans="1:10" x14ac:dyDescent="0.25">
      <c r="A1460">
        <v>26</v>
      </c>
      <c r="B1460" s="1">
        <v>40885</v>
      </c>
      <c r="C1460">
        <v>12</v>
      </c>
      <c r="D1460">
        <v>2011</v>
      </c>
      <c r="E1460" s="2">
        <v>1087644.5</v>
      </c>
      <c r="F1460">
        <v>0</v>
      </c>
      <c r="G1460" s="3">
        <v>62.99</v>
      </c>
      <c r="H1460" s="2">
        <v>3.88</v>
      </c>
      <c r="I1460">
        <v>136.14412899999999</v>
      </c>
      <c r="J1460" s="3">
        <v>7.7670000000000003</v>
      </c>
    </row>
    <row r="1461" spans="1:10" x14ac:dyDescent="0.25">
      <c r="A1461">
        <v>26</v>
      </c>
      <c r="B1461" s="1">
        <v>40583</v>
      </c>
      <c r="C1461">
        <v>2</v>
      </c>
      <c r="D1461">
        <v>2011</v>
      </c>
      <c r="E1461" s="2">
        <v>1040143.14</v>
      </c>
      <c r="F1461">
        <v>0</v>
      </c>
      <c r="G1461" s="3">
        <v>59.67</v>
      </c>
      <c r="H1461" s="2">
        <v>3.7839999999999998</v>
      </c>
      <c r="I1461">
        <v>136.24409679999999</v>
      </c>
      <c r="J1461" s="3">
        <v>7.7670000000000003</v>
      </c>
    </row>
    <row r="1462" spans="1:10" x14ac:dyDescent="0.25">
      <c r="A1462">
        <v>26</v>
      </c>
      <c r="B1462" s="1">
        <v>40795</v>
      </c>
      <c r="C1462">
        <v>9</v>
      </c>
      <c r="D1462">
        <v>2011</v>
      </c>
      <c r="E1462" s="2">
        <v>1069710.97</v>
      </c>
      <c r="F1462">
        <v>1</v>
      </c>
      <c r="G1462" s="3">
        <v>60.98</v>
      </c>
      <c r="H1462" s="2">
        <v>3.8090000000000002</v>
      </c>
      <c r="I1462">
        <v>136.27458060000001</v>
      </c>
      <c r="J1462" s="3">
        <v>7.7670000000000003</v>
      </c>
    </row>
    <row r="1463" spans="1:10" x14ac:dyDescent="0.25">
      <c r="A1463">
        <v>26</v>
      </c>
      <c r="B1463" s="1">
        <v>40734</v>
      </c>
      <c r="C1463">
        <v>7</v>
      </c>
      <c r="D1463">
        <v>2011</v>
      </c>
      <c r="E1463" s="2">
        <v>1130022.99</v>
      </c>
      <c r="F1463">
        <v>0</v>
      </c>
      <c r="G1463" s="3">
        <v>46.84</v>
      </c>
      <c r="H1463" s="2">
        <v>3.633</v>
      </c>
      <c r="I1463">
        <v>136.47200000000001</v>
      </c>
      <c r="J1463" s="3">
        <v>7.5979999999999999</v>
      </c>
    </row>
    <row r="1464" spans="1:10" x14ac:dyDescent="0.25">
      <c r="A1464">
        <v>26</v>
      </c>
      <c r="B1464" s="1">
        <v>40644</v>
      </c>
      <c r="C1464">
        <v>4</v>
      </c>
      <c r="D1464">
        <v>2011</v>
      </c>
      <c r="E1464" s="2">
        <v>988950.75</v>
      </c>
      <c r="F1464">
        <v>0</v>
      </c>
      <c r="G1464" s="3">
        <v>31.7</v>
      </c>
      <c r="H1464" s="2">
        <v>3.5859999999999999</v>
      </c>
      <c r="I1464">
        <v>136.47512900000001</v>
      </c>
      <c r="J1464" s="3">
        <v>7.5979999999999999</v>
      </c>
    </row>
    <row r="1465" spans="1:10" x14ac:dyDescent="0.25">
      <c r="A1465">
        <v>26</v>
      </c>
      <c r="B1465" s="1">
        <v>40858</v>
      </c>
      <c r="C1465">
        <v>11</v>
      </c>
      <c r="D1465">
        <v>2011</v>
      </c>
      <c r="E1465" s="2">
        <v>1077640.1299999999</v>
      </c>
      <c r="F1465">
        <v>0</v>
      </c>
      <c r="G1465" s="3">
        <v>40.08</v>
      </c>
      <c r="H1465" s="2">
        <v>3.57</v>
      </c>
      <c r="I1465">
        <v>136.46180649999999</v>
      </c>
      <c r="J1465" s="3">
        <v>7.5979999999999999</v>
      </c>
    </row>
    <row r="1466" spans="1:10" x14ac:dyDescent="0.25">
      <c r="A1466">
        <v>26</v>
      </c>
      <c r="B1466" s="1">
        <v>40586</v>
      </c>
      <c r="C1466">
        <v>2</v>
      </c>
      <c r="D1466">
        <v>2011</v>
      </c>
      <c r="E1466" s="2">
        <v>1012498.49</v>
      </c>
      <c r="F1466">
        <v>0</v>
      </c>
      <c r="G1466" s="3">
        <v>36.74</v>
      </c>
      <c r="H1466" s="2">
        <v>3.5009999999999999</v>
      </c>
      <c r="I1466">
        <v>136.49093329999999</v>
      </c>
      <c r="J1466" s="3">
        <v>7.5979999999999999</v>
      </c>
    </row>
    <row r="1467" spans="1:10" x14ac:dyDescent="0.25">
      <c r="A1467">
        <v>26</v>
      </c>
      <c r="B1467" s="1">
        <v>40798</v>
      </c>
      <c r="C1467">
        <v>9</v>
      </c>
      <c r="D1467">
        <v>2011</v>
      </c>
      <c r="E1467" s="2">
        <v>1148987.46</v>
      </c>
      <c r="F1467">
        <v>0</v>
      </c>
      <c r="G1467" s="3">
        <v>34.24</v>
      </c>
      <c r="H1467" s="2">
        <v>3.47</v>
      </c>
      <c r="I1467">
        <v>136.50306670000001</v>
      </c>
      <c r="J1467" s="3">
        <v>7.5979999999999999</v>
      </c>
    </row>
    <row r="1468" spans="1:10" x14ac:dyDescent="0.25">
      <c r="A1468">
        <v>26</v>
      </c>
      <c r="B1468" s="1">
        <v>41061</v>
      </c>
      <c r="C1468">
        <v>6</v>
      </c>
      <c r="D1468">
        <v>2012</v>
      </c>
      <c r="E1468" s="2">
        <v>971557.62</v>
      </c>
      <c r="F1468">
        <v>0</v>
      </c>
      <c r="G1468" s="3">
        <v>22.94</v>
      </c>
      <c r="H1468" s="2">
        <v>3.4390000000000001</v>
      </c>
      <c r="I1468">
        <v>136.69812899999999</v>
      </c>
      <c r="J1468" s="3">
        <v>7.4669999999999996</v>
      </c>
    </row>
    <row r="1469" spans="1:10" x14ac:dyDescent="0.25">
      <c r="A1469">
        <v>26</v>
      </c>
      <c r="B1469" s="1">
        <v>40970</v>
      </c>
      <c r="C1469">
        <v>3</v>
      </c>
      <c r="D1469">
        <v>2012</v>
      </c>
      <c r="E1469" s="2">
        <v>939158.25</v>
      </c>
      <c r="F1469">
        <v>0</v>
      </c>
      <c r="G1469" s="3">
        <v>25.24</v>
      </c>
      <c r="H1469" s="2">
        <v>3.633</v>
      </c>
      <c r="I1469">
        <v>137.06325810000001</v>
      </c>
      <c r="J1469" s="3">
        <v>7.4669999999999996</v>
      </c>
    </row>
    <row r="1470" spans="1:10" x14ac:dyDescent="0.25">
      <c r="A1470">
        <v>26</v>
      </c>
      <c r="B1470" s="1">
        <v>41184</v>
      </c>
      <c r="C1470">
        <v>10</v>
      </c>
      <c r="D1470">
        <v>2012</v>
      </c>
      <c r="E1470" s="2">
        <v>1081005.6399999999</v>
      </c>
      <c r="F1470">
        <v>1</v>
      </c>
      <c r="G1470" s="3">
        <v>23.89</v>
      </c>
      <c r="H1470" s="2">
        <v>3.6549999999999998</v>
      </c>
      <c r="I1470">
        <v>137.1666774</v>
      </c>
      <c r="J1470" s="3">
        <v>7.4669999999999996</v>
      </c>
    </row>
    <row r="1471" spans="1:10" x14ac:dyDescent="0.25">
      <c r="A1471">
        <v>26</v>
      </c>
      <c r="B1471" s="1">
        <v>40942</v>
      </c>
      <c r="C1471">
        <v>2</v>
      </c>
      <c r="D1471">
        <v>2012</v>
      </c>
      <c r="E1471" s="2">
        <v>955641.74</v>
      </c>
      <c r="F1471">
        <v>0</v>
      </c>
      <c r="G1471" s="3">
        <v>22.49</v>
      </c>
      <c r="H1471" s="2">
        <v>3.827</v>
      </c>
      <c r="I1471">
        <v>137.42389660000001</v>
      </c>
      <c r="J1471" s="3">
        <v>7.4669999999999996</v>
      </c>
    </row>
    <row r="1472" spans="1:10" x14ac:dyDescent="0.25">
      <c r="A1472">
        <v>26</v>
      </c>
      <c r="B1472" s="1">
        <v>41155</v>
      </c>
      <c r="C1472">
        <v>9</v>
      </c>
      <c r="D1472">
        <v>2012</v>
      </c>
      <c r="E1472" s="2">
        <v>1028569.01</v>
      </c>
      <c r="F1472">
        <v>0</v>
      </c>
      <c r="G1472" s="3">
        <v>29.03</v>
      </c>
      <c r="H1472" s="2">
        <v>3.8759999999999999</v>
      </c>
      <c r="I1472">
        <v>137.50668970000001</v>
      </c>
      <c r="J1472" s="3">
        <v>7.4669999999999996</v>
      </c>
    </row>
    <row r="1473" spans="1:10" x14ac:dyDescent="0.25">
      <c r="A1473">
        <v>26</v>
      </c>
      <c r="B1473" s="1">
        <v>41064</v>
      </c>
      <c r="C1473">
        <v>6</v>
      </c>
      <c r="D1473">
        <v>2012</v>
      </c>
      <c r="E1473" s="2">
        <v>1116829.23</v>
      </c>
      <c r="F1473">
        <v>0</v>
      </c>
      <c r="G1473" s="3">
        <v>33.35</v>
      </c>
      <c r="H1473" s="2">
        <v>3.9569999999999999</v>
      </c>
      <c r="I1473">
        <v>137.79709679999999</v>
      </c>
      <c r="J1473" s="3">
        <v>7.4889999999999999</v>
      </c>
    </row>
    <row r="1474" spans="1:10" x14ac:dyDescent="0.25">
      <c r="A1474">
        <v>26</v>
      </c>
      <c r="B1474" s="1">
        <v>41004</v>
      </c>
      <c r="C1474">
        <v>4</v>
      </c>
      <c r="D1474">
        <v>2012</v>
      </c>
      <c r="E1474" s="2">
        <v>946573.29</v>
      </c>
      <c r="F1474">
        <v>0</v>
      </c>
      <c r="G1474" s="3">
        <v>40.29</v>
      </c>
      <c r="H1474" s="2">
        <v>3.9910000000000001</v>
      </c>
      <c r="I1474">
        <v>138.03319999999999</v>
      </c>
      <c r="J1474" s="3">
        <v>7.4889999999999999</v>
      </c>
    </row>
    <row r="1475" spans="1:10" x14ac:dyDescent="0.25">
      <c r="A1475">
        <v>26</v>
      </c>
      <c r="B1475" s="1">
        <v>41218</v>
      </c>
      <c r="C1475">
        <v>11</v>
      </c>
      <c r="D1475">
        <v>2012</v>
      </c>
      <c r="E1475" s="2">
        <v>1062548.73</v>
      </c>
      <c r="F1475">
        <v>0</v>
      </c>
      <c r="G1475" s="3">
        <v>47.11</v>
      </c>
      <c r="H1475" s="2">
        <v>3.9470000000000001</v>
      </c>
      <c r="I1475">
        <v>138.08826669999999</v>
      </c>
      <c r="J1475" s="3">
        <v>7.4889999999999999</v>
      </c>
    </row>
    <row r="1476" spans="1:10" x14ac:dyDescent="0.25">
      <c r="A1476">
        <v>26</v>
      </c>
      <c r="B1476" s="1">
        <v>40914</v>
      </c>
      <c r="C1476">
        <v>1</v>
      </c>
      <c r="D1476">
        <v>2012</v>
      </c>
      <c r="E1476" s="2">
        <v>1015853.03</v>
      </c>
      <c r="F1476">
        <v>0</v>
      </c>
      <c r="G1476" s="3">
        <v>58.51</v>
      </c>
      <c r="H1476" s="2">
        <v>3.798</v>
      </c>
      <c r="I1476">
        <v>138.11380650000001</v>
      </c>
      <c r="J1476" s="3">
        <v>7.4889999999999999</v>
      </c>
    </row>
    <row r="1477" spans="1:10" x14ac:dyDescent="0.25">
      <c r="A1477">
        <v>26</v>
      </c>
      <c r="B1477" s="1">
        <v>41127</v>
      </c>
      <c r="C1477">
        <v>8</v>
      </c>
      <c r="D1477">
        <v>2012</v>
      </c>
      <c r="E1477" s="2">
        <v>1106176.83</v>
      </c>
      <c r="F1477">
        <v>0</v>
      </c>
      <c r="G1477" s="3">
        <v>49.43</v>
      </c>
      <c r="H1477" s="2">
        <v>3.746</v>
      </c>
      <c r="I1477">
        <v>138.11741939999999</v>
      </c>
      <c r="J1477" s="3">
        <v>7.4889999999999999</v>
      </c>
    </row>
    <row r="1478" spans="1:10" x14ac:dyDescent="0.25">
      <c r="A1478">
        <v>26</v>
      </c>
      <c r="B1478" s="1">
        <v>41067</v>
      </c>
      <c r="C1478">
        <v>6</v>
      </c>
      <c r="D1478">
        <v>2012</v>
      </c>
      <c r="E1478" s="2">
        <v>1180470.8</v>
      </c>
      <c r="F1478">
        <v>0</v>
      </c>
      <c r="G1478" s="3">
        <v>64.94</v>
      </c>
      <c r="H1478" s="2">
        <v>3.5379999999999998</v>
      </c>
      <c r="I1478">
        <v>138.22963329999999</v>
      </c>
      <c r="J1478" s="3">
        <v>7.4050000000000002</v>
      </c>
    </row>
    <row r="1479" spans="1:10" x14ac:dyDescent="0.25">
      <c r="A1479">
        <v>26</v>
      </c>
      <c r="B1479" s="1">
        <v>40976</v>
      </c>
      <c r="C1479">
        <v>3</v>
      </c>
      <c r="D1479">
        <v>2012</v>
      </c>
      <c r="E1479" s="2">
        <v>1090915.0900000001</v>
      </c>
      <c r="F1479">
        <v>0</v>
      </c>
      <c r="G1479" s="3">
        <v>65.599999999999994</v>
      </c>
      <c r="H1479" s="2">
        <v>3.698</v>
      </c>
      <c r="I1479">
        <v>138.17358060000001</v>
      </c>
      <c r="J1479" s="3">
        <v>7.4050000000000002</v>
      </c>
    </row>
    <row r="1480" spans="1:10" x14ac:dyDescent="0.25">
      <c r="A1480">
        <v>26</v>
      </c>
      <c r="B1480" s="1">
        <v>41190</v>
      </c>
      <c r="C1480">
        <v>10</v>
      </c>
      <c r="D1480">
        <v>2012</v>
      </c>
      <c r="E1480" s="2">
        <v>1121476.51</v>
      </c>
      <c r="F1480">
        <v>0</v>
      </c>
      <c r="G1480" s="3">
        <v>67.010000000000005</v>
      </c>
      <c r="H1480" s="2">
        <v>3.7719999999999998</v>
      </c>
      <c r="I1480">
        <v>138.1437742</v>
      </c>
      <c r="J1480" s="3">
        <v>7.4050000000000002</v>
      </c>
    </row>
    <row r="1481" spans="1:10" x14ac:dyDescent="0.25">
      <c r="A1481">
        <v>26</v>
      </c>
      <c r="B1481" s="1">
        <v>41099</v>
      </c>
      <c r="C1481">
        <v>7</v>
      </c>
      <c r="D1481">
        <v>2012</v>
      </c>
      <c r="E1481" s="2">
        <v>1081874.03</v>
      </c>
      <c r="F1481">
        <v>1</v>
      </c>
      <c r="G1481" s="3">
        <v>61.58</v>
      </c>
      <c r="H1481" s="2">
        <v>3.9209999999999998</v>
      </c>
      <c r="I1481">
        <v>138.47293550000001</v>
      </c>
      <c r="J1481" s="3">
        <v>7.4050000000000002</v>
      </c>
    </row>
    <row r="1482" spans="1:10" x14ac:dyDescent="0.25">
      <c r="A1482">
        <v>26</v>
      </c>
      <c r="B1482" s="1">
        <v>41039</v>
      </c>
      <c r="C1482">
        <v>5</v>
      </c>
      <c r="D1482">
        <v>2012</v>
      </c>
      <c r="E1482" s="2">
        <v>1095504.26</v>
      </c>
      <c r="F1482">
        <v>0</v>
      </c>
      <c r="G1482" s="3">
        <v>54.07</v>
      </c>
      <c r="H1482" s="2">
        <v>4.0270000000000001</v>
      </c>
      <c r="I1482">
        <v>138.82560000000001</v>
      </c>
      <c r="J1482" s="3">
        <v>7.1379999999999999</v>
      </c>
    </row>
    <row r="1483" spans="1:10" x14ac:dyDescent="0.25">
      <c r="A1483">
        <v>26</v>
      </c>
      <c r="B1483" s="1">
        <v>41253</v>
      </c>
      <c r="C1483">
        <v>12</v>
      </c>
      <c r="D1483">
        <v>2012</v>
      </c>
      <c r="E1483" s="2">
        <v>1044639.69</v>
      </c>
      <c r="F1483">
        <v>0</v>
      </c>
      <c r="G1483" s="3">
        <v>45.19</v>
      </c>
      <c r="H1483" s="2">
        <v>4.0289999999999999</v>
      </c>
      <c r="I1483">
        <v>138.9117</v>
      </c>
      <c r="J1483" s="3">
        <v>7.1379999999999999</v>
      </c>
    </row>
    <row r="1484" spans="1:10" x14ac:dyDescent="0.25">
      <c r="A1484">
        <v>27</v>
      </c>
      <c r="B1484" s="1">
        <v>40300</v>
      </c>
      <c r="C1484">
        <v>5</v>
      </c>
      <c r="D1484">
        <v>2010</v>
      </c>
      <c r="E1484" s="2">
        <v>1874289.79</v>
      </c>
      <c r="F1484">
        <v>0</v>
      </c>
      <c r="G1484" s="3">
        <v>27.19</v>
      </c>
      <c r="H1484" s="2">
        <v>2.9540000000000002</v>
      </c>
      <c r="I1484">
        <v>135.35246079999999</v>
      </c>
      <c r="J1484" s="3">
        <v>8.2370000000000001</v>
      </c>
    </row>
    <row r="1485" spans="1:10" x14ac:dyDescent="0.25">
      <c r="A1485">
        <v>27</v>
      </c>
      <c r="B1485" s="1">
        <v>40514</v>
      </c>
      <c r="C1485">
        <v>12</v>
      </c>
      <c r="D1485">
        <v>2010</v>
      </c>
      <c r="E1485" s="2">
        <v>1745362.72</v>
      </c>
      <c r="F1485">
        <v>1</v>
      </c>
      <c r="G1485" s="3">
        <v>29.81</v>
      </c>
      <c r="H1485" s="2">
        <v>2.94</v>
      </c>
      <c r="I1485">
        <v>135.41130759999999</v>
      </c>
      <c r="J1485" s="3">
        <v>8.2370000000000001</v>
      </c>
    </row>
    <row r="1486" spans="1:10" x14ac:dyDescent="0.25">
      <c r="A1486">
        <v>27</v>
      </c>
      <c r="B1486" s="1">
        <v>40301</v>
      </c>
      <c r="C1486">
        <v>5</v>
      </c>
      <c r="D1486">
        <v>2010</v>
      </c>
      <c r="E1486" s="2">
        <v>1313729.72</v>
      </c>
      <c r="F1486">
        <v>0</v>
      </c>
      <c r="G1486" s="3">
        <v>38.07</v>
      </c>
      <c r="H1486" s="2">
        <v>2.919</v>
      </c>
      <c r="I1486">
        <v>135.57326019999999</v>
      </c>
      <c r="J1486" s="3">
        <v>8.2370000000000001</v>
      </c>
    </row>
    <row r="1487" spans="1:10" x14ac:dyDescent="0.25">
      <c r="A1487">
        <v>27</v>
      </c>
      <c r="B1487" s="1">
        <v>40515</v>
      </c>
      <c r="C1487">
        <v>12</v>
      </c>
      <c r="D1487">
        <v>2010</v>
      </c>
      <c r="E1487" s="2">
        <v>1925113.12</v>
      </c>
      <c r="F1487">
        <v>0</v>
      </c>
      <c r="G1487" s="3">
        <v>45.98</v>
      </c>
      <c r="H1487" s="2">
        <v>2.9380000000000002</v>
      </c>
      <c r="I1487">
        <v>135.62700129999999</v>
      </c>
      <c r="J1487" s="3">
        <v>8.2370000000000001</v>
      </c>
    </row>
    <row r="1488" spans="1:10" x14ac:dyDescent="0.25">
      <c r="A1488">
        <v>27</v>
      </c>
      <c r="B1488" s="1">
        <v>40213</v>
      </c>
      <c r="C1488">
        <v>2</v>
      </c>
      <c r="D1488">
        <v>2010</v>
      </c>
      <c r="E1488" s="2">
        <v>2053952.97</v>
      </c>
      <c r="F1488">
        <v>0</v>
      </c>
      <c r="G1488" s="3">
        <v>46.9</v>
      </c>
      <c r="H1488" s="2">
        <v>2.9569999999999999</v>
      </c>
      <c r="I1488">
        <v>135.74649880000001</v>
      </c>
      <c r="J1488" s="3">
        <v>8.0579999999999998</v>
      </c>
    </row>
    <row r="1489" spans="1:10" x14ac:dyDescent="0.25">
      <c r="A1489">
        <v>27</v>
      </c>
      <c r="B1489" s="1">
        <v>40425</v>
      </c>
      <c r="C1489">
        <v>9</v>
      </c>
      <c r="D1489">
        <v>2010</v>
      </c>
      <c r="E1489" s="2">
        <v>1955814.13</v>
      </c>
      <c r="F1489">
        <v>0</v>
      </c>
      <c r="G1489" s="3">
        <v>62.62</v>
      </c>
      <c r="H1489" s="2">
        <v>2.992</v>
      </c>
      <c r="I1489">
        <v>135.78563589999999</v>
      </c>
      <c r="J1489" s="3">
        <v>8.0579999999999998</v>
      </c>
    </row>
    <row r="1490" spans="1:10" x14ac:dyDescent="0.25">
      <c r="A1490">
        <v>27</v>
      </c>
      <c r="B1490" s="1">
        <v>40364</v>
      </c>
      <c r="C1490">
        <v>7</v>
      </c>
      <c r="D1490">
        <v>2010</v>
      </c>
      <c r="E1490" s="2">
        <v>1939458.84</v>
      </c>
      <c r="F1490">
        <v>0</v>
      </c>
      <c r="G1490" s="3">
        <v>69.02</v>
      </c>
      <c r="H1490" s="2">
        <v>3.0950000000000002</v>
      </c>
      <c r="I1490">
        <v>135.96199999999999</v>
      </c>
      <c r="J1490" s="3">
        <v>8.0579999999999998</v>
      </c>
    </row>
    <row r="1491" spans="1:10" x14ac:dyDescent="0.25">
      <c r="A1491">
        <v>27</v>
      </c>
      <c r="B1491" s="1">
        <v>40274</v>
      </c>
      <c r="C1491">
        <v>4</v>
      </c>
      <c r="D1491">
        <v>2010</v>
      </c>
      <c r="E1491" s="2">
        <v>2073102.59</v>
      </c>
      <c r="F1491">
        <v>0</v>
      </c>
      <c r="G1491" s="3">
        <v>74.290000000000006</v>
      </c>
      <c r="H1491" s="2">
        <v>3.0059999999999998</v>
      </c>
      <c r="I1491">
        <v>136.21816820000001</v>
      </c>
      <c r="J1491" s="3">
        <v>8.0579999999999998</v>
      </c>
    </row>
    <row r="1492" spans="1:10" x14ac:dyDescent="0.25">
      <c r="A1492">
        <v>27</v>
      </c>
      <c r="B1492" s="1">
        <v>40488</v>
      </c>
      <c r="C1492">
        <v>11</v>
      </c>
      <c r="D1492">
        <v>2010</v>
      </c>
      <c r="E1492" s="2">
        <v>1873812.93</v>
      </c>
      <c r="F1492">
        <v>0</v>
      </c>
      <c r="G1492" s="3">
        <v>68.900000000000006</v>
      </c>
      <c r="H1492" s="2">
        <v>2.972</v>
      </c>
      <c r="I1492">
        <v>136.28742629999999</v>
      </c>
      <c r="J1492" s="3">
        <v>8.0579999999999998</v>
      </c>
    </row>
    <row r="1493" spans="1:10" x14ac:dyDescent="0.25">
      <c r="A1493">
        <v>27</v>
      </c>
      <c r="B1493" s="1">
        <v>40216</v>
      </c>
      <c r="C1493">
        <v>2</v>
      </c>
      <c r="D1493">
        <v>2010</v>
      </c>
      <c r="E1493" s="2">
        <v>2024554.1</v>
      </c>
      <c r="F1493">
        <v>0</v>
      </c>
      <c r="G1493" s="3">
        <v>76.25</v>
      </c>
      <c r="H1493" s="2">
        <v>2.9580000000000002</v>
      </c>
      <c r="I1493">
        <v>136.37228930000001</v>
      </c>
      <c r="J1493" s="3">
        <v>7.9820000000000002</v>
      </c>
    </row>
    <row r="1494" spans="1:10" x14ac:dyDescent="0.25">
      <c r="A1494">
        <v>27</v>
      </c>
      <c r="B1494" s="1">
        <v>40428</v>
      </c>
      <c r="C1494">
        <v>9</v>
      </c>
      <c r="D1494">
        <v>2010</v>
      </c>
      <c r="E1494" s="2">
        <v>2119163.0099999998</v>
      </c>
      <c r="F1494">
        <v>0</v>
      </c>
      <c r="G1494" s="3">
        <v>82.69</v>
      </c>
      <c r="H1494" s="2">
        <v>2.94</v>
      </c>
      <c r="I1494">
        <v>136.39626430000001</v>
      </c>
      <c r="J1494" s="3">
        <v>7.9820000000000002</v>
      </c>
    </row>
    <row r="1495" spans="1:10" x14ac:dyDescent="0.25">
      <c r="A1495">
        <v>27</v>
      </c>
      <c r="B1495" s="1">
        <v>40337</v>
      </c>
      <c r="C1495">
        <v>6</v>
      </c>
      <c r="D1495">
        <v>2010</v>
      </c>
      <c r="E1495" s="2">
        <v>1908036.68</v>
      </c>
      <c r="F1495">
        <v>0</v>
      </c>
      <c r="G1495" s="3">
        <v>77.45</v>
      </c>
      <c r="H1495" s="2">
        <v>2.9420000000000002</v>
      </c>
      <c r="I1495">
        <v>136.4741118</v>
      </c>
      <c r="J1495" s="3">
        <v>7.9820000000000002</v>
      </c>
    </row>
    <row r="1496" spans="1:10" x14ac:dyDescent="0.25">
      <c r="A1496">
        <v>27</v>
      </c>
      <c r="B1496" s="1">
        <v>40246</v>
      </c>
      <c r="C1496">
        <v>3</v>
      </c>
      <c r="D1496">
        <v>2010</v>
      </c>
      <c r="E1496" s="2">
        <v>1908110.9</v>
      </c>
      <c r="F1496">
        <v>0</v>
      </c>
      <c r="G1496" s="3">
        <v>78.52</v>
      </c>
      <c r="H1496" s="2">
        <v>2.86</v>
      </c>
      <c r="I1496">
        <v>136.58911180000001</v>
      </c>
      <c r="J1496" s="3">
        <v>7.9820000000000002</v>
      </c>
    </row>
    <row r="1497" spans="1:10" x14ac:dyDescent="0.25">
      <c r="A1497">
        <v>27</v>
      </c>
      <c r="B1497" s="1">
        <v>40460</v>
      </c>
      <c r="C1497">
        <v>10</v>
      </c>
      <c r="D1497">
        <v>2010</v>
      </c>
      <c r="E1497" s="2">
        <v>1913494.81</v>
      </c>
      <c r="F1497">
        <v>1</v>
      </c>
      <c r="G1497" s="3">
        <v>70.38</v>
      </c>
      <c r="H1497" s="2">
        <v>2.8370000000000002</v>
      </c>
      <c r="I1497">
        <v>136.62120849999999</v>
      </c>
      <c r="J1497" s="3">
        <v>7.9820000000000002</v>
      </c>
    </row>
    <row r="1498" spans="1:10" x14ac:dyDescent="0.25">
      <c r="A1498">
        <v>27</v>
      </c>
      <c r="B1498" s="1">
        <v>40188</v>
      </c>
      <c r="C1498">
        <v>1</v>
      </c>
      <c r="D1498">
        <v>2010</v>
      </c>
      <c r="E1498" s="2">
        <v>1543532.83</v>
      </c>
      <c r="F1498">
        <v>0</v>
      </c>
      <c r="G1498" s="3">
        <v>70.19</v>
      </c>
      <c r="H1498" s="2">
        <v>2.84</v>
      </c>
      <c r="I1498">
        <v>136.62975710000001</v>
      </c>
      <c r="J1498" s="3">
        <v>8.0210000000000008</v>
      </c>
    </row>
    <row r="1499" spans="1:10" x14ac:dyDescent="0.25">
      <c r="A1499">
        <v>27</v>
      </c>
      <c r="B1499" s="1">
        <v>40400</v>
      </c>
      <c r="C1499">
        <v>8</v>
      </c>
      <c r="D1499">
        <v>2010</v>
      </c>
      <c r="E1499" s="2">
        <v>1707662.87</v>
      </c>
      <c r="F1499">
        <v>0</v>
      </c>
      <c r="G1499" s="3">
        <v>57.78</v>
      </c>
      <c r="H1499" s="2">
        <v>2.903</v>
      </c>
      <c r="I1499">
        <v>136.6277321</v>
      </c>
      <c r="J1499" s="3">
        <v>8.0210000000000008</v>
      </c>
    </row>
    <row r="1500" spans="1:10" x14ac:dyDescent="0.25">
      <c r="A1500">
        <v>27</v>
      </c>
      <c r="B1500" s="1">
        <v>40309</v>
      </c>
      <c r="C1500">
        <v>5</v>
      </c>
      <c r="D1500">
        <v>2010</v>
      </c>
      <c r="E1500" s="2">
        <v>1686010.02</v>
      </c>
      <c r="F1500">
        <v>0</v>
      </c>
      <c r="G1500" s="3">
        <v>45.91</v>
      </c>
      <c r="H1500" s="2">
        <v>3.0489999999999999</v>
      </c>
      <c r="I1500">
        <v>136.78622580000001</v>
      </c>
      <c r="J1500" s="3">
        <v>8.0210000000000008</v>
      </c>
    </row>
    <row r="1501" spans="1:10" x14ac:dyDescent="0.25">
      <c r="A1501">
        <v>27</v>
      </c>
      <c r="B1501" s="1">
        <v>40523</v>
      </c>
      <c r="C1501">
        <v>12</v>
      </c>
      <c r="D1501">
        <v>2010</v>
      </c>
      <c r="E1501" s="2">
        <v>1828010.25</v>
      </c>
      <c r="F1501">
        <v>0</v>
      </c>
      <c r="G1501" s="3">
        <v>45.9</v>
      </c>
      <c r="H1501" s="2">
        <v>3.0649999999999999</v>
      </c>
      <c r="I1501">
        <v>136.83490320000001</v>
      </c>
      <c r="J1501" s="3">
        <v>8.0210000000000008</v>
      </c>
    </row>
    <row r="1502" spans="1:10" x14ac:dyDescent="0.25">
      <c r="A1502">
        <v>27</v>
      </c>
      <c r="B1502" s="1">
        <v>40249</v>
      </c>
      <c r="C1502">
        <v>3</v>
      </c>
      <c r="D1502">
        <v>2010</v>
      </c>
      <c r="E1502" s="2">
        <v>1884343.67</v>
      </c>
      <c r="F1502">
        <v>0</v>
      </c>
      <c r="G1502" s="3">
        <v>41.81</v>
      </c>
      <c r="H1502" s="2">
        <v>3.2</v>
      </c>
      <c r="I1502">
        <v>136.60757140000001</v>
      </c>
      <c r="J1502" s="3">
        <v>8.0210000000000008</v>
      </c>
    </row>
    <row r="1503" spans="1:10" x14ac:dyDescent="0.25">
      <c r="A1503">
        <v>27</v>
      </c>
      <c r="B1503" s="1">
        <v>40463</v>
      </c>
      <c r="C1503">
        <v>10</v>
      </c>
      <c r="D1503">
        <v>2010</v>
      </c>
      <c r="E1503" s="2">
        <v>2139733.6800000002</v>
      </c>
      <c r="F1503">
        <v>0</v>
      </c>
      <c r="G1503" s="3">
        <v>30.83</v>
      </c>
      <c r="H1503" s="2">
        <v>3.2549999999999999</v>
      </c>
      <c r="I1503">
        <v>136.52557139999999</v>
      </c>
      <c r="J1503" s="3">
        <v>8.0210000000000008</v>
      </c>
    </row>
    <row r="1504" spans="1:10" x14ac:dyDescent="0.25">
      <c r="A1504">
        <v>27</v>
      </c>
      <c r="B1504" s="1">
        <v>40725</v>
      </c>
      <c r="C1504">
        <v>7</v>
      </c>
      <c r="D1504">
        <v>2011</v>
      </c>
      <c r="E1504" s="2">
        <v>1568159.48</v>
      </c>
      <c r="F1504">
        <v>0</v>
      </c>
      <c r="G1504" s="3">
        <v>34.42</v>
      </c>
      <c r="H1504" s="2">
        <v>3.351</v>
      </c>
      <c r="I1504">
        <v>136.73325689999999</v>
      </c>
      <c r="J1504" s="3">
        <v>7.827</v>
      </c>
    </row>
    <row r="1505" spans="1:10" x14ac:dyDescent="0.25">
      <c r="A1505">
        <v>27</v>
      </c>
      <c r="B1505" s="1">
        <v>40635</v>
      </c>
      <c r="C1505">
        <v>4</v>
      </c>
      <c r="D1505">
        <v>2011</v>
      </c>
      <c r="E1505" s="2">
        <v>1628100.79</v>
      </c>
      <c r="F1505">
        <v>0</v>
      </c>
      <c r="G1505" s="3">
        <v>28.7</v>
      </c>
      <c r="H1505" s="2">
        <v>3.4</v>
      </c>
      <c r="I1505">
        <v>137.05424310000001</v>
      </c>
      <c r="J1505" s="3">
        <v>7.827</v>
      </c>
    </row>
    <row r="1506" spans="1:10" x14ac:dyDescent="0.25">
      <c r="A1506">
        <v>27</v>
      </c>
      <c r="B1506" s="1">
        <v>40849</v>
      </c>
      <c r="C1506">
        <v>11</v>
      </c>
      <c r="D1506">
        <v>2011</v>
      </c>
      <c r="E1506" s="2">
        <v>1636224.77</v>
      </c>
      <c r="F1506">
        <v>1</v>
      </c>
      <c r="G1506" s="3">
        <v>30.45</v>
      </c>
      <c r="H1506" s="2">
        <v>3.4159999999999999</v>
      </c>
      <c r="I1506">
        <v>137.13783179999999</v>
      </c>
      <c r="J1506" s="3">
        <v>7.827</v>
      </c>
    </row>
    <row r="1507" spans="1:10" x14ac:dyDescent="0.25">
      <c r="A1507">
        <v>27</v>
      </c>
      <c r="B1507" s="1">
        <v>40636</v>
      </c>
      <c r="C1507">
        <v>4</v>
      </c>
      <c r="D1507">
        <v>2011</v>
      </c>
      <c r="E1507" s="2">
        <v>1656130.67</v>
      </c>
      <c r="F1507">
        <v>0</v>
      </c>
      <c r="G1507" s="3">
        <v>36.99</v>
      </c>
      <c r="H1507" s="2">
        <v>3.605</v>
      </c>
      <c r="I1507">
        <v>137.5017028</v>
      </c>
      <c r="J1507" s="3">
        <v>7.827</v>
      </c>
    </row>
    <row r="1508" spans="1:10" x14ac:dyDescent="0.25">
      <c r="A1508">
        <v>27</v>
      </c>
      <c r="B1508" s="1">
        <v>40850</v>
      </c>
      <c r="C1508">
        <v>11</v>
      </c>
      <c r="D1508">
        <v>2011</v>
      </c>
      <c r="E1508" s="2">
        <v>1613259.77</v>
      </c>
      <c r="F1508">
        <v>0</v>
      </c>
      <c r="G1508" s="3">
        <v>43.64</v>
      </c>
      <c r="H1508" s="2">
        <v>3.7519999999999998</v>
      </c>
      <c r="I1508">
        <v>137.62696170000001</v>
      </c>
      <c r="J1508" s="3">
        <v>7.827</v>
      </c>
    </row>
    <row r="1509" spans="1:10" x14ac:dyDescent="0.25">
      <c r="A1509">
        <v>27</v>
      </c>
      <c r="B1509" s="1">
        <v>40547</v>
      </c>
      <c r="C1509">
        <v>1</v>
      </c>
      <c r="D1509">
        <v>2011</v>
      </c>
      <c r="E1509" s="2">
        <v>1628868.28</v>
      </c>
      <c r="F1509">
        <v>0</v>
      </c>
      <c r="G1509" s="3">
        <v>37.270000000000003</v>
      </c>
      <c r="H1509" s="2">
        <v>3.8109999999999999</v>
      </c>
      <c r="I1509">
        <v>137.95589290000001</v>
      </c>
      <c r="J1509" s="3">
        <v>7.7249999999999996</v>
      </c>
    </row>
    <row r="1510" spans="1:10" x14ac:dyDescent="0.25">
      <c r="A1510">
        <v>27</v>
      </c>
      <c r="B1510" s="1">
        <v>40759</v>
      </c>
      <c r="C1510">
        <v>8</v>
      </c>
      <c r="D1510">
        <v>2011</v>
      </c>
      <c r="E1510" s="2">
        <v>1689844.18</v>
      </c>
      <c r="F1510">
        <v>0</v>
      </c>
      <c r="G1510" s="3">
        <v>46.87</v>
      </c>
      <c r="H1510" s="2">
        <v>3.895</v>
      </c>
      <c r="I1510">
        <v>138.06389290000001</v>
      </c>
      <c r="J1510" s="3">
        <v>7.7249999999999996</v>
      </c>
    </row>
    <row r="1511" spans="1:10" x14ac:dyDescent="0.25">
      <c r="A1511">
        <v>27</v>
      </c>
      <c r="B1511" s="1">
        <v>40699</v>
      </c>
      <c r="C1511">
        <v>6</v>
      </c>
      <c r="D1511">
        <v>2011</v>
      </c>
      <c r="E1511" s="2">
        <v>1757041.96</v>
      </c>
      <c r="F1511">
        <v>0</v>
      </c>
      <c r="G1511" s="3">
        <v>56.48</v>
      </c>
      <c r="H1511" s="2">
        <v>4.1920000000000002</v>
      </c>
      <c r="I1511">
        <v>138.41312020000001</v>
      </c>
      <c r="J1511" s="3">
        <v>7.7249999999999996</v>
      </c>
    </row>
    <row r="1512" spans="1:10" x14ac:dyDescent="0.25">
      <c r="A1512">
        <v>27</v>
      </c>
      <c r="B1512" s="1">
        <v>40608</v>
      </c>
      <c r="C1512">
        <v>3</v>
      </c>
      <c r="D1512">
        <v>2011</v>
      </c>
      <c r="E1512" s="2">
        <v>2053708.01</v>
      </c>
      <c r="F1512">
        <v>0</v>
      </c>
      <c r="G1512" s="3">
        <v>74.17</v>
      </c>
      <c r="H1512" s="2">
        <v>4.069</v>
      </c>
      <c r="I1512">
        <v>138.76946079999999</v>
      </c>
      <c r="J1512" s="3">
        <v>7.7249999999999996</v>
      </c>
    </row>
    <row r="1513" spans="1:10" x14ac:dyDescent="0.25">
      <c r="A1513">
        <v>27</v>
      </c>
      <c r="B1513" s="1">
        <v>40822</v>
      </c>
      <c r="C1513">
        <v>10</v>
      </c>
      <c r="D1513">
        <v>2011</v>
      </c>
      <c r="E1513" s="2">
        <v>1817914.71</v>
      </c>
      <c r="F1513">
        <v>0</v>
      </c>
      <c r="G1513" s="3">
        <v>73.260000000000005</v>
      </c>
      <c r="H1513" s="2">
        <v>4.0250000000000004</v>
      </c>
      <c r="I1513">
        <v>138.86063820000001</v>
      </c>
      <c r="J1513" s="3">
        <v>7.7249999999999996</v>
      </c>
    </row>
    <row r="1514" spans="1:10" x14ac:dyDescent="0.25">
      <c r="A1514">
        <v>27</v>
      </c>
      <c r="B1514" s="1">
        <v>40550</v>
      </c>
      <c r="C1514">
        <v>1</v>
      </c>
      <c r="D1514">
        <v>2011</v>
      </c>
      <c r="E1514" s="2">
        <v>1949983.93</v>
      </c>
      <c r="F1514">
        <v>0</v>
      </c>
      <c r="G1514" s="3">
        <v>73.760000000000005</v>
      </c>
      <c r="H1514" s="2">
        <v>3.9159999999999999</v>
      </c>
      <c r="I1514">
        <v>139.36375000000001</v>
      </c>
      <c r="J1514" s="3">
        <v>7.85</v>
      </c>
    </row>
    <row r="1515" spans="1:10" x14ac:dyDescent="0.25">
      <c r="A1515">
        <v>27</v>
      </c>
      <c r="B1515" s="1">
        <v>40762</v>
      </c>
      <c r="C1515">
        <v>8</v>
      </c>
      <c r="D1515">
        <v>2011</v>
      </c>
      <c r="E1515" s="2">
        <v>2000055.27</v>
      </c>
      <c r="F1515">
        <v>0</v>
      </c>
      <c r="G1515" s="3">
        <v>76.87</v>
      </c>
      <c r="H1515" s="2">
        <v>3.8860000000000001</v>
      </c>
      <c r="I1515">
        <v>139.54420830000001</v>
      </c>
      <c r="J1515" s="3">
        <v>7.85</v>
      </c>
    </row>
    <row r="1516" spans="1:10" x14ac:dyDescent="0.25">
      <c r="A1516">
        <v>27</v>
      </c>
      <c r="B1516" s="1">
        <v>40671</v>
      </c>
      <c r="C1516">
        <v>5</v>
      </c>
      <c r="D1516">
        <v>2011</v>
      </c>
      <c r="E1516" s="2">
        <v>1747289.53</v>
      </c>
      <c r="F1516">
        <v>0</v>
      </c>
      <c r="G1516" s="3">
        <v>78.14</v>
      </c>
      <c r="H1516" s="2">
        <v>4.0199999999999996</v>
      </c>
      <c r="I1516">
        <v>139.98964860000001</v>
      </c>
      <c r="J1516" s="3">
        <v>7.85</v>
      </c>
    </row>
    <row r="1517" spans="1:10" x14ac:dyDescent="0.25">
      <c r="A1517">
        <v>27</v>
      </c>
      <c r="B1517" s="1">
        <v>40885</v>
      </c>
      <c r="C1517">
        <v>12</v>
      </c>
      <c r="D1517">
        <v>2011</v>
      </c>
      <c r="E1517" s="2">
        <v>1758437.96</v>
      </c>
      <c r="F1517">
        <v>0</v>
      </c>
      <c r="G1517" s="3">
        <v>76.67</v>
      </c>
      <c r="H1517" s="2">
        <v>3.9950000000000001</v>
      </c>
      <c r="I1517">
        <v>140.0859873</v>
      </c>
      <c r="J1517" s="3">
        <v>7.85</v>
      </c>
    </row>
    <row r="1518" spans="1:10" x14ac:dyDescent="0.25">
      <c r="A1518">
        <v>27</v>
      </c>
      <c r="B1518" s="1">
        <v>40583</v>
      </c>
      <c r="C1518">
        <v>2</v>
      </c>
      <c r="D1518">
        <v>2011</v>
      </c>
      <c r="E1518" s="2">
        <v>1511717.53</v>
      </c>
      <c r="F1518">
        <v>0</v>
      </c>
      <c r="G1518" s="3">
        <v>71.44</v>
      </c>
      <c r="H1518" s="2">
        <v>3.879</v>
      </c>
      <c r="I1518">
        <v>140.19698500000001</v>
      </c>
      <c r="J1518" s="3">
        <v>7.85</v>
      </c>
    </row>
    <row r="1519" spans="1:10" x14ac:dyDescent="0.25">
      <c r="A1519">
        <v>27</v>
      </c>
      <c r="B1519" s="1">
        <v>40795</v>
      </c>
      <c r="C1519">
        <v>9</v>
      </c>
      <c r="D1519">
        <v>2011</v>
      </c>
      <c r="E1519" s="2">
        <v>1911470.84</v>
      </c>
      <c r="F1519">
        <v>1</v>
      </c>
      <c r="G1519" s="3">
        <v>70.930000000000007</v>
      </c>
      <c r="H1519" s="2">
        <v>3.93</v>
      </c>
      <c r="I1519">
        <v>140.23101729999999</v>
      </c>
      <c r="J1519" s="3">
        <v>7.85</v>
      </c>
    </row>
    <row r="1520" spans="1:10" x14ac:dyDescent="0.25">
      <c r="A1520">
        <v>27</v>
      </c>
      <c r="B1520" s="1">
        <v>40734</v>
      </c>
      <c r="C1520">
        <v>7</v>
      </c>
      <c r="D1520">
        <v>2011</v>
      </c>
      <c r="E1520" s="2">
        <v>1672339.27</v>
      </c>
      <c r="F1520">
        <v>0</v>
      </c>
      <c r="G1520" s="3">
        <v>56.91</v>
      </c>
      <c r="H1520" s="2">
        <v>3.7749999999999999</v>
      </c>
      <c r="I1520">
        <v>140.43475000000001</v>
      </c>
      <c r="J1520" s="3">
        <v>7.9059999999999997</v>
      </c>
    </row>
    <row r="1521" spans="1:10" x14ac:dyDescent="0.25">
      <c r="A1521">
        <v>27</v>
      </c>
      <c r="B1521" s="1">
        <v>40644</v>
      </c>
      <c r="C1521">
        <v>4</v>
      </c>
      <c r="D1521">
        <v>2011</v>
      </c>
      <c r="E1521" s="2">
        <v>1621109.3</v>
      </c>
      <c r="F1521">
        <v>0</v>
      </c>
      <c r="G1521" s="3">
        <v>44.46</v>
      </c>
      <c r="H1521" s="2">
        <v>3.738</v>
      </c>
      <c r="I1521">
        <v>140.42797580000001</v>
      </c>
      <c r="J1521" s="3">
        <v>7.9059999999999997</v>
      </c>
    </row>
    <row r="1522" spans="1:10" x14ac:dyDescent="0.25">
      <c r="A1522">
        <v>27</v>
      </c>
      <c r="B1522" s="1">
        <v>40858</v>
      </c>
      <c r="C1522">
        <v>11</v>
      </c>
      <c r="D1522">
        <v>2011</v>
      </c>
      <c r="E1522" s="2">
        <v>1800728.07</v>
      </c>
      <c r="F1522">
        <v>0</v>
      </c>
      <c r="G1522" s="3">
        <v>49.69</v>
      </c>
      <c r="H1522" s="2">
        <v>3.7189999999999999</v>
      </c>
      <c r="I1522">
        <v>140.4111613</v>
      </c>
      <c r="J1522" s="3">
        <v>7.9059999999999997</v>
      </c>
    </row>
    <row r="1523" spans="1:10" x14ac:dyDescent="0.25">
      <c r="A1523">
        <v>27</v>
      </c>
      <c r="B1523" s="1">
        <v>40586</v>
      </c>
      <c r="C1523">
        <v>2</v>
      </c>
      <c r="D1523">
        <v>2011</v>
      </c>
      <c r="E1523" s="2">
        <v>1806924.74</v>
      </c>
      <c r="F1523">
        <v>0</v>
      </c>
      <c r="G1523" s="3">
        <v>50.55</v>
      </c>
      <c r="H1523" s="2">
        <v>3.6659999999999999</v>
      </c>
      <c r="I1523">
        <v>140.4307857</v>
      </c>
      <c r="J1523" s="3">
        <v>7.9059999999999997</v>
      </c>
    </row>
    <row r="1524" spans="1:10" x14ac:dyDescent="0.25">
      <c r="A1524">
        <v>27</v>
      </c>
      <c r="B1524" s="1">
        <v>40798</v>
      </c>
      <c r="C1524">
        <v>9</v>
      </c>
      <c r="D1524">
        <v>2011</v>
      </c>
      <c r="E1524" s="2">
        <v>2014665.98</v>
      </c>
      <c r="F1524">
        <v>0</v>
      </c>
      <c r="G1524" s="3">
        <v>46.28</v>
      </c>
      <c r="H1524" s="2">
        <v>3.6269999999999998</v>
      </c>
      <c r="I1524">
        <v>140.43978569999999</v>
      </c>
      <c r="J1524" s="3">
        <v>7.9059999999999997</v>
      </c>
    </row>
    <row r="1525" spans="1:10" x14ac:dyDescent="0.25">
      <c r="A1525">
        <v>27</v>
      </c>
      <c r="B1525" s="1">
        <v>41061</v>
      </c>
      <c r="C1525">
        <v>6</v>
      </c>
      <c r="D1525">
        <v>2012</v>
      </c>
      <c r="E1525" s="2">
        <v>1535287.4</v>
      </c>
      <c r="F1525">
        <v>0</v>
      </c>
      <c r="G1525" s="3">
        <v>35.799999999999997</v>
      </c>
      <c r="H1525" s="2">
        <v>3.585</v>
      </c>
      <c r="I1525">
        <v>140.64613589999999</v>
      </c>
      <c r="J1525" s="3">
        <v>8.0090000000000003</v>
      </c>
    </row>
    <row r="1526" spans="1:10" x14ac:dyDescent="0.25">
      <c r="A1526">
        <v>27</v>
      </c>
      <c r="B1526" s="1">
        <v>40970</v>
      </c>
      <c r="C1526">
        <v>3</v>
      </c>
      <c r="D1526">
        <v>2012</v>
      </c>
      <c r="E1526" s="2">
        <v>1564246.02</v>
      </c>
      <c r="F1526">
        <v>0</v>
      </c>
      <c r="G1526" s="3">
        <v>42.52</v>
      </c>
      <c r="H1526" s="2">
        <v>3.7959999999999998</v>
      </c>
      <c r="I1526">
        <v>141.01619239999999</v>
      </c>
      <c r="J1526" s="3">
        <v>8.0090000000000003</v>
      </c>
    </row>
    <row r="1527" spans="1:10" x14ac:dyDescent="0.25">
      <c r="A1527">
        <v>27</v>
      </c>
      <c r="B1527" s="1">
        <v>41184</v>
      </c>
      <c r="C1527">
        <v>10</v>
      </c>
      <c r="D1527">
        <v>2012</v>
      </c>
      <c r="E1527" s="2">
        <v>1651605.35</v>
      </c>
      <c r="F1527">
        <v>1</v>
      </c>
      <c r="G1527" s="3">
        <v>37.86</v>
      </c>
      <c r="H1527" s="2">
        <v>3.8260000000000001</v>
      </c>
      <c r="I1527">
        <v>141.11998270000001</v>
      </c>
      <c r="J1527" s="3">
        <v>8.0090000000000003</v>
      </c>
    </row>
    <row r="1528" spans="1:10" x14ac:dyDescent="0.25">
      <c r="A1528">
        <v>27</v>
      </c>
      <c r="B1528" s="1">
        <v>40942</v>
      </c>
      <c r="C1528">
        <v>2</v>
      </c>
      <c r="D1528">
        <v>2012</v>
      </c>
      <c r="E1528" s="2">
        <v>1509323.09</v>
      </c>
      <c r="F1528">
        <v>0</v>
      </c>
      <c r="G1528" s="3">
        <v>40.07</v>
      </c>
      <c r="H1528" s="2">
        <v>3.9830000000000001</v>
      </c>
      <c r="I1528">
        <v>141.3875357</v>
      </c>
      <c r="J1528" s="3">
        <v>8.0090000000000003</v>
      </c>
    </row>
    <row r="1529" spans="1:10" x14ac:dyDescent="0.25">
      <c r="A1529">
        <v>27</v>
      </c>
      <c r="B1529" s="1">
        <v>41155</v>
      </c>
      <c r="C1529">
        <v>9</v>
      </c>
      <c r="D1529">
        <v>2012</v>
      </c>
      <c r="E1529" s="2">
        <v>1607343.41</v>
      </c>
      <c r="F1529">
        <v>0</v>
      </c>
      <c r="G1529" s="3">
        <v>44.32</v>
      </c>
      <c r="H1529" s="2">
        <v>4.0209999999999999</v>
      </c>
      <c r="I1529">
        <v>141.4742857</v>
      </c>
      <c r="J1529" s="3">
        <v>8.0090000000000003</v>
      </c>
    </row>
    <row r="1530" spans="1:10" x14ac:dyDescent="0.25">
      <c r="A1530">
        <v>27</v>
      </c>
      <c r="B1530" s="1">
        <v>41064</v>
      </c>
      <c r="C1530">
        <v>6</v>
      </c>
      <c r="D1530">
        <v>2012</v>
      </c>
      <c r="E1530" s="2">
        <v>1899013.34</v>
      </c>
      <c r="F1530">
        <v>0</v>
      </c>
      <c r="G1530" s="3">
        <v>48.73</v>
      </c>
      <c r="H1530" s="2">
        <v>4.1429999999999998</v>
      </c>
      <c r="I1530">
        <v>141.7712396</v>
      </c>
      <c r="J1530" s="3">
        <v>8.2530000000000001</v>
      </c>
    </row>
    <row r="1531" spans="1:10" x14ac:dyDescent="0.25">
      <c r="A1531">
        <v>27</v>
      </c>
      <c r="B1531" s="1">
        <v>41004</v>
      </c>
      <c r="C1531">
        <v>4</v>
      </c>
      <c r="D1531">
        <v>2012</v>
      </c>
      <c r="E1531" s="2">
        <v>1669388.45</v>
      </c>
      <c r="F1531">
        <v>0</v>
      </c>
      <c r="G1531" s="3">
        <v>53.68</v>
      </c>
      <c r="H1531" s="2">
        <v>4.1239999999999997</v>
      </c>
      <c r="I1531">
        <v>142.01779289999999</v>
      </c>
      <c r="J1531" s="3">
        <v>8.2530000000000001</v>
      </c>
    </row>
    <row r="1532" spans="1:10" x14ac:dyDescent="0.25">
      <c r="A1532">
        <v>27</v>
      </c>
      <c r="B1532" s="1">
        <v>41218</v>
      </c>
      <c r="C1532">
        <v>11</v>
      </c>
      <c r="D1532">
        <v>2012</v>
      </c>
      <c r="E1532" s="2">
        <v>1674306.31</v>
      </c>
      <c r="F1532">
        <v>0</v>
      </c>
      <c r="G1532" s="3">
        <v>58.97</v>
      </c>
      <c r="H1532" s="2">
        <v>4.0549999999999997</v>
      </c>
      <c r="I1532">
        <v>142.0759262</v>
      </c>
      <c r="J1532" s="3">
        <v>8.2530000000000001</v>
      </c>
    </row>
    <row r="1533" spans="1:10" x14ac:dyDescent="0.25">
      <c r="A1533">
        <v>27</v>
      </c>
      <c r="B1533" s="1">
        <v>40914</v>
      </c>
      <c r="C1533">
        <v>1</v>
      </c>
      <c r="D1533">
        <v>2012</v>
      </c>
      <c r="E1533" s="2">
        <v>1900638.6</v>
      </c>
      <c r="F1533">
        <v>0</v>
      </c>
      <c r="G1533" s="3">
        <v>73.400000000000006</v>
      </c>
      <c r="H1533" s="2">
        <v>3.915</v>
      </c>
      <c r="I1533">
        <v>142.10954380000001</v>
      </c>
      <c r="J1533" s="3">
        <v>8.2530000000000001</v>
      </c>
    </row>
    <row r="1534" spans="1:10" x14ac:dyDescent="0.25">
      <c r="A1534">
        <v>27</v>
      </c>
      <c r="B1534" s="1">
        <v>41127</v>
      </c>
      <c r="C1534">
        <v>8</v>
      </c>
      <c r="D1534">
        <v>2012</v>
      </c>
      <c r="E1534" s="2">
        <v>1764756.31</v>
      </c>
      <c r="F1534">
        <v>0</v>
      </c>
      <c r="G1534" s="3">
        <v>64.05</v>
      </c>
      <c r="H1534" s="2">
        <v>3.871</v>
      </c>
      <c r="I1534">
        <v>142.11580989999999</v>
      </c>
      <c r="J1534" s="3">
        <v>8.2530000000000001</v>
      </c>
    </row>
    <row r="1535" spans="1:10" x14ac:dyDescent="0.25">
      <c r="A1535">
        <v>27</v>
      </c>
      <c r="B1535" s="1">
        <v>41067</v>
      </c>
      <c r="C1535">
        <v>6</v>
      </c>
      <c r="D1535">
        <v>2012</v>
      </c>
      <c r="E1535" s="2">
        <v>2062224.92</v>
      </c>
      <c r="F1535">
        <v>0</v>
      </c>
      <c r="G1535" s="3">
        <v>82.08</v>
      </c>
      <c r="H1535" s="2">
        <v>3.6459999999999999</v>
      </c>
      <c r="I1535">
        <v>142.22342979999999</v>
      </c>
      <c r="J1535" s="3">
        <v>8.2390000000000008</v>
      </c>
    </row>
    <row r="1536" spans="1:10" x14ac:dyDescent="0.25">
      <c r="A1536">
        <v>27</v>
      </c>
      <c r="B1536" s="1">
        <v>40976</v>
      </c>
      <c r="C1536">
        <v>3</v>
      </c>
      <c r="D1536">
        <v>2012</v>
      </c>
      <c r="E1536" s="2">
        <v>1705810.84</v>
      </c>
      <c r="F1536">
        <v>0</v>
      </c>
      <c r="G1536" s="3">
        <v>75.22</v>
      </c>
      <c r="H1536" s="2">
        <v>3.819</v>
      </c>
      <c r="I1536">
        <v>142.19162789999999</v>
      </c>
      <c r="J1536" s="3">
        <v>8.2390000000000008</v>
      </c>
    </row>
    <row r="1537" spans="1:10" x14ac:dyDescent="0.25">
      <c r="A1537">
        <v>27</v>
      </c>
      <c r="B1537" s="1">
        <v>41190</v>
      </c>
      <c r="C1537">
        <v>10</v>
      </c>
      <c r="D1537">
        <v>2012</v>
      </c>
      <c r="E1537" s="2">
        <v>1720537.26</v>
      </c>
      <c r="F1537">
        <v>0</v>
      </c>
      <c r="G1537" s="3">
        <v>78.44</v>
      </c>
      <c r="H1537" s="2">
        <v>3.863</v>
      </c>
      <c r="I1537">
        <v>142.17056339999999</v>
      </c>
      <c r="J1537" s="3">
        <v>8.2390000000000008</v>
      </c>
    </row>
    <row r="1538" spans="1:10" x14ac:dyDescent="0.25">
      <c r="A1538">
        <v>27</v>
      </c>
      <c r="B1538" s="1">
        <v>41099</v>
      </c>
      <c r="C1538">
        <v>7</v>
      </c>
      <c r="D1538">
        <v>2012</v>
      </c>
      <c r="E1538" s="2">
        <v>1840955.23</v>
      </c>
      <c r="F1538">
        <v>1</v>
      </c>
      <c r="G1538" s="3">
        <v>76</v>
      </c>
      <c r="H1538" s="2">
        <v>4.0759999999999996</v>
      </c>
      <c r="I1538">
        <v>142.500303</v>
      </c>
      <c r="J1538" s="3">
        <v>8.2390000000000008</v>
      </c>
    </row>
    <row r="1539" spans="1:10" x14ac:dyDescent="0.25">
      <c r="A1539">
        <v>27</v>
      </c>
      <c r="B1539" s="1">
        <v>41039</v>
      </c>
      <c r="C1539">
        <v>5</v>
      </c>
      <c r="D1539">
        <v>2012</v>
      </c>
      <c r="E1539" s="2">
        <v>1591816.88</v>
      </c>
      <c r="F1539">
        <v>0</v>
      </c>
      <c r="G1539" s="3">
        <v>64.5</v>
      </c>
      <c r="H1539" s="2">
        <v>4.1509999999999998</v>
      </c>
      <c r="I1539">
        <v>142.85168329999999</v>
      </c>
      <c r="J1539" s="3">
        <v>8</v>
      </c>
    </row>
    <row r="1540" spans="1:10" x14ac:dyDescent="0.25">
      <c r="A1540">
        <v>27</v>
      </c>
      <c r="B1540" s="1">
        <v>41253</v>
      </c>
      <c r="C1540">
        <v>12</v>
      </c>
      <c r="D1540">
        <v>2012</v>
      </c>
      <c r="E1540" s="2">
        <v>1660081.29</v>
      </c>
      <c r="F1540">
        <v>0</v>
      </c>
      <c r="G1540" s="3">
        <v>55.4</v>
      </c>
      <c r="H1540" s="2">
        <v>4.1859999999999999</v>
      </c>
      <c r="I1540">
        <v>142.93761670000001</v>
      </c>
      <c r="J1540" s="3">
        <v>8</v>
      </c>
    </row>
    <row r="1541" spans="1:10" x14ac:dyDescent="0.25">
      <c r="A1541">
        <v>28</v>
      </c>
      <c r="B1541" s="1">
        <v>40300</v>
      </c>
      <c r="C1541">
        <v>5</v>
      </c>
      <c r="D1541">
        <v>2010</v>
      </c>
      <c r="E1541" s="2">
        <v>1672352.29</v>
      </c>
      <c r="F1541">
        <v>0</v>
      </c>
      <c r="G1541" s="3">
        <v>49.47</v>
      </c>
      <c r="H1541" s="2">
        <v>2.9620000000000002</v>
      </c>
      <c r="I1541">
        <v>126.4420645</v>
      </c>
      <c r="J1541" s="3">
        <v>13.975</v>
      </c>
    </row>
    <row r="1542" spans="1:10" x14ac:dyDescent="0.25">
      <c r="A1542">
        <v>28</v>
      </c>
      <c r="B1542" s="1">
        <v>40514</v>
      </c>
      <c r="C1542">
        <v>12</v>
      </c>
      <c r="D1542">
        <v>2010</v>
      </c>
      <c r="E1542" s="2">
        <v>1558968.49</v>
      </c>
      <c r="F1542">
        <v>1</v>
      </c>
      <c r="G1542" s="3">
        <v>47.87</v>
      </c>
      <c r="H1542" s="2">
        <v>2.9460000000000002</v>
      </c>
      <c r="I1542">
        <v>126.49625810000001</v>
      </c>
      <c r="J1542" s="3">
        <v>13.975</v>
      </c>
    </row>
    <row r="1543" spans="1:10" x14ac:dyDescent="0.25">
      <c r="A1543">
        <v>28</v>
      </c>
      <c r="B1543" s="1">
        <v>40301</v>
      </c>
      <c r="C1543">
        <v>5</v>
      </c>
      <c r="D1543">
        <v>2010</v>
      </c>
      <c r="E1543" s="2">
        <v>1608435.45</v>
      </c>
      <c r="F1543">
        <v>0</v>
      </c>
      <c r="G1543" s="3">
        <v>53.77</v>
      </c>
      <c r="H1543" s="2">
        <v>2.9870000000000001</v>
      </c>
      <c r="I1543">
        <v>126.5782857</v>
      </c>
      <c r="J1543" s="3">
        <v>13.975</v>
      </c>
    </row>
    <row r="1544" spans="1:10" x14ac:dyDescent="0.25">
      <c r="A1544">
        <v>28</v>
      </c>
      <c r="B1544" s="1">
        <v>40515</v>
      </c>
      <c r="C1544">
        <v>12</v>
      </c>
      <c r="D1544">
        <v>2010</v>
      </c>
      <c r="E1544" s="2">
        <v>1326877.1100000001</v>
      </c>
      <c r="F1544">
        <v>0</v>
      </c>
      <c r="G1544" s="3">
        <v>50.11</v>
      </c>
      <c r="H1544" s="2">
        <v>2.9249999999999998</v>
      </c>
      <c r="I1544">
        <v>126.60428570000001</v>
      </c>
      <c r="J1544" s="3">
        <v>13.975</v>
      </c>
    </row>
    <row r="1545" spans="1:10" x14ac:dyDescent="0.25">
      <c r="A1545">
        <v>28</v>
      </c>
      <c r="B1545" s="1">
        <v>40213</v>
      </c>
      <c r="C1545">
        <v>2</v>
      </c>
      <c r="D1545">
        <v>2010</v>
      </c>
      <c r="E1545" s="2">
        <v>1441559.4</v>
      </c>
      <c r="F1545">
        <v>0</v>
      </c>
      <c r="G1545" s="3">
        <v>59.84</v>
      </c>
      <c r="H1545" s="2">
        <v>3.0859999999999999</v>
      </c>
      <c r="I1545">
        <v>126.6034839</v>
      </c>
      <c r="J1545" s="3">
        <v>14.099</v>
      </c>
    </row>
    <row r="1546" spans="1:10" x14ac:dyDescent="0.25">
      <c r="A1546">
        <v>28</v>
      </c>
      <c r="B1546" s="1">
        <v>40425</v>
      </c>
      <c r="C1546">
        <v>9</v>
      </c>
      <c r="D1546">
        <v>2010</v>
      </c>
      <c r="E1546" s="2">
        <v>1382359.21</v>
      </c>
      <c r="F1546">
        <v>0</v>
      </c>
      <c r="G1546" s="3">
        <v>59.25</v>
      </c>
      <c r="H1546" s="2">
        <v>3.09</v>
      </c>
      <c r="I1546">
        <v>126.6019032</v>
      </c>
      <c r="J1546" s="3">
        <v>14.099</v>
      </c>
    </row>
    <row r="1547" spans="1:10" x14ac:dyDescent="0.25">
      <c r="A1547">
        <v>28</v>
      </c>
      <c r="B1547" s="1">
        <v>40364</v>
      </c>
      <c r="C1547">
        <v>7</v>
      </c>
      <c r="D1547">
        <v>2010</v>
      </c>
      <c r="E1547" s="2">
        <v>1532893.22</v>
      </c>
      <c r="F1547">
        <v>0</v>
      </c>
      <c r="G1547" s="3">
        <v>70.150000000000006</v>
      </c>
      <c r="H1547" s="2">
        <v>3.1269999999999998</v>
      </c>
      <c r="I1547">
        <v>126.2898</v>
      </c>
      <c r="J1547" s="3">
        <v>14.099</v>
      </c>
    </row>
    <row r="1548" spans="1:10" x14ac:dyDescent="0.25">
      <c r="A1548">
        <v>28</v>
      </c>
      <c r="B1548" s="1">
        <v>40274</v>
      </c>
      <c r="C1548">
        <v>4</v>
      </c>
      <c r="D1548">
        <v>2010</v>
      </c>
      <c r="E1548" s="2">
        <v>1543678.02</v>
      </c>
      <c r="F1548">
        <v>0</v>
      </c>
      <c r="G1548" s="3">
        <v>81.39</v>
      </c>
      <c r="H1548" s="2">
        <v>2.9409999999999998</v>
      </c>
      <c r="I1548">
        <v>126.1360645</v>
      </c>
      <c r="J1548" s="3">
        <v>14.099</v>
      </c>
    </row>
    <row r="1549" spans="1:10" x14ac:dyDescent="0.25">
      <c r="A1549">
        <v>28</v>
      </c>
      <c r="B1549" s="1">
        <v>40488</v>
      </c>
      <c r="C1549">
        <v>11</v>
      </c>
      <c r="D1549">
        <v>2010</v>
      </c>
      <c r="E1549" s="2">
        <v>1348995.17</v>
      </c>
      <c r="F1549">
        <v>0</v>
      </c>
      <c r="G1549" s="3">
        <v>90.84</v>
      </c>
      <c r="H1549" s="2">
        <v>2.9489999999999998</v>
      </c>
      <c r="I1549">
        <v>126.1119032</v>
      </c>
      <c r="J1549" s="3">
        <v>14.099</v>
      </c>
    </row>
    <row r="1550" spans="1:10" x14ac:dyDescent="0.25">
      <c r="A1550">
        <v>28</v>
      </c>
      <c r="B1550" s="1">
        <v>40216</v>
      </c>
      <c r="C1550">
        <v>2</v>
      </c>
      <c r="D1550">
        <v>2010</v>
      </c>
      <c r="E1550" s="2">
        <v>1399960.15</v>
      </c>
      <c r="F1550">
        <v>0</v>
      </c>
      <c r="G1550" s="3">
        <v>91.98</v>
      </c>
      <c r="H1550" s="2">
        <v>3.105</v>
      </c>
      <c r="I1550">
        <v>126.1392</v>
      </c>
      <c r="J1550" s="3">
        <v>14.18</v>
      </c>
    </row>
    <row r="1551" spans="1:10" x14ac:dyDescent="0.25">
      <c r="A1551">
        <v>28</v>
      </c>
      <c r="B1551" s="1">
        <v>40428</v>
      </c>
      <c r="C1551">
        <v>9</v>
      </c>
      <c r="D1551">
        <v>2010</v>
      </c>
      <c r="E1551" s="2">
        <v>1340293.8700000001</v>
      </c>
      <c r="F1551">
        <v>0</v>
      </c>
      <c r="G1551" s="3">
        <v>90.37</v>
      </c>
      <c r="H1551" s="2">
        <v>3.1</v>
      </c>
      <c r="I1551">
        <v>126.15179999999999</v>
      </c>
      <c r="J1551" s="3">
        <v>14.18</v>
      </c>
    </row>
    <row r="1552" spans="1:10" x14ac:dyDescent="0.25">
      <c r="A1552">
        <v>28</v>
      </c>
      <c r="B1552" s="1">
        <v>40337</v>
      </c>
      <c r="C1552">
        <v>6</v>
      </c>
      <c r="D1552">
        <v>2010</v>
      </c>
      <c r="E1552" s="2">
        <v>1523101.38</v>
      </c>
      <c r="F1552">
        <v>0</v>
      </c>
      <c r="G1552" s="3">
        <v>92.95</v>
      </c>
      <c r="H1552" s="2">
        <v>3.1230000000000002</v>
      </c>
      <c r="I1552">
        <v>126.0854516</v>
      </c>
      <c r="J1552" s="3">
        <v>14.18</v>
      </c>
    </row>
    <row r="1553" spans="1:10" x14ac:dyDescent="0.25">
      <c r="A1553">
        <v>28</v>
      </c>
      <c r="B1553" s="1">
        <v>40246</v>
      </c>
      <c r="C1553">
        <v>3</v>
      </c>
      <c r="D1553">
        <v>2010</v>
      </c>
      <c r="E1553" s="2">
        <v>1523410.71</v>
      </c>
      <c r="F1553">
        <v>0</v>
      </c>
      <c r="G1553" s="3">
        <v>83.12</v>
      </c>
      <c r="H1553" s="2">
        <v>3.0870000000000002</v>
      </c>
      <c r="I1553">
        <v>126.1019355</v>
      </c>
      <c r="J1553" s="3">
        <v>14.18</v>
      </c>
    </row>
    <row r="1554" spans="1:10" x14ac:dyDescent="0.25">
      <c r="A1554">
        <v>28</v>
      </c>
      <c r="B1554" s="1">
        <v>40460</v>
      </c>
      <c r="C1554">
        <v>10</v>
      </c>
      <c r="D1554">
        <v>2010</v>
      </c>
      <c r="E1554" s="2">
        <v>1246062.17</v>
      </c>
      <c r="F1554">
        <v>1</v>
      </c>
      <c r="G1554" s="3">
        <v>83.63</v>
      </c>
      <c r="H1554" s="2">
        <v>3.044</v>
      </c>
      <c r="I1554">
        <v>126.1145806</v>
      </c>
      <c r="J1554" s="3">
        <v>14.18</v>
      </c>
    </row>
    <row r="1555" spans="1:10" x14ac:dyDescent="0.25">
      <c r="A1555">
        <v>28</v>
      </c>
      <c r="B1555" s="1">
        <v>40188</v>
      </c>
      <c r="C1555">
        <v>1</v>
      </c>
      <c r="D1555">
        <v>2010</v>
      </c>
      <c r="E1555" s="2">
        <v>1203080.4099999999</v>
      </c>
      <c r="F1555">
        <v>0</v>
      </c>
      <c r="G1555" s="3">
        <v>85.2</v>
      </c>
      <c r="H1555" s="2">
        <v>3.0009999999999999</v>
      </c>
      <c r="I1555">
        <v>126.2346</v>
      </c>
      <c r="J1555" s="3">
        <v>14.313000000000001</v>
      </c>
    </row>
    <row r="1556" spans="1:10" x14ac:dyDescent="0.25">
      <c r="A1556">
        <v>28</v>
      </c>
      <c r="B1556" s="1">
        <v>40400</v>
      </c>
      <c r="C1556">
        <v>8</v>
      </c>
      <c r="D1556">
        <v>2010</v>
      </c>
      <c r="E1556" s="2">
        <v>1334571.8700000001</v>
      </c>
      <c r="F1556">
        <v>0</v>
      </c>
      <c r="G1556" s="3">
        <v>71.819999999999993</v>
      </c>
      <c r="H1556" s="2">
        <v>3.0129999999999999</v>
      </c>
      <c r="I1556">
        <v>126.2791667</v>
      </c>
      <c r="J1556" s="3">
        <v>14.313000000000001</v>
      </c>
    </row>
    <row r="1557" spans="1:10" x14ac:dyDescent="0.25">
      <c r="A1557">
        <v>28</v>
      </c>
      <c r="B1557" s="1">
        <v>40309</v>
      </c>
      <c r="C1557">
        <v>5</v>
      </c>
      <c r="D1557">
        <v>2010</v>
      </c>
      <c r="E1557" s="2">
        <v>1501663.26</v>
      </c>
      <c r="F1557">
        <v>0</v>
      </c>
      <c r="G1557" s="3">
        <v>65.489999999999995</v>
      </c>
      <c r="H1557" s="2">
        <v>3.129</v>
      </c>
      <c r="I1557">
        <v>126.4912903</v>
      </c>
      <c r="J1557" s="3">
        <v>14.313000000000001</v>
      </c>
    </row>
    <row r="1558" spans="1:10" x14ac:dyDescent="0.25">
      <c r="A1558">
        <v>28</v>
      </c>
      <c r="B1558" s="1">
        <v>40523</v>
      </c>
      <c r="C1558">
        <v>12</v>
      </c>
      <c r="D1558">
        <v>2010</v>
      </c>
      <c r="E1558" s="2">
        <v>1266460.45</v>
      </c>
      <c r="F1558">
        <v>0</v>
      </c>
      <c r="G1558" s="3">
        <v>57.79</v>
      </c>
      <c r="H1558" s="2">
        <v>3.13</v>
      </c>
      <c r="I1558">
        <v>126.54616129999999</v>
      </c>
      <c r="J1558" s="3">
        <v>14.313000000000001</v>
      </c>
    </row>
    <row r="1559" spans="1:10" x14ac:dyDescent="0.25">
      <c r="A1559">
        <v>28</v>
      </c>
      <c r="B1559" s="1">
        <v>40249</v>
      </c>
      <c r="C1559">
        <v>3</v>
      </c>
      <c r="D1559">
        <v>2010</v>
      </c>
      <c r="E1559" s="2">
        <v>1447916.29</v>
      </c>
      <c r="F1559">
        <v>0</v>
      </c>
      <c r="G1559" s="3">
        <v>43.33</v>
      </c>
      <c r="H1559" s="2">
        <v>3.0409999999999999</v>
      </c>
      <c r="I1559">
        <v>126.7313333</v>
      </c>
      <c r="J1559" s="3">
        <v>14.313000000000001</v>
      </c>
    </row>
    <row r="1560" spans="1:10" x14ac:dyDescent="0.25">
      <c r="A1560">
        <v>28</v>
      </c>
      <c r="B1560" s="1">
        <v>40463</v>
      </c>
      <c r="C1560">
        <v>10</v>
      </c>
      <c r="D1560">
        <v>2010</v>
      </c>
      <c r="E1560" s="2">
        <v>1466164.49</v>
      </c>
      <c r="F1560">
        <v>0</v>
      </c>
      <c r="G1560" s="3">
        <v>50.01</v>
      </c>
      <c r="H1560" s="2">
        <v>3.2029999999999998</v>
      </c>
      <c r="I1560">
        <v>126.79340000000001</v>
      </c>
      <c r="J1560" s="3">
        <v>14.313000000000001</v>
      </c>
    </row>
    <row r="1561" spans="1:10" x14ac:dyDescent="0.25">
      <c r="A1561">
        <v>28</v>
      </c>
      <c r="B1561" s="1">
        <v>40725</v>
      </c>
      <c r="C1561">
        <v>7</v>
      </c>
      <c r="D1561">
        <v>2011</v>
      </c>
      <c r="E1561" s="2">
        <v>1402902.47</v>
      </c>
      <c r="F1561">
        <v>0</v>
      </c>
      <c r="G1561" s="3">
        <v>37.64</v>
      </c>
      <c r="H1561" s="2">
        <v>3.2869999999999999</v>
      </c>
      <c r="I1561">
        <v>127.1917742</v>
      </c>
      <c r="J1561" s="3">
        <v>14.021000000000001</v>
      </c>
    </row>
    <row r="1562" spans="1:10" x14ac:dyDescent="0.25">
      <c r="A1562">
        <v>28</v>
      </c>
      <c r="B1562" s="1">
        <v>40635</v>
      </c>
      <c r="C1562">
        <v>4</v>
      </c>
      <c r="D1562">
        <v>2011</v>
      </c>
      <c r="E1562" s="2">
        <v>1564897.32</v>
      </c>
      <c r="F1562">
        <v>0</v>
      </c>
      <c r="G1562" s="3">
        <v>45.14</v>
      </c>
      <c r="H1562" s="2">
        <v>3.3479999999999999</v>
      </c>
      <c r="I1562">
        <v>127.7195806</v>
      </c>
      <c r="J1562" s="3">
        <v>14.021000000000001</v>
      </c>
    </row>
    <row r="1563" spans="1:10" x14ac:dyDescent="0.25">
      <c r="A1563">
        <v>28</v>
      </c>
      <c r="B1563" s="1">
        <v>40849</v>
      </c>
      <c r="C1563">
        <v>11</v>
      </c>
      <c r="D1563">
        <v>2011</v>
      </c>
      <c r="E1563" s="2">
        <v>1397301.38</v>
      </c>
      <c r="F1563">
        <v>1</v>
      </c>
      <c r="G1563" s="3">
        <v>51.3</v>
      </c>
      <c r="H1563" s="2">
        <v>3.3809999999999998</v>
      </c>
      <c r="I1563">
        <v>127.859129</v>
      </c>
      <c r="J1563" s="3">
        <v>14.021000000000001</v>
      </c>
    </row>
    <row r="1564" spans="1:10" x14ac:dyDescent="0.25">
      <c r="A1564">
        <v>28</v>
      </c>
      <c r="B1564" s="1">
        <v>40636</v>
      </c>
      <c r="C1564">
        <v>4</v>
      </c>
      <c r="D1564">
        <v>2011</v>
      </c>
      <c r="E1564" s="2">
        <v>1723736.91</v>
      </c>
      <c r="F1564">
        <v>0</v>
      </c>
      <c r="G1564" s="3">
        <v>51.72</v>
      </c>
      <c r="H1564" s="2">
        <v>3.6739999999999999</v>
      </c>
      <c r="I1564">
        <v>128.26474999999999</v>
      </c>
      <c r="J1564" s="3">
        <v>14.021000000000001</v>
      </c>
    </row>
    <row r="1565" spans="1:10" x14ac:dyDescent="0.25">
      <c r="A1565">
        <v>28</v>
      </c>
      <c r="B1565" s="1">
        <v>40850</v>
      </c>
      <c r="C1565">
        <v>11</v>
      </c>
      <c r="D1565">
        <v>2011</v>
      </c>
      <c r="E1565" s="2">
        <v>1380836.35</v>
      </c>
      <c r="F1565">
        <v>0</v>
      </c>
      <c r="G1565" s="3">
        <v>57.75</v>
      </c>
      <c r="H1565" s="2">
        <v>3.8180000000000001</v>
      </c>
      <c r="I1565">
        <v>128.39949999999999</v>
      </c>
      <c r="J1565" s="3">
        <v>14.021000000000001</v>
      </c>
    </row>
    <row r="1566" spans="1:10" x14ac:dyDescent="0.25">
      <c r="A1566">
        <v>28</v>
      </c>
      <c r="B1566" s="1">
        <v>40547</v>
      </c>
      <c r="C1566">
        <v>1</v>
      </c>
      <c r="D1566">
        <v>2011</v>
      </c>
      <c r="E1566" s="2">
        <v>1336838.4099999999</v>
      </c>
      <c r="F1566">
        <v>0</v>
      </c>
      <c r="G1566" s="3">
        <v>63.63</v>
      </c>
      <c r="H1566" s="2">
        <v>3.7719999999999998</v>
      </c>
      <c r="I1566">
        <v>128.71993549999999</v>
      </c>
      <c r="J1566" s="3">
        <v>13.736000000000001</v>
      </c>
    </row>
    <row r="1567" spans="1:10" x14ac:dyDescent="0.25">
      <c r="A1567">
        <v>28</v>
      </c>
      <c r="B1567" s="1">
        <v>40759</v>
      </c>
      <c r="C1567">
        <v>8</v>
      </c>
      <c r="D1567">
        <v>2011</v>
      </c>
      <c r="E1567" s="2">
        <v>1414713.5</v>
      </c>
      <c r="F1567">
        <v>0</v>
      </c>
      <c r="G1567" s="3">
        <v>64.47</v>
      </c>
      <c r="H1567" s="2">
        <v>4.0030000000000001</v>
      </c>
      <c r="I1567">
        <v>128.82380649999999</v>
      </c>
      <c r="J1567" s="3">
        <v>13.736000000000001</v>
      </c>
    </row>
    <row r="1568" spans="1:10" x14ac:dyDescent="0.25">
      <c r="A1568">
        <v>28</v>
      </c>
      <c r="B1568" s="1">
        <v>40699</v>
      </c>
      <c r="C1568">
        <v>6</v>
      </c>
      <c r="D1568">
        <v>2011</v>
      </c>
      <c r="E1568" s="2">
        <v>1515890.38</v>
      </c>
      <c r="F1568">
        <v>0</v>
      </c>
      <c r="G1568" s="3">
        <v>68.400000000000006</v>
      </c>
      <c r="H1568" s="2">
        <v>4.1929999999999996</v>
      </c>
      <c r="I1568">
        <v>129.04443330000001</v>
      </c>
      <c r="J1568" s="3">
        <v>13.736000000000001</v>
      </c>
    </row>
    <row r="1569" spans="1:10" x14ac:dyDescent="0.25">
      <c r="A1569">
        <v>28</v>
      </c>
      <c r="B1569" s="1">
        <v>40608</v>
      </c>
      <c r="C1569">
        <v>3</v>
      </c>
      <c r="D1569">
        <v>2011</v>
      </c>
      <c r="E1569" s="2">
        <v>1403779.25</v>
      </c>
      <c r="F1569">
        <v>0</v>
      </c>
      <c r="G1569" s="3">
        <v>71.81</v>
      </c>
      <c r="H1569" s="2">
        <v>4.0309999999999997</v>
      </c>
      <c r="I1569">
        <v>129.04903229999999</v>
      </c>
      <c r="J1569" s="3">
        <v>13.736000000000001</v>
      </c>
    </row>
    <row r="1570" spans="1:10" x14ac:dyDescent="0.25">
      <c r="A1570">
        <v>28</v>
      </c>
      <c r="B1570" s="1">
        <v>40822</v>
      </c>
      <c r="C1570">
        <v>10</v>
      </c>
      <c r="D1570">
        <v>2011</v>
      </c>
      <c r="E1570" s="2">
        <v>1339972.83</v>
      </c>
      <c r="F1570">
        <v>0</v>
      </c>
      <c r="G1570" s="3">
        <v>78.72</v>
      </c>
      <c r="H1570" s="2">
        <v>3.9809999999999999</v>
      </c>
      <c r="I1570">
        <v>129.03570970000001</v>
      </c>
      <c r="J1570" s="3">
        <v>13.736000000000001</v>
      </c>
    </row>
    <row r="1571" spans="1:10" x14ac:dyDescent="0.25">
      <c r="A1571">
        <v>28</v>
      </c>
      <c r="B1571" s="1">
        <v>40550</v>
      </c>
      <c r="C1571">
        <v>1</v>
      </c>
      <c r="D1571">
        <v>2011</v>
      </c>
      <c r="E1571" s="2">
        <v>1319054.57</v>
      </c>
      <c r="F1571">
        <v>0</v>
      </c>
      <c r="G1571" s="3">
        <v>89.85</v>
      </c>
      <c r="H1571" s="2">
        <v>3.8420000000000001</v>
      </c>
      <c r="I1571">
        <v>129.08940000000001</v>
      </c>
      <c r="J1571" s="3">
        <v>13.503</v>
      </c>
    </row>
    <row r="1572" spans="1:10" x14ac:dyDescent="0.25">
      <c r="A1572">
        <v>28</v>
      </c>
      <c r="B1572" s="1">
        <v>40762</v>
      </c>
      <c r="C1572">
        <v>8</v>
      </c>
      <c r="D1572">
        <v>2011</v>
      </c>
      <c r="E1572" s="2">
        <v>1459655.85</v>
      </c>
      <c r="F1572">
        <v>0</v>
      </c>
      <c r="G1572" s="3">
        <v>89.9</v>
      </c>
      <c r="H1572" s="2">
        <v>3.7050000000000001</v>
      </c>
      <c r="I1572">
        <v>129.11250000000001</v>
      </c>
      <c r="J1572" s="3">
        <v>13.503</v>
      </c>
    </row>
    <row r="1573" spans="1:10" x14ac:dyDescent="0.25">
      <c r="A1573">
        <v>28</v>
      </c>
      <c r="B1573" s="1">
        <v>40671</v>
      </c>
      <c r="C1573">
        <v>5</v>
      </c>
      <c r="D1573">
        <v>2011</v>
      </c>
      <c r="E1573" s="2">
        <v>1523870.89</v>
      </c>
      <c r="F1573">
        <v>0</v>
      </c>
      <c r="G1573" s="3">
        <v>90.61</v>
      </c>
      <c r="H1573" s="2">
        <v>3.8029999999999999</v>
      </c>
      <c r="I1573">
        <v>129.18464520000001</v>
      </c>
      <c r="J1573" s="3">
        <v>13.503</v>
      </c>
    </row>
    <row r="1574" spans="1:10" x14ac:dyDescent="0.25">
      <c r="A1574">
        <v>28</v>
      </c>
      <c r="B1574" s="1">
        <v>40885</v>
      </c>
      <c r="C1574">
        <v>12</v>
      </c>
      <c r="D1574">
        <v>2011</v>
      </c>
      <c r="E1574" s="2">
        <v>1218764.94</v>
      </c>
      <c r="F1574">
        <v>0</v>
      </c>
      <c r="G1574" s="3">
        <v>91.04</v>
      </c>
      <c r="H1574" s="2">
        <v>3.7010000000000001</v>
      </c>
      <c r="I1574">
        <v>129.2015806</v>
      </c>
      <c r="J1574" s="3">
        <v>13.503</v>
      </c>
    </row>
    <row r="1575" spans="1:10" x14ac:dyDescent="0.25">
      <c r="A1575">
        <v>28</v>
      </c>
      <c r="B1575" s="1">
        <v>40583</v>
      </c>
      <c r="C1575">
        <v>2</v>
      </c>
      <c r="D1575">
        <v>2011</v>
      </c>
      <c r="E1575" s="2">
        <v>1468871.49</v>
      </c>
      <c r="F1575">
        <v>0</v>
      </c>
      <c r="G1575" s="3">
        <v>93.66</v>
      </c>
      <c r="H1575" s="2">
        <v>3.798</v>
      </c>
      <c r="I1575">
        <v>129.32593550000001</v>
      </c>
      <c r="J1575" s="3">
        <v>13.503</v>
      </c>
    </row>
    <row r="1576" spans="1:10" x14ac:dyDescent="0.25">
      <c r="A1576">
        <v>28</v>
      </c>
      <c r="B1576" s="1">
        <v>40795</v>
      </c>
      <c r="C1576">
        <v>9</v>
      </c>
      <c r="D1576">
        <v>2011</v>
      </c>
      <c r="E1576" s="2">
        <v>1310087</v>
      </c>
      <c r="F1576">
        <v>1</v>
      </c>
      <c r="G1576" s="3">
        <v>88</v>
      </c>
      <c r="H1576" s="2">
        <v>3.9129999999999998</v>
      </c>
      <c r="I1576">
        <v>129.36861289999999</v>
      </c>
      <c r="J1576" s="3">
        <v>13.503</v>
      </c>
    </row>
    <row r="1577" spans="1:10" x14ac:dyDescent="0.25">
      <c r="A1577">
        <v>28</v>
      </c>
      <c r="B1577" s="1">
        <v>40734</v>
      </c>
      <c r="C1577">
        <v>7</v>
      </c>
      <c r="D1577">
        <v>2011</v>
      </c>
      <c r="E1577" s="2">
        <v>1557314.58</v>
      </c>
      <c r="F1577">
        <v>0</v>
      </c>
      <c r="G1577" s="3">
        <v>70.44</v>
      </c>
      <c r="H1577" s="2">
        <v>3.827</v>
      </c>
      <c r="I1577">
        <v>129.69380000000001</v>
      </c>
      <c r="J1577" s="3">
        <v>12.89</v>
      </c>
    </row>
    <row r="1578" spans="1:10" x14ac:dyDescent="0.25">
      <c r="A1578">
        <v>28</v>
      </c>
      <c r="B1578" s="1">
        <v>40644</v>
      </c>
      <c r="C1578">
        <v>4</v>
      </c>
      <c r="D1578">
        <v>2011</v>
      </c>
      <c r="E1578" s="2">
        <v>1576654.67</v>
      </c>
      <c r="F1578">
        <v>0</v>
      </c>
      <c r="G1578" s="3">
        <v>59.77</v>
      </c>
      <c r="H1578" s="2">
        <v>3.8279999999999998</v>
      </c>
      <c r="I1578">
        <v>129.8051935</v>
      </c>
      <c r="J1578" s="3">
        <v>12.89</v>
      </c>
    </row>
    <row r="1579" spans="1:10" x14ac:dyDescent="0.25">
      <c r="A1579">
        <v>28</v>
      </c>
      <c r="B1579" s="1">
        <v>40858</v>
      </c>
      <c r="C1579">
        <v>11</v>
      </c>
      <c r="D1579">
        <v>2011</v>
      </c>
      <c r="E1579" s="2">
        <v>1402654.95</v>
      </c>
      <c r="F1579">
        <v>0</v>
      </c>
      <c r="G1579" s="3">
        <v>48.76</v>
      </c>
      <c r="H1579" s="2">
        <v>3.8239999999999998</v>
      </c>
      <c r="I1579">
        <v>129.81670969999999</v>
      </c>
      <c r="J1579" s="3">
        <v>12.89</v>
      </c>
    </row>
    <row r="1580" spans="1:10" x14ac:dyDescent="0.25">
      <c r="A1580">
        <v>28</v>
      </c>
      <c r="B1580" s="1">
        <v>40586</v>
      </c>
      <c r="C1580">
        <v>2</v>
      </c>
      <c r="D1580">
        <v>2011</v>
      </c>
      <c r="E1580" s="2">
        <v>1368130.35</v>
      </c>
      <c r="F1580">
        <v>0</v>
      </c>
      <c r="G1580" s="3">
        <v>52.5</v>
      </c>
      <c r="H1580" s="2">
        <v>3.7010000000000001</v>
      </c>
      <c r="I1580">
        <v>129.84596669999999</v>
      </c>
      <c r="J1580" s="3">
        <v>12.89</v>
      </c>
    </row>
    <row r="1581" spans="1:10" x14ac:dyDescent="0.25">
      <c r="A1581">
        <v>28</v>
      </c>
      <c r="B1581" s="1">
        <v>40798</v>
      </c>
      <c r="C1581">
        <v>9</v>
      </c>
      <c r="D1581">
        <v>2011</v>
      </c>
      <c r="E1581" s="2">
        <v>1467024.3</v>
      </c>
      <c r="F1581">
        <v>0</v>
      </c>
      <c r="G1581" s="3">
        <v>42.17</v>
      </c>
      <c r="H1581" s="2">
        <v>3.6440000000000001</v>
      </c>
      <c r="I1581">
        <v>129.85553329999999</v>
      </c>
      <c r="J1581" s="3">
        <v>12.89</v>
      </c>
    </row>
    <row r="1582" spans="1:10" x14ac:dyDescent="0.25">
      <c r="A1582">
        <v>28</v>
      </c>
      <c r="B1582" s="1">
        <v>41061</v>
      </c>
      <c r="C1582">
        <v>6</v>
      </c>
      <c r="D1582">
        <v>2012</v>
      </c>
      <c r="E1582" s="2">
        <v>1466046.07</v>
      </c>
      <c r="F1582">
        <v>0</v>
      </c>
      <c r="G1582" s="3">
        <v>50.43</v>
      </c>
      <c r="H1582" s="2">
        <v>3.5990000000000002</v>
      </c>
      <c r="I1582">
        <v>130.15751610000001</v>
      </c>
      <c r="J1582" s="3">
        <v>12.186999999999999</v>
      </c>
    </row>
    <row r="1583" spans="1:10" x14ac:dyDescent="0.25">
      <c r="A1583">
        <v>28</v>
      </c>
      <c r="B1583" s="1">
        <v>40970</v>
      </c>
      <c r="C1583">
        <v>3</v>
      </c>
      <c r="D1583">
        <v>2012</v>
      </c>
      <c r="E1583" s="2">
        <v>1531599.44</v>
      </c>
      <c r="F1583">
        <v>0</v>
      </c>
      <c r="G1583" s="3">
        <v>50.58</v>
      </c>
      <c r="H1583" s="2">
        <v>3.702</v>
      </c>
      <c r="I1583">
        <v>130.34967739999999</v>
      </c>
      <c r="J1583" s="3">
        <v>12.186999999999999</v>
      </c>
    </row>
    <row r="1584" spans="1:10" x14ac:dyDescent="0.25">
      <c r="A1584">
        <v>28</v>
      </c>
      <c r="B1584" s="1">
        <v>41184</v>
      </c>
      <c r="C1584">
        <v>10</v>
      </c>
      <c r="D1584">
        <v>2012</v>
      </c>
      <c r="E1584" s="2">
        <v>1572966.15</v>
      </c>
      <c r="F1584">
        <v>1</v>
      </c>
      <c r="G1584" s="3">
        <v>52.27</v>
      </c>
      <c r="H1584" s="2">
        <v>3.722</v>
      </c>
      <c r="I1584">
        <v>130.3849032</v>
      </c>
      <c r="J1584" s="3">
        <v>12.186999999999999</v>
      </c>
    </row>
    <row r="1585" spans="1:10" x14ac:dyDescent="0.25">
      <c r="A1585">
        <v>28</v>
      </c>
      <c r="B1585" s="1">
        <v>40942</v>
      </c>
      <c r="C1585">
        <v>2</v>
      </c>
      <c r="D1585">
        <v>2012</v>
      </c>
      <c r="E1585" s="2">
        <v>1451740.57</v>
      </c>
      <c r="F1585">
        <v>0</v>
      </c>
      <c r="G1585" s="3">
        <v>52.27</v>
      </c>
      <c r="H1585" s="2">
        <v>4.1779999999999999</v>
      </c>
      <c r="I1585">
        <v>130.64579309999999</v>
      </c>
      <c r="J1585" s="3">
        <v>12.186999999999999</v>
      </c>
    </row>
    <row r="1586" spans="1:10" x14ac:dyDescent="0.25">
      <c r="A1586">
        <v>28</v>
      </c>
      <c r="B1586" s="1">
        <v>41155</v>
      </c>
      <c r="C1586">
        <v>9</v>
      </c>
      <c r="D1586">
        <v>2012</v>
      </c>
      <c r="E1586" s="2">
        <v>1680764.06</v>
      </c>
      <c r="F1586">
        <v>0</v>
      </c>
      <c r="G1586" s="3">
        <v>54.54</v>
      </c>
      <c r="H1586" s="2">
        <v>4.25</v>
      </c>
      <c r="I1586">
        <v>130.74137930000001</v>
      </c>
      <c r="J1586" s="3">
        <v>12.186999999999999</v>
      </c>
    </row>
    <row r="1587" spans="1:10" x14ac:dyDescent="0.25">
      <c r="A1587">
        <v>28</v>
      </c>
      <c r="B1587" s="1">
        <v>41064</v>
      </c>
      <c r="C1587">
        <v>6</v>
      </c>
      <c r="D1587">
        <v>2012</v>
      </c>
      <c r="E1587" s="2">
        <v>1559592.79</v>
      </c>
      <c r="F1587">
        <v>0</v>
      </c>
      <c r="G1587" s="3">
        <v>64.05</v>
      </c>
      <c r="H1587" s="2">
        <v>4.1210000000000004</v>
      </c>
      <c r="I1587">
        <v>131.03754839999999</v>
      </c>
      <c r="J1587" s="3">
        <v>11.627000000000001</v>
      </c>
    </row>
    <row r="1588" spans="1:10" x14ac:dyDescent="0.25">
      <c r="A1588">
        <v>28</v>
      </c>
      <c r="B1588" s="1">
        <v>41004</v>
      </c>
      <c r="C1588">
        <v>4</v>
      </c>
      <c r="D1588">
        <v>2012</v>
      </c>
      <c r="E1588" s="2">
        <v>1450628.85</v>
      </c>
      <c r="F1588">
        <v>0</v>
      </c>
      <c r="G1588" s="3">
        <v>76.03</v>
      </c>
      <c r="H1588" s="2">
        <v>4.1710000000000003</v>
      </c>
      <c r="I1588">
        <v>131.136</v>
      </c>
      <c r="J1588" s="3">
        <v>11.627000000000001</v>
      </c>
    </row>
    <row r="1589" spans="1:10" x14ac:dyDescent="0.25">
      <c r="A1589">
        <v>28</v>
      </c>
      <c r="B1589" s="1">
        <v>41218</v>
      </c>
      <c r="C1589">
        <v>11</v>
      </c>
      <c r="D1589">
        <v>2012</v>
      </c>
      <c r="E1589" s="2">
        <v>1264575.18</v>
      </c>
      <c r="F1589">
        <v>0</v>
      </c>
      <c r="G1589" s="3">
        <v>77.27</v>
      </c>
      <c r="H1589" s="2">
        <v>4.1859999999999999</v>
      </c>
      <c r="I1589">
        <v>131.1453333</v>
      </c>
      <c r="J1589" s="3">
        <v>11.627000000000001</v>
      </c>
    </row>
    <row r="1590" spans="1:10" x14ac:dyDescent="0.25">
      <c r="A1590">
        <v>28</v>
      </c>
      <c r="B1590" s="1">
        <v>40914</v>
      </c>
      <c r="C1590">
        <v>1</v>
      </c>
      <c r="D1590">
        <v>2012</v>
      </c>
      <c r="E1590" s="2">
        <v>1245480.95</v>
      </c>
      <c r="F1590">
        <v>0</v>
      </c>
      <c r="G1590" s="3">
        <v>78.11</v>
      </c>
      <c r="H1590" s="2">
        <v>4.2770000000000001</v>
      </c>
      <c r="I1590">
        <v>130.95922580000001</v>
      </c>
      <c r="J1590" s="3">
        <v>11.627000000000001</v>
      </c>
    </row>
    <row r="1591" spans="1:10" x14ac:dyDescent="0.25">
      <c r="A1591">
        <v>28</v>
      </c>
      <c r="B1591" s="1">
        <v>41127</v>
      </c>
      <c r="C1591">
        <v>8</v>
      </c>
      <c r="D1591">
        <v>2012</v>
      </c>
      <c r="E1591" s="2">
        <v>1440687.69</v>
      </c>
      <c r="F1591">
        <v>0</v>
      </c>
      <c r="G1591" s="3">
        <v>84.83</v>
      </c>
      <c r="H1591" s="2">
        <v>4.1029999999999998</v>
      </c>
      <c r="I1591">
        <v>130.88967740000001</v>
      </c>
      <c r="J1591" s="3">
        <v>11.627000000000001</v>
      </c>
    </row>
    <row r="1592" spans="1:10" x14ac:dyDescent="0.25">
      <c r="A1592">
        <v>28</v>
      </c>
      <c r="B1592" s="1">
        <v>41067</v>
      </c>
      <c r="C1592">
        <v>6</v>
      </c>
      <c r="D1592">
        <v>2012</v>
      </c>
      <c r="E1592" s="2">
        <v>1500863.54</v>
      </c>
      <c r="F1592">
        <v>0</v>
      </c>
      <c r="G1592" s="3">
        <v>89.13</v>
      </c>
      <c r="H1592" s="2">
        <v>3.7650000000000001</v>
      </c>
      <c r="I1592">
        <v>130.7196333</v>
      </c>
      <c r="J1592" s="3">
        <v>10.926</v>
      </c>
    </row>
    <row r="1593" spans="1:10" x14ac:dyDescent="0.25">
      <c r="A1593">
        <v>28</v>
      </c>
      <c r="B1593" s="1">
        <v>40976</v>
      </c>
      <c r="C1593">
        <v>3</v>
      </c>
      <c r="D1593">
        <v>2012</v>
      </c>
      <c r="E1593" s="2">
        <v>1376520.1</v>
      </c>
      <c r="F1593">
        <v>0</v>
      </c>
      <c r="G1593" s="3">
        <v>88.16</v>
      </c>
      <c r="H1593" s="2">
        <v>3.76</v>
      </c>
      <c r="I1593">
        <v>130.73787100000001</v>
      </c>
      <c r="J1593" s="3">
        <v>10.926</v>
      </c>
    </row>
    <row r="1594" spans="1:10" x14ac:dyDescent="0.25">
      <c r="A1594">
        <v>28</v>
      </c>
      <c r="B1594" s="1">
        <v>41190</v>
      </c>
      <c r="C1594">
        <v>10</v>
      </c>
      <c r="D1594">
        <v>2012</v>
      </c>
      <c r="E1594" s="2">
        <v>1269113.4099999999</v>
      </c>
      <c r="F1594">
        <v>0</v>
      </c>
      <c r="G1594" s="3">
        <v>95.91</v>
      </c>
      <c r="H1594" s="2">
        <v>3.8109999999999999</v>
      </c>
      <c r="I1594">
        <v>130.7561613</v>
      </c>
      <c r="J1594" s="3">
        <v>10.926</v>
      </c>
    </row>
    <row r="1595" spans="1:10" x14ac:dyDescent="0.25">
      <c r="A1595">
        <v>28</v>
      </c>
      <c r="B1595" s="1">
        <v>41099</v>
      </c>
      <c r="C1595">
        <v>7</v>
      </c>
      <c r="D1595">
        <v>2012</v>
      </c>
      <c r="E1595" s="2">
        <v>1469693.99</v>
      </c>
      <c r="F1595">
        <v>1</v>
      </c>
      <c r="G1595" s="3">
        <v>88.52</v>
      </c>
      <c r="H1595" s="2">
        <v>4.1239999999999997</v>
      </c>
      <c r="I1595">
        <v>130.9325484</v>
      </c>
      <c r="J1595" s="3">
        <v>10.926</v>
      </c>
    </row>
    <row r="1596" spans="1:10" x14ac:dyDescent="0.25">
      <c r="A1596">
        <v>28</v>
      </c>
      <c r="B1596" s="1">
        <v>41039</v>
      </c>
      <c r="C1596">
        <v>5</v>
      </c>
      <c r="D1596">
        <v>2012</v>
      </c>
      <c r="E1596" s="2">
        <v>1462941.03</v>
      </c>
      <c r="F1596">
        <v>0</v>
      </c>
      <c r="G1596" s="3">
        <v>81.61</v>
      </c>
      <c r="H1596" s="2">
        <v>3.9660000000000002</v>
      </c>
      <c r="I1596">
        <v>131.0756667</v>
      </c>
      <c r="J1596" s="3">
        <v>10.199</v>
      </c>
    </row>
    <row r="1597" spans="1:10" x14ac:dyDescent="0.25">
      <c r="A1597">
        <v>28</v>
      </c>
      <c r="B1597" s="1">
        <v>41253</v>
      </c>
      <c r="C1597">
        <v>12</v>
      </c>
      <c r="D1597">
        <v>2012</v>
      </c>
      <c r="E1597" s="2">
        <v>1205536.71</v>
      </c>
      <c r="F1597">
        <v>0</v>
      </c>
      <c r="G1597" s="3">
        <v>71.739999999999995</v>
      </c>
      <c r="H1597" s="2">
        <v>4.468</v>
      </c>
      <c r="I1597">
        <v>131.1083333</v>
      </c>
      <c r="J1597" s="3">
        <v>10.199</v>
      </c>
    </row>
    <row r="1598" spans="1:10" x14ac:dyDescent="0.25">
      <c r="A1598">
        <v>29</v>
      </c>
      <c r="B1598" s="1">
        <v>40300</v>
      </c>
      <c r="C1598">
        <v>5</v>
      </c>
      <c r="D1598">
        <v>2010</v>
      </c>
      <c r="E1598" s="2">
        <v>538634.46</v>
      </c>
      <c r="F1598">
        <v>0</v>
      </c>
      <c r="G1598" s="3">
        <v>24.36</v>
      </c>
      <c r="H1598" s="2">
        <v>2.7879999999999998</v>
      </c>
      <c r="I1598">
        <v>131.5279032</v>
      </c>
      <c r="J1598" s="3">
        <v>10.064</v>
      </c>
    </row>
    <row r="1599" spans="1:10" x14ac:dyDescent="0.25">
      <c r="A1599">
        <v>29</v>
      </c>
      <c r="B1599" s="1">
        <v>40514</v>
      </c>
      <c r="C1599">
        <v>12</v>
      </c>
      <c r="D1599">
        <v>2010</v>
      </c>
      <c r="E1599" s="2">
        <v>529672.94999999995</v>
      </c>
      <c r="F1599">
        <v>1</v>
      </c>
      <c r="G1599" s="3">
        <v>28.14</v>
      </c>
      <c r="H1599" s="2">
        <v>2.7709999999999999</v>
      </c>
      <c r="I1599">
        <v>131.58661290000001</v>
      </c>
      <c r="J1599" s="3">
        <v>10.064</v>
      </c>
    </row>
    <row r="1600" spans="1:10" x14ac:dyDescent="0.25">
      <c r="A1600">
        <v>29</v>
      </c>
      <c r="B1600" s="1">
        <v>40301</v>
      </c>
      <c r="C1600">
        <v>5</v>
      </c>
      <c r="D1600">
        <v>2010</v>
      </c>
      <c r="E1600" s="2">
        <v>535087.91</v>
      </c>
      <c r="F1600">
        <v>0</v>
      </c>
      <c r="G1600" s="3">
        <v>36.82</v>
      </c>
      <c r="H1600" s="2">
        <v>2.766</v>
      </c>
      <c r="I1600">
        <v>131.73500000000001</v>
      </c>
      <c r="J1600" s="3">
        <v>10.064</v>
      </c>
    </row>
    <row r="1601" spans="1:10" x14ac:dyDescent="0.25">
      <c r="A1601">
        <v>29</v>
      </c>
      <c r="B1601" s="1">
        <v>40515</v>
      </c>
      <c r="C1601">
        <v>12</v>
      </c>
      <c r="D1601">
        <v>2010</v>
      </c>
      <c r="E1601" s="2">
        <v>519042.49</v>
      </c>
      <c r="F1601">
        <v>0</v>
      </c>
      <c r="G1601" s="3">
        <v>43.43</v>
      </c>
      <c r="H1601" s="2">
        <v>2.8050000000000002</v>
      </c>
      <c r="I1601">
        <v>131.78399999999999</v>
      </c>
      <c r="J1601" s="3">
        <v>10.064</v>
      </c>
    </row>
    <row r="1602" spans="1:10" x14ac:dyDescent="0.25">
      <c r="A1602">
        <v>29</v>
      </c>
      <c r="B1602" s="1">
        <v>40213</v>
      </c>
      <c r="C1602">
        <v>2</v>
      </c>
      <c r="D1602">
        <v>2010</v>
      </c>
      <c r="E1602" s="2">
        <v>599629.25</v>
      </c>
      <c r="F1602">
        <v>0</v>
      </c>
      <c r="G1602" s="3">
        <v>44.96</v>
      </c>
      <c r="H1602" s="2">
        <v>2.8260000000000001</v>
      </c>
      <c r="I1602">
        <v>131.9019677</v>
      </c>
      <c r="J1602" s="3">
        <v>10.16</v>
      </c>
    </row>
    <row r="1603" spans="1:10" x14ac:dyDescent="0.25">
      <c r="A1603">
        <v>29</v>
      </c>
      <c r="B1603" s="1">
        <v>40425</v>
      </c>
      <c r="C1603">
        <v>9</v>
      </c>
      <c r="D1603">
        <v>2010</v>
      </c>
      <c r="E1603" s="2">
        <v>569937.23</v>
      </c>
      <c r="F1603">
        <v>0</v>
      </c>
      <c r="G1603" s="3">
        <v>57.06</v>
      </c>
      <c r="H1603" s="2">
        <v>2.8490000000000002</v>
      </c>
      <c r="I1603">
        <v>131.94080650000001</v>
      </c>
      <c r="J1603" s="3">
        <v>10.16</v>
      </c>
    </row>
    <row r="1604" spans="1:10" x14ac:dyDescent="0.25">
      <c r="A1604">
        <v>29</v>
      </c>
      <c r="B1604" s="1">
        <v>40364</v>
      </c>
      <c r="C1604">
        <v>7</v>
      </c>
      <c r="D1604">
        <v>2010</v>
      </c>
      <c r="E1604" s="2">
        <v>568497.35</v>
      </c>
      <c r="F1604">
        <v>0</v>
      </c>
      <c r="G1604" s="3">
        <v>63.81</v>
      </c>
      <c r="H1604" s="2">
        <v>2.9809999999999999</v>
      </c>
      <c r="I1604">
        <v>132.1062</v>
      </c>
      <c r="J1604" s="3">
        <v>10.16</v>
      </c>
    </row>
    <row r="1605" spans="1:10" x14ac:dyDescent="0.25">
      <c r="A1605">
        <v>29</v>
      </c>
      <c r="B1605" s="1">
        <v>40274</v>
      </c>
      <c r="C1605">
        <v>4</v>
      </c>
      <c r="D1605">
        <v>2010</v>
      </c>
      <c r="E1605" s="2">
        <v>588017.66</v>
      </c>
      <c r="F1605">
        <v>0</v>
      </c>
      <c r="G1605" s="3">
        <v>69.489999999999995</v>
      </c>
      <c r="H1605" s="2">
        <v>2.8570000000000002</v>
      </c>
      <c r="I1605">
        <v>132.36483870000001</v>
      </c>
      <c r="J1605" s="3">
        <v>10.16</v>
      </c>
    </row>
    <row r="1606" spans="1:10" x14ac:dyDescent="0.25">
      <c r="A1606">
        <v>29</v>
      </c>
      <c r="B1606" s="1">
        <v>40488</v>
      </c>
      <c r="C1606">
        <v>11</v>
      </c>
      <c r="D1606">
        <v>2010</v>
      </c>
      <c r="E1606" s="2">
        <v>540716.57999999996</v>
      </c>
      <c r="F1606">
        <v>0</v>
      </c>
      <c r="G1606" s="3">
        <v>65.010000000000005</v>
      </c>
      <c r="H1606" s="2">
        <v>2.83</v>
      </c>
      <c r="I1606">
        <v>132.43574190000001</v>
      </c>
      <c r="J1606" s="3">
        <v>10.16</v>
      </c>
    </row>
    <row r="1607" spans="1:10" x14ac:dyDescent="0.25">
      <c r="A1607">
        <v>29</v>
      </c>
      <c r="B1607" s="1">
        <v>40216</v>
      </c>
      <c r="C1607">
        <v>2</v>
      </c>
      <c r="D1607">
        <v>2010</v>
      </c>
      <c r="E1607" s="2">
        <v>581473.55000000005</v>
      </c>
      <c r="F1607">
        <v>0</v>
      </c>
      <c r="G1607" s="3">
        <v>72.88</v>
      </c>
      <c r="H1607" s="2">
        <v>2.8149999999999999</v>
      </c>
      <c r="I1607">
        <v>132.5218667</v>
      </c>
      <c r="J1607" s="3">
        <v>10.409000000000001</v>
      </c>
    </row>
    <row r="1608" spans="1:10" x14ac:dyDescent="0.25">
      <c r="A1608">
        <v>29</v>
      </c>
      <c r="B1608" s="1">
        <v>40428</v>
      </c>
      <c r="C1608">
        <v>9</v>
      </c>
      <c r="D1608">
        <v>2010</v>
      </c>
      <c r="E1608" s="2">
        <v>563449.43000000005</v>
      </c>
      <c r="F1608">
        <v>0</v>
      </c>
      <c r="G1608" s="3">
        <v>79.22</v>
      </c>
      <c r="H1608" s="2">
        <v>2.806</v>
      </c>
      <c r="I1608">
        <v>132.54613330000001</v>
      </c>
      <c r="J1608" s="3">
        <v>10.409000000000001</v>
      </c>
    </row>
    <row r="1609" spans="1:10" x14ac:dyDescent="0.25">
      <c r="A1609">
        <v>29</v>
      </c>
      <c r="B1609" s="1">
        <v>40337</v>
      </c>
      <c r="C1609">
        <v>6</v>
      </c>
      <c r="D1609">
        <v>2010</v>
      </c>
      <c r="E1609" s="2">
        <v>519787.93</v>
      </c>
      <c r="F1609">
        <v>0</v>
      </c>
      <c r="G1609" s="3">
        <v>74.37</v>
      </c>
      <c r="H1609" s="2">
        <v>2.7919999999999998</v>
      </c>
      <c r="I1609">
        <v>132.6141935</v>
      </c>
      <c r="J1609" s="3">
        <v>10.409000000000001</v>
      </c>
    </row>
    <row r="1610" spans="1:10" x14ac:dyDescent="0.25">
      <c r="A1610">
        <v>29</v>
      </c>
      <c r="B1610" s="1">
        <v>40246</v>
      </c>
      <c r="C1610">
        <v>3</v>
      </c>
      <c r="D1610">
        <v>2010</v>
      </c>
      <c r="E1610" s="2">
        <v>579272.38</v>
      </c>
      <c r="F1610">
        <v>0</v>
      </c>
      <c r="G1610" s="3">
        <v>75.849999999999994</v>
      </c>
      <c r="H1610" s="2">
        <v>2.7349999999999999</v>
      </c>
      <c r="I1610">
        <v>132.72483869999999</v>
      </c>
      <c r="J1610" s="3">
        <v>10.409000000000001</v>
      </c>
    </row>
    <row r="1611" spans="1:10" x14ac:dyDescent="0.25">
      <c r="A1611">
        <v>29</v>
      </c>
      <c r="B1611" s="1">
        <v>40460</v>
      </c>
      <c r="C1611">
        <v>10</v>
      </c>
      <c r="D1611">
        <v>2010</v>
      </c>
      <c r="E1611" s="2">
        <v>491290.37</v>
      </c>
      <c r="F1611">
        <v>1</v>
      </c>
      <c r="G1611" s="3">
        <v>68.599999999999994</v>
      </c>
      <c r="H1611" s="2">
        <v>2.7170000000000001</v>
      </c>
      <c r="I1611">
        <v>132.75645159999999</v>
      </c>
      <c r="J1611" s="3">
        <v>10.409000000000001</v>
      </c>
    </row>
    <row r="1612" spans="1:10" x14ac:dyDescent="0.25">
      <c r="A1612">
        <v>29</v>
      </c>
      <c r="B1612" s="1">
        <v>40188</v>
      </c>
      <c r="C1612">
        <v>1</v>
      </c>
      <c r="D1612">
        <v>2010</v>
      </c>
      <c r="E1612" s="2">
        <v>474698.01</v>
      </c>
      <c r="F1612">
        <v>0</v>
      </c>
      <c r="G1612" s="3">
        <v>69.31</v>
      </c>
      <c r="H1612" s="2">
        <v>2.7170000000000001</v>
      </c>
      <c r="I1612">
        <v>132.7568</v>
      </c>
      <c r="J1612" s="3">
        <v>10.523999999999999</v>
      </c>
    </row>
    <row r="1613" spans="1:10" x14ac:dyDescent="0.25">
      <c r="A1613">
        <v>29</v>
      </c>
      <c r="B1613" s="1">
        <v>40400</v>
      </c>
      <c r="C1613">
        <v>8</v>
      </c>
      <c r="D1613">
        <v>2010</v>
      </c>
      <c r="E1613" s="2">
        <v>530059.06000000006</v>
      </c>
      <c r="F1613">
        <v>0</v>
      </c>
      <c r="G1613" s="3">
        <v>56.32</v>
      </c>
      <c r="H1613" s="2">
        <v>2.7759999999999998</v>
      </c>
      <c r="I1613">
        <v>132.75166669999999</v>
      </c>
      <c r="J1613" s="3">
        <v>10.523999999999999</v>
      </c>
    </row>
    <row r="1614" spans="1:10" x14ac:dyDescent="0.25">
      <c r="A1614">
        <v>29</v>
      </c>
      <c r="B1614" s="1">
        <v>40309</v>
      </c>
      <c r="C1614">
        <v>5</v>
      </c>
      <c r="D1614">
        <v>2010</v>
      </c>
      <c r="E1614" s="2">
        <v>521002.97</v>
      </c>
      <c r="F1614">
        <v>0</v>
      </c>
      <c r="G1614" s="3">
        <v>44.34</v>
      </c>
      <c r="H1614" s="2">
        <v>2.9380000000000002</v>
      </c>
      <c r="I1614">
        <v>132.92458060000001</v>
      </c>
      <c r="J1614" s="3">
        <v>10.523999999999999</v>
      </c>
    </row>
    <row r="1615" spans="1:10" x14ac:dyDescent="0.25">
      <c r="A1615">
        <v>29</v>
      </c>
      <c r="B1615" s="1">
        <v>40523</v>
      </c>
      <c r="C1615">
        <v>12</v>
      </c>
      <c r="D1615">
        <v>2010</v>
      </c>
      <c r="E1615" s="2">
        <v>524450.69999999995</v>
      </c>
      <c r="F1615">
        <v>0</v>
      </c>
      <c r="G1615" s="3">
        <v>44.42</v>
      </c>
      <c r="H1615" s="2">
        <v>2.9609999999999999</v>
      </c>
      <c r="I1615">
        <v>132.97832260000001</v>
      </c>
      <c r="J1615" s="3">
        <v>10.523999999999999</v>
      </c>
    </row>
    <row r="1616" spans="1:10" x14ac:dyDescent="0.25">
      <c r="A1616">
        <v>29</v>
      </c>
      <c r="B1616" s="1">
        <v>40249</v>
      </c>
      <c r="C1616">
        <v>3</v>
      </c>
      <c r="D1616">
        <v>2010</v>
      </c>
      <c r="E1616" s="2">
        <v>642678.53</v>
      </c>
      <c r="F1616">
        <v>0</v>
      </c>
      <c r="G1616" s="3">
        <v>39.42</v>
      </c>
      <c r="H1616" s="2">
        <v>3.0649999999999999</v>
      </c>
      <c r="I1616">
        <v>132.75666670000001</v>
      </c>
      <c r="J1616" s="3">
        <v>10.523999999999999</v>
      </c>
    </row>
    <row r="1617" spans="1:10" x14ac:dyDescent="0.25">
      <c r="A1617">
        <v>29</v>
      </c>
      <c r="B1617" s="1">
        <v>40463</v>
      </c>
      <c r="C1617">
        <v>10</v>
      </c>
      <c r="D1617">
        <v>2010</v>
      </c>
      <c r="E1617" s="2">
        <v>713834.74</v>
      </c>
      <c r="F1617">
        <v>0</v>
      </c>
      <c r="G1617" s="3">
        <v>28.43</v>
      </c>
      <c r="H1617" s="2">
        <v>3.1320000000000001</v>
      </c>
      <c r="I1617">
        <v>132.6764</v>
      </c>
      <c r="J1617" s="3">
        <v>10.523999999999999</v>
      </c>
    </row>
    <row r="1618" spans="1:10" x14ac:dyDescent="0.25">
      <c r="A1618">
        <v>29</v>
      </c>
      <c r="B1618" s="1">
        <v>40725</v>
      </c>
      <c r="C1618">
        <v>7</v>
      </c>
      <c r="D1618">
        <v>2011</v>
      </c>
      <c r="E1618" s="2">
        <v>455952.18</v>
      </c>
      <c r="F1618">
        <v>0</v>
      </c>
      <c r="G1618" s="3">
        <v>32.56</v>
      </c>
      <c r="H1618" s="2">
        <v>3.1930000000000001</v>
      </c>
      <c r="I1618">
        <v>132.88232260000001</v>
      </c>
      <c r="J1618" s="3">
        <v>10.256</v>
      </c>
    </row>
    <row r="1619" spans="1:10" x14ac:dyDescent="0.25">
      <c r="A1619">
        <v>29</v>
      </c>
      <c r="B1619" s="1">
        <v>40635</v>
      </c>
      <c r="C1619">
        <v>4</v>
      </c>
      <c r="D1619">
        <v>2011</v>
      </c>
      <c r="E1619" s="2">
        <v>504126.89</v>
      </c>
      <c r="F1619">
        <v>0</v>
      </c>
      <c r="G1619" s="3">
        <v>26.39</v>
      </c>
      <c r="H1619" s="2">
        <v>3.24</v>
      </c>
      <c r="I1619">
        <v>133.18341939999999</v>
      </c>
      <c r="J1619" s="3">
        <v>10.256</v>
      </c>
    </row>
    <row r="1620" spans="1:10" x14ac:dyDescent="0.25">
      <c r="A1620">
        <v>29</v>
      </c>
      <c r="B1620" s="1">
        <v>40849</v>
      </c>
      <c r="C1620">
        <v>11</v>
      </c>
      <c r="D1620">
        <v>2011</v>
      </c>
      <c r="E1620" s="2">
        <v>550387.78</v>
      </c>
      <c r="F1620">
        <v>1</v>
      </c>
      <c r="G1620" s="3">
        <v>28.89</v>
      </c>
      <c r="H1620" s="2">
        <v>3.2549999999999999</v>
      </c>
      <c r="I1620">
        <v>133.26087100000001</v>
      </c>
      <c r="J1620" s="3">
        <v>10.256</v>
      </c>
    </row>
    <row r="1621" spans="1:10" x14ac:dyDescent="0.25">
      <c r="A1621">
        <v>29</v>
      </c>
      <c r="B1621" s="1">
        <v>40636</v>
      </c>
      <c r="C1621">
        <v>4</v>
      </c>
      <c r="D1621">
        <v>2011</v>
      </c>
      <c r="E1621" s="2">
        <v>536031.67000000004</v>
      </c>
      <c r="F1621">
        <v>0</v>
      </c>
      <c r="G1621" s="3">
        <v>33.520000000000003</v>
      </c>
      <c r="H1621" s="2">
        <v>3.4369999999999998</v>
      </c>
      <c r="I1621">
        <v>133.61414289999999</v>
      </c>
      <c r="J1621" s="3">
        <v>10.256</v>
      </c>
    </row>
    <row r="1622" spans="1:10" x14ac:dyDescent="0.25">
      <c r="A1622">
        <v>29</v>
      </c>
      <c r="B1622" s="1">
        <v>40850</v>
      </c>
      <c r="C1622">
        <v>11</v>
      </c>
      <c r="D1622">
        <v>2011</v>
      </c>
      <c r="E1622" s="2">
        <v>493430.45</v>
      </c>
      <c r="F1622">
        <v>0</v>
      </c>
      <c r="G1622" s="3">
        <v>41.42</v>
      </c>
      <c r="H1622" s="2">
        <v>3.6</v>
      </c>
      <c r="I1622">
        <v>133.7361429</v>
      </c>
      <c r="J1622" s="3">
        <v>10.256</v>
      </c>
    </row>
    <row r="1623" spans="1:10" x14ac:dyDescent="0.25">
      <c r="A1623">
        <v>29</v>
      </c>
      <c r="B1623" s="1">
        <v>40547</v>
      </c>
      <c r="C1623">
        <v>1</v>
      </c>
      <c r="D1623">
        <v>2011</v>
      </c>
      <c r="E1623" s="2">
        <v>475615.26</v>
      </c>
      <c r="F1623">
        <v>0</v>
      </c>
      <c r="G1623" s="3">
        <v>36.04</v>
      </c>
      <c r="H1623" s="2">
        <v>3.6379999999999999</v>
      </c>
      <c r="I1623">
        <v>134.06825810000001</v>
      </c>
      <c r="J1623" s="3">
        <v>9.9659999999999993</v>
      </c>
    </row>
    <row r="1624" spans="1:10" x14ac:dyDescent="0.25">
      <c r="A1624">
        <v>29</v>
      </c>
      <c r="B1624" s="1">
        <v>40759</v>
      </c>
      <c r="C1624">
        <v>8</v>
      </c>
      <c r="D1624">
        <v>2011</v>
      </c>
      <c r="E1624" s="2">
        <v>505304.33</v>
      </c>
      <c r="F1624">
        <v>0</v>
      </c>
      <c r="G1624" s="3">
        <v>44.42</v>
      </c>
      <c r="H1624" s="2">
        <v>3.72</v>
      </c>
      <c r="I1624">
        <v>134.17777419999999</v>
      </c>
      <c r="J1624" s="3">
        <v>9.9659999999999993</v>
      </c>
    </row>
    <row r="1625" spans="1:10" x14ac:dyDescent="0.25">
      <c r="A1625">
        <v>29</v>
      </c>
      <c r="B1625" s="1">
        <v>40699</v>
      </c>
      <c r="C1625">
        <v>6</v>
      </c>
      <c r="D1625">
        <v>2011</v>
      </c>
      <c r="E1625" s="2">
        <v>534372.53</v>
      </c>
      <c r="F1625">
        <v>0</v>
      </c>
      <c r="G1625" s="3">
        <v>53.63</v>
      </c>
      <c r="H1625" s="2">
        <v>4.0780000000000003</v>
      </c>
      <c r="I1625">
        <v>134.51436670000001</v>
      </c>
      <c r="J1625" s="3">
        <v>9.9659999999999993</v>
      </c>
    </row>
    <row r="1626" spans="1:10" x14ac:dyDescent="0.25">
      <c r="A1626">
        <v>29</v>
      </c>
      <c r="B1626" s="1">
        <v>40608</v>
      </c>
      <c r="C1626">
        <v>3</v>
      </c>
      <c r="D1626">
        <v>2011</v>
      </c>
      <c r="E1626" s="2">
        <v>598251.56999999995</v>
      </c>
      <c r="F1626">
        <v>0</v>
      </c>
      <c r="G1626" s="3">
        <v>70.09</v>
      </c>
      <c r="H1626" s="2">
        <v>3.9729999999999999</v>
      </c>
      <c r="I1626">
        <v>134.85516129999999</v>
      </c>
      <c r="J1626" s="3">
        <v>9.9659999999999993</v>
      </c>
    </row>
    <row r="1627" spans="1:10" x14ac:dyDescent="0.25">
      <c r="A1627">
        <v>29</v>
      </c>
      <c r="B1627" s="1">
        <v>40822</v>
      </c>
      <c r="C1627">
        <v>10</v>
      </c>
      <c r="D1627">
        <v>2011</v>
      </c>
      <c r="E1627" s="2">
        <v>558431.43999999994</v>
      </c>
      <c r="F1627">
        <v>0</v>
      </c>
      <c r="G1627" s="3">
        <v>69.53</v>
      </c>
      <c r="H1627" s="2">
        <v>3.9239999999999999</v>
      </c>
      <c r="I1627">
        <v>134.94254839999999</v>
      </c>
      <c r="J1627" s="3">
        <v>9.9659999999999993</v>
      </c>
    </row>
    <row r="1628" spans="1:10" x14ac:dyDescent="0.25">
      <c r="A1628">
        <v>29</v>
      </c>
      <c r="B1628" s="1">
        <v>40550</v>
      </c>
      <c r="C1628">
        <v>1</v>
      </c>
      <c r="D1628">
        <v>2011</v>
      </c>
      <c r="E1628" s="2">
        <v>567114.6</v>
      </c>
      <c r="F1628">
        <v>0</v>
      </c>
      <c r="G1628" s="3">
        <v>70.8</v>
      </c>
      <c r="H1628" s="2">
        <v>3.8149999999999999</v>
      </c>
      <c r="I1628">
        <v>135.4468</v>
      </c>
      <c r="J1628" s="3">
        <v>9.8629999999999995</v>
      </c>
    </row>
    <row r="1629" spans="1:10" x14ac:dyDescent="0.25">
      <c r="A1629">
        <v>29</v>
      </c>
      <c r="B1629" s="1">
        <v>40762</v>
      </c>
      <c r="C1629">
        <v>8</v>
      </c>
      <c r="D1629">
        <v>2011</v>
      </c>
      <c r="E1629" s="2">
        <v>547586.06999999995</v>
      </c>
      <c r="F1629">
        <v>0</v>
      </c>
      <c r="G1629" s="3">
        <v>74.22</v>
      </c>
      <c r="H1629" s="2">
        <v>3.7839999999999998</v>
      </c>
      <c r="I1629">
        <v>135.62833330000001</v>
      </c>
      <c r="J1629" s="3">
        <v>9.8629999999999995</v>
      </c>
    </row>
    <row r="1630" spans="1:10" x14ac:dyDescent="0.25">
      <c r="A1630">
        <v>29</v>
      </c>
      <c r="B1630" s="1">
        <v>40671</v>
      </c>
      <c r="C1630">
        <v>5</v>
      </c>
      <c r="D1630">
        <v>2011</v>
      </c>
      <c r="E1630" s="2">
        <v>503486.37</v>
      </c>
      <c r="F1630">
        <v>0</v>
      </c>
      <c r="G1630" s="3">
        <v>75.33</v>
      </c>
      <c r="H1630" s="2">
        <v>3.903</v>
      </c>
      <c r="I1630">
        <v>136.05403229999999</v>
      </c>
      <c r="J1630" s="3">
        <v>9.8629999999999995</v>
      </c>
    </row>
    <row r="1631" spans="1:10" x14ac:dyDescent="0.25">
      <c r="A1631">
        <v>29</v>
      </c>
      <c r="B1631" s="1">
        <v>40885</v>
      </c>
      <c r="C1631">
        <v>12</v>
      </c>
      <c r="D1631">
        <v>2011</v>
      </c>
      <c r="E1631" s="2">
        <v>471311.5</v>
      </c>
      <c r="F1631">
        <v>0</v>
      </c>
      <c r="G1631" s="3">
        <v>74.69</v>
      </c>
      <c r="H1631" s="2">
        <v>3.88</v>
      </c>
      <c r="I1631">
        <v>136.14412899999999</v>
      </c>
      <c r="J1631" s="3">
        <v>9.8629999999999995</v>
      </c>
    </row>
    <row r="1632" spans="1:10" x14ac:dyDescent="0.25">
      <c r="A1632">
        <v>29</v>
      </c>
      <c r="B1632" s="1">
        <v>40583</v>
      </c>
      <c r="C1632">
        <v>2</v>
      </c>
      <c r="D1632">
        <v>2011</v>
      </c>
      <c r="E1632" s="2">
        <v>497085.91</v>
      </c>
      <c r="F1632">
        <v>0</v>
      </c>
      <c r="G1632" s="3">
        <v>69.16</v>
      </c>
      <c r="H1632" s="2">
        <v>3.7839999999999998</v>
      </c>
      <c r="I1632">
        <v>136.24409679999999</v>
      </c>
      <c r="J1632" s="3">
        <v>9.8629999999999995</v>
      </c>
    </row>
    <row r="1633" spans="1:10" x14ac:dyDescent="0.25">
      <c r="A1633">
        <v>29</v>
      </c>
      <c r="B1633" s="1">
        <v>40795</v>
      </c>
      <c r="C1633">
        <v>9</v>
      </c>
      <c r="D1633">
        <v>2011</v>
      </c>
      <c r="E1633" s="2">
        <v>505406.71999999997</v>
      </c>
      <c r="F1633">
        <v>1</v>
      </c>
      <c r="G1633" s="3">
        <v>69.14</v>
      </c>
      <c r="H1633" s="2">
        <v>3.8090000000000002</v>
      </c>
      <c r="I1633">
        <v>136.27458060000001</v>
      </c>
      <c r="J1633" s="3">
        <v>9.8629999999999995</v>
      </c>
    </row>
    <row r="1634" spans="1:10" x14ac:dyDescent="0.25">
      <c r="A1634">
        <v>29</v>
      </c>
      <c r="B1634" s="1">
        <v>40734</v>
      </c>
      <c r="C1634">
        <v>7</v>
      </c>
      <c r="D1634">
        <v>2011</v>
      </c>
      <c r="E1634" s="2">
        <v>514993</v>
      </c>
      <c r="F1634">
        <v>0</v>
      </c>
      <c r="G1634" s="3">
        <v>56.44</v>
      </c>
      <c r="H1634" s="2">
        <v>3.633</v>
      </c>
      <c r="I1634">
        <v>136.47200000000001</v>
      </c>
      <c r="J1634" s="3">
        <v>9.3569999999999993</v>
      </c>
    </row>
    <row r="1635" spans="1:10" x14ac:dyDescent="0.25">
      <c r="A1635">
        <v>29</v>
      </c>
      <c r="B1635" s="1">
        <v>40644</v>
      </c>
      <c r="C1635">
        <v>4</v>
      </c>
      <c r="D1635">
        <v>2011</v>
      </c>
      <c r="E1635" s="2">
        <v>620735.72</v>
      </c>
      <c r="F1635">
        <v>0</v>
      </c>
      <c r="G1635" s="3">
        <v>42.81</v>
      </c>
      <c r="H1635" s="2">
        <v>3.5859999999999999</v>
      </c>
      <c r="I1635">
        <v>136.47512900000001</v>
      </c>
      <c r="J1635" s="3">
        <v>9.3569999999999993</v>
      </c>
    </row>
    <row r="1636" spans="1:10" x14ac:dyDescent="0.25">
      <c r="A1636">
        <v>29</v>
      </c>
      <c r="B1636" s="1">
        <v>40858</v>
      </c>
      <c r="C1636">
        <v>11</v>
      </c>
      <c r="D1636">
        <v>2011</v>
      </c>
      <c r="E1636" s="2">
        <v>531600.62</v>
      </c>
      <c r="F1636">
        <v>0</v>
      </c>
      <c r="G1636" s="3">
        <v>47.8</v>
      </c>
      <c r="H1636" s="2">
        <v>3.57</v>
      </c>
      <c r="I1636">
        <v>136.46180649999999</v>
      </c>
      <c r="J1636" s="3">
        <v>9.3569999999999993</v>
      </c>
    </row>
    <row r="1637" spans="1:10" x14ac:dyDescent="0.25">
      <c r="A1637">
        <v>29</v>
      </c>
      <c r="B1637" s="1">
        <v>40586</v>
      </c>
      <c r="C1637">
        <v>2</v>
      </c>
      <c r="D1637">
        <v>2011</v>
      </c>
      <c r="E1637" s="2">
        <v>579874.22</v>
      </c>
      <c r="F1637">
        <v>0</v>
      </c>
      <c r="G1637" s="3">
        <v>49.11</v>
      </c>
      <c r="H1637" s="2">
        <v>3.5009999999999999</v>
      </c>
      <c r="I1637">
        <v>136.49093329999999</v>
      </c>
      <c r="J1637" s="3">
        <v>9.3569999999999993</v>
      </c>
    </row>
    <row r="1638" spans="1:10" x14ac:dyDescent="0.25">
      <c r="A1638">
        <v>29</v>
      </c>
      <c r="B1638" s="1">
        <v>40798</v>
      </c>
      <c r="C1638">
        <v>9</v>
      </c>
      <c r="D1638">
        <v>2011</v>
      </c>
      <c r="E1638" s="2">
        <v>633240.53</v>
      </c>
      <c r="F1638">
        <v>0</v>
      </c>
      <c r="G1638" s="3">
        <v>45.35</v>
      </c>
      <c r="H1638" s="2">
        <v>3.47</v>
      </c>
      <c r="I1638">
        <v>136.50306670000001</v>
      </c>
      <c r="J1638" s="3">
        <v>9.3569999999999993</v>
      </c>
    </row>
    <row r="1639" spans="1:10" x14ac:dyDescent="0.25">
      <c r="A1639">
        <v>29</v>
      </c>
      <c r="B1639" s="1">
        <v>41061</v>
      </c>
      <c r="C1639">
        <v>6</v>
      </c>
      <c r="D1639">
        <v>2012</v>
      </c>
      <c r="E1639" s="2">
        <v>469773.85</v>
      </c>
      <c r="F1639">
        <v>0</v>
      </c>
      <c r="G1639" s="3">
        <v>34.61</v>
      </c>
      <c r="H1639" s="2">
        <v>3.4390000000000001</v>
      </c>
      <c r="I1639">
        <v>136.69812899999999</v>
      </c>
      <c r="J1639" s="3">
        <v>8.9879999999999995</v>
      </c>
    </row>
    <row r="1640" spans="1:10" x14ac:dyDescent="0.25">
      <c r="A1640">
        <v>29</v>
      </c>
      <c r="B1640" s="1">
        <v>40970</v>
      </c>
      <c r="C1640">
        <v>3</v>
      </c>
      <c r="D1640">
        <v>2012</v>
      </c>
      <c r="E1640" s="2">
        <v>493159.35</v>
      </c>
      <c r="F1640">
        <v>0</v>
      </c>
      <c r="G1640" s="3">
        <v>40.58</v>
      </c>
      <c r="H1640" s="2">
        <v>3.633</v>
      </c>
      <c r="I1640">
        <v>137.06325810000001</v>
      </c>
      <c r="J1640" s="3">
        <v>8.9879999999999995</v>
      </c>
    </row>
    <row r="1641" spans="1:10" x14ac:dyDescent="0.25">
      <c r="A1641">
        <v>29</v>
      </c>
      <c r="B1641" s="1">
        <v>41184</v>
      </c>
      <c r="C1641">
        <v>10</v>
      </c>
      <c r="D1641">
        <v>2012</v>
      </c>
      <c r="E1641" s="2">
        <v>545840.05000000005</v>
      </c>
      <c r="F1641">
        <v>1</v>
      </c>
      <c r="G1641" s="3">
        <v>35.68</v>
      </c>
      <c r="H1641" s="2">
        <v>3.6549999999999998</v>
      </c>
      <c r="I1641">
        <v>137.1666774</v>
      </c>
      <c r="J1641" s="3">
        <v>8.9879999999999995</v>
      </c>
    </row>
    <row r="1642" spans="1:10" x14ac:dyDescent="0.25">
      <c r="A1642">
        <v>29</v>
      </c>
      <c r="B1642" s="1">
        <v>40942</v>
      </c>
      <c r="C1642">
        <v>2</v>
      </c>
      <c r="D1642">
        <v>2012</v>
      </c>
      <c r="E1642" s="2">
        <v>500801.72</v>
      </c>
      <c r="F1642">
        <v>0</v>
      </c>
      <c r="G1642" s="3">
        <v>37.47</v>
      </c>
      <c r="H1642" s="2">
        <v>3.827</v>
      </c>
      <c r="I1642">
        <v>137.42389660000001</v>
      </c>
      <c r="J1642" s="3">
        <v>8.9879999999999995</v>
      </c>
    </row>
    <row r="1643" spans="1:10" x14ac:dyDescent="0.25">
      <c r="A1643">
        <v>29</v>
      </c>
      <c r="B1643" s="1">
        <v>41155</v>
      </c>
      <c r="C1643">
        <v>9</v>
      </c>
      <c r="D1643">
        <v>2012</v>
      </c>
      <c r="E1643" s="2">
        <v>504750.35</v>
      </c>
      <c r="F1643">
        <v>0</v>
      </c>
      <c r="G1643" s="3">
        <v>41.72</v>
      </c>
      <c r="H1643" s="2">
        <v>3.8759999999999999</v>
      </c>
      <c r="I1643">
        <v>137.50668970000001</v>
      </c>
      <c r="J1643" s="3">
        <v>8.9879999999999995</v>
      </c>
    </row>
    <row r="1644" spans="1:10" x14ac:dyDescent="0.25">
      <c r="A1644">
        <v>29</v>
      </c>
      <c r="B1644" s="1">
        <v>41064</v>
      </c>
      <c r="C1644">
        <v>6</v>
      </c>
      <c r="D1644">
        <v>2012</v>
      </c>
      <c r="E1644" s="2">
        <v>633826.55000000005</v>
      </c>
      <c r="F1644">
        <v>0</v>
      </c>
      <c r="G1644" s="3">
        <v>46.38</v>
      </c>
      <c r="H1644" s="2">
        <v>3.9569999999999999</v>
      </c>
      <c r="I1644">
        <v>137.79709679999999</v>
      </c>
      <c r="J1644" s="3">
        <v>9.14</v>
      </c>
    </row>
    <row r="1645" spans="1:10" x14ac:dyDescent="0.25">
      <c r="A1645">
        <v>29</v>
      </c>
      <c r="B1645" s="1">
        <v>41004</v>
      </c>
      <c r="C1645">
        <v>4</v>
      </c>
      <c r="D1645">
        <v>2012</v>
      </c>
      <c r="E1645" s="2">
        <v>504963.84000000003</v>
      </c>
      <c r="F1645">
        <v>0</v>
      </c>
      <c r="G1645" s="3">
        <v>50.75</v>
      </c>
      <c r="H1645" s="2">
        <v>3.9910000000000001</v>
      </c>
      <c r="I1645">
        <v>138.03319999999999</v>
      </c>
      <c r="J1645" s="3">
        <v>9.14</v>
      </c>
    </row>
    <row r="1646" spans="1:10" x14ac:dyDescent="0.25">
      <c r="A1646">
        <v>29</v>
      </c>
      <c r="B1646" s="1">
        <v>41218</v>
      </c>
      <c r="C1646">
        <v>11</v>
      </c>
      <c r="D1646">
        <v>2012</v>
      </c>
      <c r="E1646" s="2">
        <v>529707.87</v>
      </c>
      <c r="F1646">
        <v>0</v>
      </c>
      <c r="G1646" s="3">
        <v>56.72</v>
      </c>
      <c r="H1646" s="2">
        <v>3.9470000000000001</v>
      </c>
      <c r="I1646">
        <v>138.08826669999999</v>
      </c>
      <c r="J1646" s="3">
        <v>9.14</v>
      </c>
    </row>
    <row r="1647" spans="1:10" x14ac:dyDescent="0.25">
      <c r="A1647">
        <v>29</v>
      </c>
      <c r="B1647" s="1">
        <v>40914</v>
      </c>
      <c r="C1647">
        <v>1</v>
      </c>
      <c r="D1647">
        <v>2012</v>
      </c>
      <c r="E1647" s="2">
        <v>576252.35</v>
      </c>
      <c r="F1647">
        <v>0</v>
      </c>
      <c r="G1647" s="3">
        <v>70.010000000000005</v>
      </c>
      <c r="H1647" s="2">
        <v>3.798</v>
      </c>
      <c r="I1647">
        <v>138.11380650000001</v>
      </c>
      <c r="J1647" s="3">
        <v>9.14</v>
      </c>
    </row>
    <row r="1648" spans="1:10" x14ac:dyDescent="0.25">
      <c r="A1648">
        <v>29</v>
      </c>
      <c r="B1648" s="1">
        <v>41127</v>
      </c>
      <c r="C1648">
        <v>8</v>
      </c>
      <c r="D1648">
        <v>2012</v>
      </c>
      <c r="E1648" s="2">
        <v>554093.15</v>
      </c>
      <c r="F1648">
        <v>0</v>
      </c>
      <c r="G1648" s="3">
        <v>61.71</v>
      </c>
      <c r="H1648" s="2">
        <v>3.746</v>
      </c>
      <c r="I1648">
        <v>138.11741939999999</v>
      </c>
      <c r="J1648" s="3">
        <v>9.14</v>
      </c>
    </row>
    <row r="1649" spans="1:10" x14ac:dyDescent="0.25">
      <c r="A1649">
        <v>29</v>
      </c>
      <c r="B1649" s="1">
        <v>41067</v>
      </c>
      <c r="C1649">
        <v>6</v>
      </c>
      <c r="D1649">
        <v>2012</v>
      </c>
      <c r="E1649" s="2">
        <v>578832.41</v>
      </c>
      <c r="F1649">
        <v>0</v>
      </c>
      <c r="G1649" s="3">
        <v>77.41</v>
      </c>
      <c r="H1649" s="2">
        <v>3.5379999999999998</v>
      </c>
      <c r="I1649">
        <v>138.22963329999999</v>
      </c>
      <c r="J1649" s="3">
        <v>9.4190000000000005</v>
      </c>
    </row>
    <row r="1650" spans="1:10" x14ac:dyDescent="0.25">
      <c r="A1650">
        <v>29</v>
      </c>
      <c r="B1650" s="1">
        <v>40976</v>
      </c>
      <c r="C1650">
        <v>3</v>
      </c>
      <c r="D1650">
        <v>2012</v>
      </c>
      <c r="E1650" s="2">
        <v>504754.74</v>
      </c>
      <c r="F1650">
        <v>0</v>
      </c>
      <c r="G1650" s="3">
        <v>72.989999999999995</v>
      </c>
      <c r="H1650" s="2">
        <v>3.698</v>
      </c>
      <c r="I1650">
        <v>138.17358060000001</v>
      </c>
      <c r="J1650" s="3">
        <v>9.4190000000000005</v>
      </c>
    </row>
    <row r="1651" spans="1:10" x14ac:dyDescent="0.25">
      <c r="A1651">
        <v>29</v>
      </c>
      <c r="B1651" s="1">
        <v>41190</v>
      </c>
      <c r="C1651">
        <v>10</v>
      </c>
      <c r="D1651">
        <v>2012</v>
      </c>
      <c r="E1651" s="2">
        <v>518628.42</v>
      </c>
      <c r="F1651">
        <v>0</v>
      </c>
      <c r="G1651" s="3">
        <v>76.739999999999995</v>
      </c>
      <c r="H1651" s="2">
        <v>3.7719999999999998</v>
      </c>
      <c r="I1651">
        <v>138.1437742</v>
      </c>
      <c r="J1651" s="3">
        <v>9.4190000000000005</v>
      </c>
    </row>
    <row r="1652" spans="1:10" x14ac:dyDescent="0.25">
      <c r="A1652">
        <v>29</v>
      </c>
      <c r="B1652" s="1">
        <v>41099</v>
      </c>
      <c r="C1652">
        <v>7</v>
      </c>
      <c r="D1652">
        <v>2012</v>
      </c>
      <c r="E1652" s="2">
        <v>540811.85</v>
      </c>
      <c r="F1652">
        <v>1</v>
      </c>
      <c r="G1652" s="3">
        <v>73.3</v>
      </c>
      <c r="H1652" s="2">
        <v>3.9209999999999998</v>
      </c>
      <c r="I1652">
        <v>138.47293550000001</v>
      </c>
      <c r="J1652" s="3">
        <v>9.4190000000000005</v>
      </c>
    </row>
    <row r="1653" spans="1:10" x14ac:dyDescent="0.25">
      <c r="A1653">
        <v>29</v>
      </c>
      <c r="B1653" s="1">
        <v>41039</v>
      </c>
      <c r="C1653">
        <v>5</v>
      </c>
      <c r="D1653">
        <v>2012</v>
      </c>
      <c r="E1653" s="2">
        <v>520632.8</v>
      </c>
      <c r="F1653">
        <v>0</v>
      </c>
      <c r="G1653" s="3">
        <v>62.09</v>
      </c>
      <c r="H1653" s="2">
        <v>4.0270000000000001</v>
      </c>
      <c r="I1653">
        <v>138.82560000000001</v>
      </c>
      <c r="J1653" s="3">
        <v>9.1509999999999998</v>
      </c>
    </row>
    <row r="1654" spans="1:10" x14ac:dyDescent="0.25">
      <c r="A1654">
        <v>29</v>
      </c>
      <c r="B1654" s="1">
        <v>41253</v>
      </c>
      <c r="C1654">
        <v>12</v>
      </c>
      <c r="D1654">
        <v>2012</v>
      </c>
      <c r="E1654" s="2">
        <v>513737</v>
      </c>
      <c r="F1654">
        <v>0</v>
      </c>
      <c r="G1654" s="3">
        <v>54.18</v>
      </c>
      <c r="H1654" s="2">
        <v>4.0289999999999999</v>
      </c>
      <c r="I1654">
        <v>138.9117</v>
      </c>
      <c r="J1654" s="3">
        <v>9.1509999999999998</v>
      </c>
    </row>
    <row r="1655" spans="1:10" x14ac:dyDescent="0.25">
      <c r="A1655">
        <v>30</v>
      </c>
      <c r="B1655" s="1">
        <v>40300</v>
      </c>
      <c r="C1655">
        <v>5</v>
      </c>
      <c r="D1655">
        <v>2010</v>
      </c>
      <c r="E1655" s="2">
        <v>465108.52</v>
      </c>
      <c r="F1655">
        <v>0</v>
      </c>
      <c r="G1655" s="3">
        <v>39.049999999999997</v>
      </c>
      <c r="H1655" s="2">
        <v>2.5720000000000001</v>
      </c>
      <c r="I1655">
        <v>210.7526053</v>
      </c>
      <c r="J1655" s="3">
        <v>8.3239999999999998</v>
      </c>
    </row>
    <row r="1656" spans="1:10" x14ac:dyDescent="0.25">
      <c r="A1656">
        <v>30</v>
      </c>
      <c r="B1656" s="1">
        <v>40514</v>
      </c>
      <c r="C1656">
        <v>12</v>
      </c>
      <c r="D1656">
        <v>2010</v>
      </c>
      <c r="E1656" s="2">
        <v>497374.57</v>
      </c>
      <c r="F1656">
        <v>1</v>
      </c>
      <c r="G1656" s="3">
        <v>37.770000000000003</v>
      </c>
      <c r="H1656" s="2">
        <v>2.548</v>
      </c>
      <c r="I1656">
        <v>210.89799350000001</v>
      </c>
      <c r="J1656" s="3">
        <v>8.3239999999999998</v>
      </c>
    </row>
    <row r="1657" spans="1:10" x14ac:dyDescent="0.25">
      <c r="A1657">
        <v>30</v>
      </c>
      <c r="B1657" s="1">
        <v>40301</v>
      </c>
      <c r="C1657">
        <v>5</v>
      </c>
      <c r="D1657">
        <v>2010</v>
      </c>
      <c r="E1657" s="2">
        <v>472591.07</v>
      </c>
      <c r="F1657">
        <v>0</v>
      </c>
      <c r="G1657" s="3">
        <v>48.61</v>
      </c>
      <c r="H1657" s="2">
        <v>2.625</v>
      </c>
      <c r="I1657">
        <v>211.00675419999999</v>
      </c>
      <c r="J1657" s="3">
        <v>8.3239999999999998</v>
      </c>
    </row>
    <row r="1658" spans="1:10" x14ac:dyDescent="0.25">
      <c r="A1658">
        <v>30</v>
      </c>
      <c r="B1658" s="1">
        <v>40515</v>
      </c>
      <c r="C1658">
        <v>12</v>
      </c>
      <c r="D1658">
        <v>2010</v>
      </c>
      <c r="E1658" s="2">
        <v>468189.93</v>
      </c>
      <c r="F1658">
        <v>0</v>
      </c>
      <c r="G1658" s="3">
        <v>57.1</v>
      </c>
      <c r="H1658" s="2">
        <v>2.6669999999999998</v>
      </c>
      <c r="I1658">
        <v>211.03755100000001</v>
      </c>
      <c r="J1658" s="3">
        <v>8.3239999999999998</v>
      </c>
    </row>
    <row r="1659" spans="1:10" x14ac:dyDescent="0.25">
      <c r="A1659">
        <v>30</v>
      </c>
      <c r="B1659" s="1">
        <v>40213</v>
      </c>
      <c r="C1659">
        <v>2</v>
      </c>
      <c r="D1659">
        <v>2010</v>
      </c>
      <c r="E1659" s="2">
        <v>457884.06</v>
      </c>
      <c r="F1659">
        <v>0</v>
      </c>
      <c r="G1659" s="3">
        <v>64.12</v>
      </c>
      <c r="H1659" s="2">
        <v>2.7189999999999999</v>
      </c>
      <c r="I1659">
        <v>210.4798874</v>
      </c>
      <c r="J1659" s="3">
        <v>8.1999999999999993</v>
      </c>
    </row>
    <row r="1660" spans="1:10" x14ac:dyDescent="0.25">
      <c r="A1660">
        <v>30</v>
      </c>
      <c r="B1660" s="1">
        <v>40425</v>
      </c>
      <c r="C1660">
        <v>9</v>
      </c>
      <c r="D1660">
        <v>2010</v>
      </c>
      <c r="E1660" s="2">
        <v>454800.96</v>
      </c>
      <c r="F1660">
        <v>0</v>
      </c>
      <c r="G1660" s="3">
        <v>65.739999999999995</v>
      </c>
      <c r="H1660" s="2">
        <v>2.77</v>
      </c>
      <c r="I1660">
        <v>210.28316530000001</v>
      </c>
      <c r="J1660" s="3">
        <v>8.1999999999999993</v>
      </c>
    </row>
    <row r="1661" spans="1:10" x14ac:dyDescent="0.25">
      <c r="A1661">
        <v>30</v>
      </c>
      <c r="B1661" s="1">
        <v>40364</v>
      </c>
      <c r="C1661">
        <v>7</v>
      </c>
      <c r="D1661">
        <v>2010</v>
      </c>
      <c r="E1661" s="2">
        <v>457883.94</v>
      </c>
      <c r="F1661">
        <v>0</v>
      </c>
      <c r="G1661" s="3">
        <v>70.87</v>
      </c>
      <c r="H1661" s="2">
        <v>2.835</v>
      </c>
      <c r="I1661">
        <v>210.00110179999999</v>
      </c>
      <c r="J1661" s="3">
        <v>8.1999999999999993</v>
      </c>
    </row>
    <row r="1662" spans="1:10" x14ac:dyDescent="0.25">
      <c r="A1662">
        <v>30</v>
      </c>
      <c r="B1662" s="1">
        <v>40274</v>
      </c>
      <c r="C1662">
        <v>4</v>
      </c>
      <c r="D1662">
        <v>2010</v>
      </c>
      <c r="E1662" s="2">
        <v>458343.7</v>
      </c>
      <c r="F1662">
        <v>0</v>
      </c>
      <c r="G1662" s="3">
        <v>82.68</v>
      </c>
      <c r="H1662" s="2">
        <v>2.7050000000000001</v>
      </c>
      <c r="I1662">
        <v>210.83361600000001</v>
      </c>
      <c r="J1662" s="3">
        <v>8.1999999999999993</v>
      </c>
    </row>
    <row r="1663" spans="1:10" x14ac:dyDescent="0.25">
      <c r="A1663">
        <v>30</v>
      </c>
      <c r="B1663" s="1">
        <v>40488</v>
      </c>
      <c r="C1663">
        <v>11</v>
      </c>
      <c r="D1663">
        <v>2010</v>
      </c>
      <c r="E1663" s="2">
        <v>445530.16</v>
      </c>
      <c r="F1663">
        <v>0</v>
      </c>
      <c r="G1663" s="3">
        <v>83.51</v>
      </c>
      <c r="H1663" s="2">
        <v>2.6680000000000001</v>
      </c>
      <c r="I1663">
        <v>211.1120018</v>
      </c>
      <c r="J1663" s="3">
        <v>8.1999999999999993</v>
      </c>
    </row>
    <row r="1664" spans="1:10" x14ac:dyDescent="0.25">
      <c r="A1664">
        <v>30</v>
      </c>
      <c r="B1664" s="1">
        <v>40216</v>
      </c>
      <c r="C1664">
        <v>2</v>
      </c>
      <c r="D1664">
        <v>2010</v>
      </c>
      <c r="E1664" s="2">
        <v>450337.47</v>
      </c>
      <c r="F1664">
        <v>0</v>
      </c>
      <c r="G1664" s="3">
        <v>82.29</v>
      </c>
      <c r="H1664" s="2">
        <v>2.669</v>
      </c>
      <c r="I1664">
        <v>210.88037259999999</v>
      </c>
      <c r="J1664" s="3">
        <v>8.0990000000000002</v>
      </c>
    </row>
    <row r="1665" spans="1:10" x14ac:dyDescent="0.25">
      <c r="A1665">
        <v>30</v>
      </c>
      <c r="B1665" s="1">
        <v>40428</v>
      </c>
      <c r="C1665">
        <v>9</v>
      </c>
      <c r="D1665">
        <v>2010</v>
      </c>
      <c r="E1665" s="2">
        <v>436293.4</v>
      </c>
      <c r="F1665">
        <v>0</v>
      </c>
      <c r="G1665" s="3">
        <v>81.67</v>
      </c>
      <c r="H1665" s="2">
        <v>2.6419999999999999</v>
      </c>
      <c r="I1665">
        <v>210.7657317</v>
      </c>
      <c r="J1665" s="3">
        <v>8.0990000000000002</v>
      </c>
    </row>
    <row r="1666" spans="1:10" x14ac:dyDescent="0.25">
      <c r="A1666">
        <v>30</v>
      </c>
      <c r="B1666" s="1">
        <v>40337</v>
      </c>
      <c r="C1666">
        <v>6</v>
      </c>
      <c r="D1666">
        <v>2010</v>
      </c>
      <c r="E1666" s="2">
        <v>441407.06</v>
      </c>
      <c r="F1666">
        <v>0</v>
      </c>
      <c r="G1666" s="3">
        <v>90.3</v>
      </c>
      <c r="H1666" s="2">
        <v>2.6269999999999998</v>
      </c>
      <c r="I1666">
        <v>211.16080489999999</v>
      </c>
      <c r="J1666" s="3">
        <v>8.0990000000000002</v>
      </c>
    </row>
    <row r="1667" spans="1:10" x14ac:dyDescent="0.25">
      <c r="A1667">
        <v>30</v>
      </c>
      <c r="B1667" s="1">
        <v>40246</v>
      </c>
      <c r="C1667">
        <v>3</v>
      </c>
      <c r="D1667">
        <v>2010</v>
      </c>
      <c r="E1667" s="2">
        <v>461548.98</v>
      </c>
      <c r="F1667">
        <v>0</v>
      </c>
      <c r="G1667" s="3">
        <v>82.57</v>
      </c>
      <c r="H1667" s="2">
        <v>2.577</v>
      </c>
      <c r="I1667">
        <v>211.18869309999999</v>
      </c>
      <c r="J1667" s="3">
        <v>8.0990000000000002</v>
      </c>
    </row>
    <row r="1668" spans="1:10" x14ac:dyDescent="0.25">
      <c r="A1668">
        <v>30</v>
      </c>
      <c r="B1668" s="1">
        <v>40460</v>
      </c>
      <c r="C1668">
        <v>10</v>
      </c>
      <c r="D1668">
        <v>2010</v>
      </c>
      <c r="E1668" s="2">
        <v>455162.92</v>
      </c>
      <c r="F1668">
        <v>1</v>
      </c>
      <c r="G1668" s="3">
        <v>79.3</v>
      </c>
      <c r="H1668" s="2">
        <v>2.5649999999999999</v>
      </c>
      <c r="I1668">
        <v>211.15321040000001</v>
      </c>
      <c r="J1668" s="3">
        <v>8.0990000000000002</v>
      </c>
    </row>
    <row r="1669" spans="1:10" x14ac:dyDescent="0.25">
      <c r="A1669">
        <v>30</v>
      </c>
      <c r="B1669" s="1">
        <v>40188</v>
      </c>
      <c r="C1669">
        <v>1</v>
      </c>
      <c r="D1669">
        <v>2010</v>
      </c>
      <c r="E1669" s="2">
        <v>445475.3</v>
      </c>
      <c r="F1669">
        <v>0</v>
      </c>
      <c r="G1669" s="3">
        <v>70.28</v>
      </c>
      <c r="H1669" s="2">
        <v>2.6030000000000002</v>
      </c>
      <c r="I1669">
        <v>211.32987420000001</v>
      </c>
      <c r="J1669" s="3">
        <v>8.1630000000000003</v>
      </c>
    </row>
    <row r="1670" spans="1:10" x14ac:dyDescent="0.25">
      <c r="A1670">
        <v>30</v>
      </c>
      <c r="B1670" s="1">
        <v>40400</v>
      </c>
      <c r="C1670">
        <v>8</v>
      </c>
      <c r="D1670">
        <v>2010</v>
      </c>
      <c r="E1670" s="2">
        <v>462080.47</v>
      </c>
      <c r="F1670">
        <v>0</v>
      </c>
      <c r="G1670" s="3">
        <v>65.760000000000005</v>
      </c>
      <c r="H1670" s="2">
        <v>2.633</v>
      </c>
      <c r="I1670">
        <v>211.4044906</v>
      </c>
      <c r="J1670" s="3">
        <v>8.1630000000000003</v>
      </c>
    </row>
    <row r="1671" spans="1:10" x14ac:dyDescent="0.25">
      <c r="A1671">
        <v>30</v>
      </c>
      <c r="B1671" s="1">
        <v>40309</v>
      </c>
      <c r="C1671">
        <v>5</v>
      </c>
      <c r="D1671">
        <v>2010</v>
      </c>
      <c r="E1671" s="2">
        <v>484661.87</v>
      </c>
      <c r="F1671">
        <v>0</v>
      </c>
      <c r="G1671" s="3">
        <v>58.71</v>
      </c>
      <c r="H1671" s="2">
        <v>2.6890000000000001</v>
      </c>
      <c r="I1671">
        <v>211.61350530000001</v>
      </c>
      <c r="J1671" s="3">
        <v>8.1630000000000003</v>
      </c>
    </row>
    <row r="1672" spans="1:10" x14ac:dyDescent="0.25">
      <c r="A1672">
        <v>30</v>
      </c>
      <c r="B1672" s="1">
        <v>40523</v>
      </c>
      <c r="C1672">
        <v>12</v>
      </c>
      <c r="D1672">
        <v>2010</v>
      </c>
      <c r="E1672" s="2">
        <v>431266.64</v>
      </c>
      <c r="F1672">
        <v>0</v>
      </c>
      <c r="G1672" s="3">
        <v>60.95</v>
      </c>
      <c r="H1672" s="2">
        <v>2.7280000000000002</v>
      </c>
      <c r="I1672">
        <v>211.6608975</v>
      </c>
      <c r="J1672" s="3">
        <v>8.1630000000000003</v>
      </c>
    </row>
    <row r="1673" spans="1:10" x14ac:dyDescent="0.25">
      <c r="A1673">
        <v>30</v>
      </c>
      <c r="B1673" s="1">
        <v>40249</v>
      </c>
      <c r="C1673">
        <v>3</v>
      </c>
      <c r="D1673">
        <v>2010</v>
      </c>
      <c r="E1673" s="2">
        <v>407112.22</v>
      </c>
      <c r="F1673">
        <v>0</v>
      </c>
      <c r="G1673" s="3">
        <v>50.43</v>
      </c>
      <c r="H1673" s="2">
        <v>2.7080000000000002</v>
      </c>
      <c r="I1673">
        <v>211.26554300000001</v>
      </c>
      <c r="J1673" s="3">
        <v>8.1630000000000003</v>
      </c>
    </row>
    <row r="1674" spans="1:10" x14ac:dyDescent="0.25">
      <c r="A1674">
        <v>30</v>
      </c>
      <c r="B1674" s="1">
        <v>40463</v>
      </c>
      <c r="C1674">
        <v>10</v>
      </c>
      <c r="D1674">
        <v>2010</v>
      </c>
      <c r="E1674" s="2">
        <v>428631.91</v>
      </c>
      <c r="F1674">
        <v>0</v>
      </c>
      <c r="G1674" s="3">
        <v>46.35</v>
      </c>
      <c r="H1674" s="2">
        <v>2.843</v>
      </c>
      <c r="I1674">
        <v>211.12479930000001</v>
      </c>
      <c r="J1674" s="3">
        <v>8.1630000000000003</v>
      </c>
    </row>
    <row r="1675" spans="1:10" x14ac:dyDescent="0.25">
      <c r="A1675">
        <v>30</v>
      </c>
      <c r="B1675" s="1">
        <v>40725</v>
      </c>
      <c r="C1675">
        <v>7</v>
      </c>
      <c r="D1675">
        <v>2011</v>
      </c>
      <c r="E1675" s="2">
        <v>451077.21</v>
      </c>
      <c r="F1675">
        <v>0</v>
      </c>
      <c r="G1675" s="3">
        <v>44.24</v>
      </c>
      <c r="H1675" s="2">
        <v>2.976</v>
      </c>
      <c r="I1675">
        <v>211.06488809999999</v>
      </c>
      <c r="J1675" s="3">
        <v>8.0280000000000005</v>
      </c>
    </row>
    <row r="1676" spans="1:10" x14ac:dyDescent="0.25">
      <c r="A1676">
        <v>30</v>
      </c>
      <c r="B1676" s="1">
        <v>40635</v>
      </c>
      <c r="C1676">
        <v>4</v>
      </c>
      <c r="D1676">
        <v>2011</v>
      </c>
      <c r="E1676" s="2">
        <v>490970.95</v>
      </c>
      <c r="F1676">
        <v>0</v>
      </c>
      <c r="G1676" s="3">
        <v>36.33</v>
      </c>
      <c r="H1676" s="2">
        <v>2.9889999999999999</v>
      </c>
      <c r="I1676">
        <v>212.22406459999999</v>
      </c>
      <c r="J1676" s="3">
        <v>8.0280000000000005</v>
      </c>
    </row>
    <row r="1677" spans="1:10" x14ac:dyDescent="0.25">
      <c r="A1677">
        <v>30</v>
      </c>
      <c r="B1677" s="1">
        <v>40849</v>
      </c>
      <c r="C1677">
        <v>11</v>
      </c>
      <c r="D1677">
        <v>2011</v>
      </c>
      <c r="E1677" s="2">
        <v>470921.24</v>
      </c>
      <c r="F1677">
        <v>1</v>
      </c>
      <c r="G1677" s="3">
        <v>34.61</v>
      </c>
      <c r="H1677" s="2">
        <v>3.0219999999999998</v>
      </c>
      <c r="I1677">
        <v>212.5928624</v>
      </c>
      <c r="J1677" s="3">
        <v>8.0280000000000005</v>
      </c>
    </row>
    <row r="1678" spans="1:10" x14ac:dyDescent="0.25">
      <c r="A1678">
        <v>30</v>
      </c>
      <c r="B1678" s="1">
        <v>40636</v>
      </c>
      <c r="C1678">
        <v>4</v>
      </c>
      <c r="D1678">
        <v>2011</v>
      </c>
      <c r="E1678" s="2">
        <v>443334.71</v>
      </c>
      <c r="F1678">
        <v>0</v>
      </c>
      <c r="G1678" s="3">
        <v>59.52</v>
      </c>
      <c r="H1678" s="2">
        <v>3.2879999999999998</v>
      </c>
      <c r="I1678">
        <v>213.4775305</v>
      </c>
      <c r="J1678" s="3">
        <v>8.0280000000000005</v>
      </c>
    </row>
    <row r="1679" spans="1:10" x14ac:dyDescent="0.25">
      <c r="A1679">
        <v>30</v>
      </c>
      <c r="B1679" s="1">
        <v>40850</v>
      </c>
      <c r="C1679">
        <v>11</v>
      </c>
      <c r="D1679">
        <v>2011</v>
      </c>
      <c r="E1679" s="2">
        <v>438529.81</v>
      </c>
      <c r="F1679">
        <v>0</v>
      </c>
      <c r="G1679" s="3">
        <v>54.69</v>
      </c>
      <c r="H1679" s="2">
        <v>3.4590000000000001</v>
      </c>
      <c r="I1679">
        <v>213.76464010000001</v>
      </c>
      <c r="J1679" s="3">
        <v>8.0280000000000005</v>
      </c>
    </row>
    <row r="1680" spans="1:10" x14ac:dyDescent="0.25">
      <c r="A1680">
        <v>30</v>
      </c>
      <c r="B1680" s="1">
        <v>40547</v>
      </c>
      <c r="C1680">
        <v>1</v>
      </c>
      <c r="D1680">
        <v>2011</v>
      </c>
      <c r="E1680" s="2">
        <v>437926.79</v>
      </c>
      <c r="F1680">
        <v>0</v>
      </c>
      <c r="G1680" s="3">
        <v>56.36</v>
      </c>
      <c r="H1680" s="2">
        <v>3.524</v>
      </c>
      <c r="I1680">
        <v>214.4886908</v>
      </c>
      <c r="J1680" s="3">
        <v>7.931</v>
      </c>
    </row>
    <row r="1681" spans="1:10" x14ac:dyDescent="0.25">
      <c r="A1681">
        <v>30</v>
      </c>
      <c r="B1681" s="1">
        <v>40759</v>
      </c>
      <c r="C1681">
        <v>8</v>
      </c>
      <c r="D1681">
        <v>2011</v>
      </c>
      <c r="E1681" s="2">
        <v>443889.5</v>
      </c>
      <c r="F1681">
        <v>0</v>
      </c>
      <c r="G1681" s="3">
        <v>68.62</v>
      </c>
      <c r="H1681" s="2">
        <v>3.6219999999999999</v>
      </c>
      <c r="I1681">
        <v>214.72522420000001</v>
      </c>
      <c r="J1681" s="3">
        <v>7.931</v>
      </c>
    </row>
    <row r="1682" spans="1:10" x14ac:dyDescent="0.25">
      <c r="A1682">
        <v>30</v>
      </c>
      <c r="B1682" s="1">
        <v>40699</v>
      </c>
      <c r="C1682">
        <v>6</v>
      </c>
      <c r="D1682">
        <v>2011</v>
      </c>
      <c r="E1682" s="2">
        <v>438789.52</v>
      </c>
      <c r="F1682">
        <v>0</v>
      </c>
      <c r="G1682" s="3">
        <v>61.87</v>
      </c>
      <c r="H1682" s="2">
        <v>3.9060000000000001</v>
      </c>
      <c r="I1682">
        <v>215.44487090000001</v>
      </c>
      <c r="J1682" s="3">
        <v>7.931</v>
      </c>
    </row>
    <row r="1683" spans="1:10" x14ac:dyDescent="0.25">
      <c r="A1683">
        <v>30</v>
      </c>
      <c r="B1683" s="1">
        <v>40608</v>
      </c>
      <c r="C1683">
        <v>3</v>
      </c>
      <c r="D1683">
        <v>2011</v>
      </c>
      <c r="E1683" s="2">
        <v>432808.48</v>
      </c>
      <c r="F1683">
        <v>0</v>
      </c>
      <c r="G1683" s="3">
        <v>83.82</v>
      </c>
      <c r="H1683" s="2">
        <v>3.6989999999999998</v>
      </c>
      <c r="I1683">
        <v>214.92548650000001</v>
      </c>
      <c r="J1683" s="3">
        <v>7.931</v>
      </c>
    </row>
    <row r="1684" spans="1:10" x14ac:dyDescent="0.25">
      <c r="A1684">
        <v>30</v>
      </c>
      <c r="B1684" s="1">
        <v>40822</v>
      </c>
      <c r="C1684">
        <v>10</v>
      </c>
      <c r="D1684">
        <v>2011</v>
      </c>
      <c r="E1684" s="2">
        <v>424697.05</v>
      </c>
      <c r="F1684">
        <v>0</v>
      </c>
      <c r="G1684" s="3">
        <v>84.71</v>
      </c>
      <c r="H1684" s="2">
        <v>3.6480000000000001</v>
      </c>
      <c r="I1684">
        <v>214.69649079999999</v>
      </c>
      <c r="J1684" s="3">
        <v>7.931</v>
      </c>
    </row>
    <row r="1685" spans="1:10" x14ac:dyDescent="0.25">
      <c r="A1685">
        <v>30</v>
      </c>
      <c r="B1685" s="1">
        <v>40550</v>
      </c>
      <c r="C1685">
        <v>1</v>
      </c>
      <c r="D1685">
        <v>2011</v>
      </c>
      <c r="E1685" s="2">
        <v>428782.38</v>
      </c>
      <c r="F1685">
        <v>0</v>
      </c>
      <c r="G1685" s="3">
        <v>87.57</v>
      </c>
      <c r="H1685" s="2">
        <v>3.524</v>
      </c>
      <c r="I1685">
        <v>214.83686779999999</v>
      </c>
      <c r="J1685" s="3">
        <v>7.8520000000000003</v>
      </c>
    </row>
    <row r="1686" spans="1:10" x14ac:dyDescent="0.25">
      <c r="A1686">
        <v>30</v>
      </c>
      <c r="B1686" s="1">
        <v>40762</v>
      </c>
      <c r="C1686">
        <v>8</v>
      </c>
      <c r="D1686">
        <v>2011</v>
      </c>
      <c r="E1686" s="2">
        <v>419764.37</v>
      </c>
      <c r="F1686">
        <v>0</v>
      </c>
      <c r="G1686" s="3">
        <v>89.16</v>
      </c>
      <c r="H1686" s="2">
        <v>3.48</v>
      </c>
      <c r="I1686">
        <v>214.92962489999999</v>
      </c>
      <c r="J1686" s="3">
        <v>7.8520000000000003</v>
      </c>
    </row>
    <row r="1687" spans="1:10" x14ac:dyDescent="0.25">
      <c r="A1687">
        <v>30</v>
      </c>
      <c r="B1687" s="1">
        <v>40671</v>
      </c>
      <c r="C1687">
        <v>5</v>
      </c>
      <c r="D1687">
        <v>2011</v>
      </c>
      <c r="E1687" s="2">
        <v>431798.64</v>
      </c>
      <c r="F1687">
        <v>0</v>
      </c>
      <c r="G1687" s="3">
        <v>94.22</v>
      </c>
      <c r="H1687" s="2">
        <v>3.6840000000000002</v>
      </c>
      <c r="I1687">
        <v>215.19785150000001</v>
      </c>
      <c r="J1687" s="3">
        <v>7.8520000000000003</v>
      </c>
    </row>
    <row r="1688" spans="1:10" x14ac:dyDescent="0.25">
      <c r="A1688">
        <v>30</v>
      </c>
      <c r="B1688" s="1">
        <v>40885</v>
      </c>
      <c r="C1688">
        <v>12</v>
      </c>
      <c r="D1688">
        <v>2011</v>
      </c>
      <c r="E1688" s="2">
        <v>412224.67</v>
      </c>
      <c r="F1688">
        <v>0</v>
      </c>
      <c r="G1688" s="3">
        <v>92.32</v>
      </c>
      <c r="H1688" s="2">
        <v>3.6379999999999999</v>
      </c>
      <c r="I1688">
        <v>215.25932109999999</v>
      </c>
      <c r="J1688" s="3">
        <v>7.8520000000000003</v>
      </c>
    </row>
    <row r="1689" spans="1:10" x14ac:dyDescent="0.25">
      <c r="A1689">
        <v>30</v>
      </c>
      <c r="B1689" s="1">
        <v>40583</v>
      </c>
      <c r="C1689">
        <v>2</v>
      </c>
      <c r="D1689">
        <v>2011</v>
      </c>
      <c r="E1689" s="2">
        <v>369722.32</v>
      </c>
      <c r="F1689">
        <v>0</v>
      </c>
      <c r="G1689" s="3">
        <v>91.94</v>
      </c>
      <c r="H1689" s="2">
        <v>3.5329999999999999</v>
      </c>
      <c r="I1689">
        <v>215.45086319999999</v>
      </c>
      <c r="J1689" s="3">
        <v>7.8520000000000003</v>
      </c>
    </row>
    <row r="1690" spans="1:10" x14ac:dyDescent="0.25">
      <c r="A1690">
        <v>30</v>
      </c>
      <c r="B1690" s="1">
        <v>40795</v>
      </c>
      <c r="C1690">
        <v>9</v>
      </c>
      <c r="D1690">
        <v>2011</v>
      </c>
      <c r="E1690" s="2">
        <v>370897.82</v>
      </c>
      <c r="F1690">
        <v>1</v>
      </c>
      <c r="G1690" s="3">
        <v>78.87</v>
      </c>
      <c r="H1690" s="2">
        <v>3.5459999999999998</v>
      </c>
      <c r="I1690">
        <v>215.51482949999999</v>
      </c>
      <c r="J1690" s="3">
        <v>7.8520000000000003</v>
      </c>
    </row>
    <row r="1691" spans="1:10" x14ac:dyDescent="0.25">
      <c r="A1691">
        <v>30</v>
      </c>
      <c r="B1691" s="1">
        <v>40734</v>
      </c>
      <c r="C1691">
        <v>7</v>
      </c>
      <c r="D1691">
        <v>2011</v>
      </c>
      <c r="E1691" s="2">
        <v>417528.26</v>
      </c>
      <c r="F1691">
        <v>0</v>
      </c>
      <c r="G1691" s="3">
        <v>71.64</v>
      </c>
      <c r="H1691" s="2">
        <v>3.2850000000000001</v>
      </c>
      <c r="I1691">
        <v>216.69583109999999</v>
      </c>
      <c r="J1691" s="3">
        <v>7.4409999999999998</v>
      </c>
    </row>
    <row r="1692" spans="1:10" x14ac:dyDescent="0.25">
      <c r="A1692">
        <v>30</v>
      </c>
      <c r="B1692" s="1">
        <v>40644</v>
      </c>
      <c r="C1692">
        <v>4</v>
      </c>
      <c r="D1692">
        <v>2011</v>
      </c>
      <c r="E1692" s="2">
        <v>432359.04</v>
      </c>
      <c r="F1692">
        <v>0</v>
      </c>
      <c r="G1692" s="3">
        <v>56.01</v>
      </c>
      <c r="H1692" s="2">
        <v>3.3319999999999999</v>
      </c>
      <c r="I1692">
        <v>217.48536050000001</v>
      </c>
      <c r="J1692" s="3">
        <v>7.4409999999999998</v>
      </c>
    </row>
    <row r="1693" spans="1:10" x14ac:dyDescent="0.25">
      <c r="A1693">
        <v>30</v>
      </c>
      <c r="B1693" s="1">
        <v>40858</v>
      </c>
      <c r="C1693">
        <v>11</v>
      </c>
      <c r="D1693">
        <v>2011</v>
      </c>
      <c r="E1693" s="2">
        <v>409686.63</v>
      </c>
      <c r="F1693">
        <v>0</v>
      </c>
      <c r="G1693" s="3">
        <v>59.8</v>
      </c>
      <c r="H1693" s="2">
        <v>3.2970000000000002</v>
      </c>
      <c r="I1693">
        <v>217.6455387</v>
      </c>
      <c r="J1693" s="3">
        <v>7.4409999999999998</v>
      </c>
    </row>
    <row r="1694" spans="1:10" x14ac:dyDescent="0.25">
      <c r="A1694">
        <v>30</v>
      </c>
      <c r="B1694" s="1">
        <v>40586</v>
      </c>
      <c r="C1694">
        <v>2</v>
      </c>
      <c r="D1694">
        <v>2011</v>
      </c>
      <c r="E1694" s="2">
        <v>412385.75</v>
      </c>
      <c r="F1694">
        <v>0</v>
      </c>
      <c r="G1694" s="3">
        <v>48.72</v>
      </c>
      <c r="H1694" s="2">
        <v>3.1720000000000002</v>
      </c>
      <c r="I1694">
        <v>218.35903189999999</v>
      </c>
      <c r="J1694" s="3">
        <v>7.4409999999999998</v>
      </c>
    </row>
    <row r="1695" spans="1:10" x14ac:dyDescent="0.25">
      <c r="A1695">
        <v>30</v>
      </c>
      <c r="B1695" s="1">
        <v>40798</v>
      </c>
      <c r="C1695">
        <v>9</v>
      </c>
      <c r="D1695">
        <v>2011</v>
      </c>
      <c r="E1695" s="2">
        <v>436741.02</v>
      </c>
      <c r="F1695">
        <v>0</v>
      </c>
      <c r="G1695" s="3">
        <v>41.44</v>
      </c>
      <c r="H1695" s="2">
        <v>3.1579999999999999</v>
      </c>
      <c r="I1695">
        <v>218.60503700000001</v>
      </c>
      <c r="J1695" s="3">
        <v>7.4409999999999998</v>
      </c>
    </row>
    <row r="1696" spans="1:10" x14ac:dyDescent="0.25">
      <c r="A1696">
        <v>30</v>
      </c>
      <c r="B1696" s="1">
        <v>41061</v>
      </c>
      <c r="C1696">
        <v>6</v>
      </c>
      <c r="D1696">
        <v>2012</v>
      </c>
      <c r="E1696" s="2">
        <v>457030.86</v>
      </c>
      <c r="F1696">
        <v>0</v>
      </c>
      <c r="G1696" s="3">
        <v>48.1</v>
      </c>
      <c r="H1696" s="2">
        <v>3.157</v>
      </c>
      <c r="I1696">
        <v>219.355063</v>
      </c>
      <c r="J1696" s="3">
        <v>7.0570000000000004</v>
      </c>
    </row>
    <row r="1697" spans="1:10" x14ac:dyDescent="0.25">
      <c r="A1697">
        <v>30</v>
      </c>
      <c r="B1697" s="1">
        <v>40970</v>
      </c>
      <c r="C1697">
        <v>3</v>
      </c>
      <c r="D1697">
        <v>2012</v>
      </c>
      <c r="E1697" s="2">
        <v>434080.74</v>
      </c>
      <c r="F1697">
        <v>0</v>
      </c>
      <c r="G1697" s="3">
        <v>55.83</v>
      </c>
      <c r="H1697" s="2">
        <v>3.36</v>
      </c>
      <c r="I1697">
        <v>219.81188539999999</v>
      </c>
      <c r="J1697" s="3">
        <v>7.0570000000000004</v>
      </c>
    </row>
    <row r="1698" spans="1:10" x14ac:dyDescent="0.25">
      <c r="A1698">
        <v>30</v>
      </c>
      <c r="B1698" s="1">
        <v>41184</v>
      </c>
      <c r="C1698">
        <v>10</v>
      </c>
      <c r="D1698">
        <v>2012</v>
      </c>
      <c r="E1698" s="2">
        <v>451365.99</v>
      </c>
      <c r="F1698">
        <v>1</v>
      </c>
      <c r="G1698" s="3">
        <v>46.52</v>
      </c>
      <c r="H1698" s="2">
        <v>3.4089999999999998</v>
      </c>
      <c r="I1698">
        <v>219.90490729999999</v>
      </c>
      <c r="J1698" s="3">
        <v>7.0570000000000004</v>
      </c>
    </row>
    <row r="1699" spans="1:10" x14ac:dyDescent="0.25">
      <c r="A1699">
        <v>30</v>
      </c>
      <c r="B1699" s="1">
        <v>40942</v>
      </c>
      <c r="C1699">
        <v>2</v>
      </c>
      <c r="D1699">
        <v>2012</v>
      </c>
      <c r="E1699" s="2">
        <v>438640.61</v>
      </c>
      <c r="F1699">
        <v>0</v>
      </c>
      <c r="G1699" s="3">
        <v>59.3</v>
      </c>
      <c r="H1699" s="2">
        <v>3.63</v>
      </c>
      <c r="I1699">
        <v>220.48668860000001</v>
      </c>
      <c r="J1699" s="3">
        <v>7.0570000000000004</v>
      </c>
    </row>
    <row r="1700" spans="1:10" x14ac:dyDescent="0.25">
      <c r="A1700">
        <v>30</v>
      </c>
      <c r="B1700" s="1">
        <v>41155</v>
      </c>
      <c r="C1700">
        <v>9</v>
      </c>
      <c r="D1700">
        <v>2012</v>
      </c>
      <c r="E1700" s="2">
        <v>446617.89</v>
      </c>
      <c r="F1700">
        <v>0</v>
      </c>
      <c r="G1700" s="3">
        <v>57.16</v>
      </c>
      <c r="H1700" s="2">
        <v>3.669</v>
      </c>
      <c r="I1700">
        <v>220.69743320000001</v>
      </c>
      <c r="J1700" s="3">
        <v>7.0570000000000004</v>
      </c>
    </row>
    <row r="1701" spans="1:10" x14ac:dyDescent="0.25">
      <c r="A1701">
        <v>30</v>
      </c>
      <c r="B1701" s="1">
        <v>41064</v>
      </c>
      <c r="C1701">
        <v>6</v>
      </c>
      <c r="D1701">
        <v>2012</v>
      </c>
      <c r="E1701" s="2">
        <v>461511.92</v>
      </c>
      <c r="F1701">
        <v>0</v>
      </c>
      <c r="G1701" s="3">
        <v>69.02</v>
      </c>
      <c r="H1701" s="2">
        <v>3.891</v>
      </c>
      <c r="I1701">
        <v>221.07376379999999</v>
      </c>
      <c r="J1701" s="3">
        <v>6.891</v>
      </c>
    </row>
    <row r="1702" spans="1:10" x14ac:dyDescent="0.25">
      <c r="A1702">
        <v>30</v>
      </c>
      <c r="B1702" s="1">
        <v>41004</v>
      </c>
      <c r="C1702">
        <v>4</v>
      </c>
      <c r="D1702">
        <v>2012</v>
      </c>
      <c r="E1702" s="2">
        <v>454477.54</v>
      </c>
      <c r="F1702">
        <v>0</v>
      </c>
      <c r="G1702" s="3">
        <v>77.53</v>
      </c>
      <c r="H1702" s="2">
        <v>3.7490000000000001</v>
      </c>
      <c r="I1702">
        <v>221.30951659999999</v>
      </c>
      <c r="J1702" s="3">
        <v>6.891</v>
      </c>
    </row>
    <row r="1703" spans="1:10" x14ac:dyDescent="0.25">
      <c r="A1703">
        <v>30</v>
      </c>
      <c r="B1703" s="1">
        <v>41218</v>
      </c>
      <c r="C1703">
        <v>11</v>
      </c>
      <c r="D1703">
        <v>2012</v>
      </c>
      <c r="E1703" s="2">
        <v>436070.45</v>
      </c>
      <c r="F1703">
        <v>0</v>
      </c>
      <c r="G1703" s="3">
        <v>74.14</v>
      </c>
      <c r="H1703" s="2">
        <v>3.6880000000000002</v>
      </c>
      <c r="I1703">
        <v>221.3632212</v>
      </c>
      <c r="J1703" s="3">
        <v>6.891</v>
      </c>
    </row>
    <row r="1704" spans="1:10" x14ac:dyDescent="0.25">
      <c r="A1704">
        <v>30</v>
      </c>
      <c r="B1704" s="1">
        <v>40914</v>
      </c>
      <c r="C1704">
        <v>1</v>
      </c>
      <c r="D1704">
        <v>2012</v>
      </c>
      <c r="E1704" s="2">
        <v>427021.18</v>
      </c>
      <c r="F1704">
        <v>0</v>
      </c>
      <c r="G1704" s="3">
        <v>79.239999999999995</v>
      </c>
      <c r="H1704" s="2">
        <v>3.5009999999999999</v>
      </c>
      <c r="I1704">
        <v>221.38527479999999</v>
      </c>
      <c r="J1704" s="3">
        <v>6.891</v>
      </c>
    </row>
    <row r="1705" spans="1:10" x14ac:dyDescent="0.25">
      <c r="A1705">
        <v>30</v>
      </c>
      <c r="B1705" s="1">
        <v>41127</v>
      </c>
      <c r="C1705">
        <v>8</v>
      </c>
      <c r="D1705">
        <v>2012</v>
      </c>
      <c r="E1705" s="2">
        <v>437222.94</v>
      </c>
      <c r="F1705">
        <v>0</v>
      </c>
      <c r="G1705" s="3">
        <v>79.47</v>
      </c>
      <c r="H1705" s="2">
        <v>3.452</v>
      </c>
      <c r="I1705">
        <v>221.38774670000001</v>
      </c>
      <c r="J1705" s="3">
        <v>6.891</v>
      </c>
    </row>
    <row r="1706" spans="1:10" x14ac:dyDescent="0.25">
      <c r="A1706">
        <v>30</v>
      </c>
      <c r="B1706" s="1">
        <v>41067</v>
      </c>
      <c r="C1706">
        <v>6</v>
      </c>
      <c r="D1706">
        <v>2012</v>
      </c>
      <c r="E1706" s="2">
        <v>440553.42</v>
      </c>
      <c r="F1706">
        <v>0</v>
      </c>
      <c r="G1706" s="3">
        <v>85.26</v>
      </c>
      <c r="H1706" s="2">
        <v>3.2269999999999999</v>
      </c>
      <c r="I1706">
        <v>221.52150639999999</v>
      </c>
      <c r="J1706" s="3">
        <v>6.5650000000000004</v>
      </c>
    </row>
    <row r="1707" spans="1:10" x14ac:dyDescent="0.25">
      <c r="A1707">
        <v>30</v>
      </c>
      <c r="B1707" s="1">
        <v>40976</v>
      </c>
      <c r="C1707">
        <v>3</v>
      </c>
      <c r="D1707">
        <v>2012</v>
      </c>
      <c r="E1707" s="2">
        <v>425136.55</v>
      </c>
      <c r="F1707">
        <v>0</v>
      </c>
      <c r="G1707" s="3">
        <v>91.57</v>
      </c>
      <c r="H1707" s="2">
        <v>3.4169999999999998</v>
      </c>
      <c r="I1707">
        <v>221.58697989999999</v>
      </c>
      <c r="J1707" s="3">
        <v>6.5650000000000004</v>
      </c>
    </row>
    <row r="1708" spans="1:10" x14ac:dyDescent="0.25">
      <c r="A1708">
        <v>30</v>
      </c>
      <c r="B1708" s="1">
        <v>41190</v>
      </c>
      <c r="C1708">
        <v>10</v>
      </c>
      <c r="D1708">
        <v>2012</v>
      </c>
      <c r="E1708" s="2">
        <v>430878.28</v>
      </c>
      <c r="F1708">
        <v>0</v>
      </c>
      <c r="G1708" s="3">
        <v>89.57</v>
      </c>
      <c r="H1708" s="2">
        <v>3.4940000000000002</v>
      </c>
      <c r="I1708">
        <v>221.59541379999999</v>
      </c>
      <c r="J1708" s="3">
        <v>6.5650000000000004</v>
      </c>
    </row>
    <row r="1709" spans="1:10" x14ac:dyDescent="0.25">
      <c r="A1709">
        <v>30</v>
      </c>
      <c r="B1709" s="1">
        <v>41099</v>
      </c>
      <c r="C1709">
        <v>7</v>
      </c>
      <c r="D1709">
        <v>2012</v>
      </c>
      <c r="E1709" s="2">
        <v>433565.77</v>
      </c>
      <c r="F1709">
        <v>1</v>
      </c>
      <c r="G1709" s="3">
        <v>88.4</v>
      </c>
      <c r="H1709" s="2">
        <v>3.73</v>
      </c>
      <c r="I1709">
        <v>222.07476349999999</v>
      </c>
      <c r="J1709" s="3">
        <v>6.5650000000000004</v>
      </c>
    </row>
    <row r="1710" spans="1:10" x14ac:dyDescent="0.25">
      <c r="A1710">
        <v>30</v>
      </c>
      <c r="B1710" s="1">
        <v>41039</v>
      </c>
      <c r="C1710">
        <v>5</v>
      </c>
      <c r="D1710">
        <v>2012</v>
      </c>
      <c r="E1710" s="2">
        <v>446751.45</v>
      </c>
      <c r="F1710">
        <v>0</v>
      </c>
      <c r="G1710" s="3">
        <v>70.28</v>
      </c>
      <c r="H1710" s="2">
        <v>3.617</v>
      </c>
      <c r="I1710">
        <v>222.8159296</v>
      </c>
      <c r="J1710" s="3">
        <v>6.17</v>
      </c>
    </row>
    <row r="1711" spans="1:10" x14ac:dyDescent="0.25">
      <c r="A1711">
        <v>30</v>
      </c>
      <c r="B1711" s="1">
        <v>41253</v>
      </c>
      <c r="C1711">
        <v>12</v>
      </c>
      <c r="D1711">
        <v>2012</v>
      </c>
      <c r="E1711" s="2">
        <v>434593.26</v>
      </c>
      <c r="F1711">
        <v>0</v>
      </c>
      <c r="G1711" s="3">
        <v>61.53</v>
      </c>
      <c r="H1711" s="2">
        <v>3.601</v>
      </c>
      <c r="I1711">
        <v>223.0154263</v>
      </c>
      <c r="J1711" s="3">
        <v>6.17</v>
      </c>
    </row>
    <row r="1712" spans="1:10" x14ac:dyDescent="0.25">
      <c r="A1712">
        <v>31</v>
      </c>
      <c r="B1712" s="1">
        <v>40300</v>
      </c>
      <c r="C1712">
        <v>5</v>
      </c>
      <c r="D1712">
        <v>2010</v>
      </c>
      <c r="E1712" s="2">
        <v>1469252.05</v>
      </c>
      <c r="F1712">
        <v>0</v>
      </c>
      <c r="G1712" s="3">
        <v>39.049999999999997</v>
      </c>
      <c r="H1712" s="2">
        <v>2.5720000000000001</v>
      </c>
      <c r="I1712">
        <v>210.7526053</v>
      </c>
      <c r="J1712" s="3">
        <v>8.3239999999999998</v>
      </c>
    </row>
    <row r="1713" spans="1:10" x14ac:dyDescent="0.25">
      <c r="A1713">
        <v>31</v>
      </c>
      <c r="B1713" s="1">
        <v>40514</v>
      </c>
      <c r="C1713">
        <v>12</v>
      </c>
      <c r="D1713">
        <v>2010</v>
      </c>
      <c r="E1713" s="2">
        <v>1543947.23</v>
      </c>
      <c r="F1713">
        <v>1</v>
      </c>
      <c r="G1713" s="3">
        <v>37.770000000000003</v>
      </c>
      <c r="H1713" s="2">
        <v>2.548</v>
      </c>
      <c r="I1713">
        <v>210.89799350000001</v>
      </c>
      <c r="J1713" s="3">
        <v>8.3239999999999998</v>
      </c>
    </row>
    <row r="1714" spans="1:10" x14ac:dyDescent="0.25">
      <c r="A1714">
        <v>31</v>
      </c>
      <c r="B1714" s="1">
        <v>40301</v>
      </c>
      <c r="C1714">
        <v>5</v>
      </c>
      <c r="D1714">
        <v>2010</v>
      </c>
      <c r="E1714" s="2">
        <v>1384870.51</v>
      </c>
      <c r="F1714">
        <v>0</v>
      </c>
      <c r="G1714" s="3">
        <v>48.61</v>
      </c>
      <c r="H1714" s="2">
        <v>2.625</v>
      </c>
      <c r="I1714">
        <v>211.00675419999999</v>
      </c>
      <c r="J1714" s="3">
        <v>8.3239999999999998</v>
      </c>
    </row>
    <row r="1715" spans="1:10" x14ac:dyDescent="0.25">
      <c r="A1715">
        <v>31</v>
      </c>
      <c r="B1715" s="1">
        <v>40515</v>
      </c>
      <c r="C1715">
        <v>12</v>
      </c>
      <c r="D1715">
        <v>2010</v>
      </c>
      <c r="E1715" s="2">
        <v>1366193.35</v>
      </c>
      <c r="F1715">
        <v>0</v>
      </c>
      <c r="G1715" s="3">
        <v>57.1</v>
      </c>
      <c r="H1715" s="2">
        <v>2.6669999999999998</v>
      </c>
      <c r="I1715">
        <v>211.03755100000001</v>
      </c>
      <c r="J1715" s="3">
        <v>8.3239999999999998</v>
      </c>
    </row>
    <row r="1716" spans="1:10" x14ac:dyDescent="0.25">
      <c r="A1716">
        <v>31</v>
      </c>
      <c r="B1716" s="1">
        <v>40213</v>
      </c>
      <c r="C1716">
        <v>2</v>
      </c>
      <c r="D1716">
        <v>2010</v>
      </c>
      <c r="E1716" s="2">
        <v>1357600.68</v>
      </c>
      <c r="F1716">
        <v>0</v>
      </c>
      <c r="G1716" s="3">
        <v>64.12</v>
      </c>
      <c r="H1716" s="2">
        <v>2.7189999999999999</v>
      </c>
      <c r="I1716">
        <v>210.4798874</v>
      </c>
      <c r="J1716" s="3">
        <v>8.1999999999999993</v>
      </c>
    </row>
    <row r="1717" spans="1:10" x14ac:dyDescent="0.25">
      <c r="A1717">
        <v>31</v>
      </c>
      <c r="B1717" s="1">
        <v>40425</v>
      </c>
      <c r="C1717">
        <v>9</v>
      </c>
      <c r="D1717">
        <v>2010</v>
      </c>
      <c r="E1717" s="2">
        <v>1395710.09</v>
      </c>
      <c r="F1717">
        <v>0</v>
      </c>
      <c r="G1717" s="3">
        <v>65.739999999999995</v>
      </c>
      <c r="H1717" s="2">
        <v>2.77</v>
      </c>
      <c r="I1717">
        <v>210.28316530000001</v>
      </c>
      <c r="J1717" s="3">
        <v>8.1999999999999993</v>
      </c>
    </row>
    <row r="1718" spans="1:10" x14ac:dyDescent="0.25">
      <c r="A1718">
        <v>31</v>
      </c>
      <c r="B1718" s="1">
        <v>40364</v>
      </c>
      <c r="C1718">
        <v>7</v>
      </c>
      <c r="D1718">
        <v>2010</v>
      </c>
      <c r="E1718" s="2">
        <v>1381796.8</v>
      </c>
      <c r="F1718">
        <v>0</v>
      </c>
      <c r="G1718" s="3">
        <v>70.87</v>
      </c>
      <c r="H1718" s="2">
        <v>2.835</v>
      </c>
      <c r="I1718">
        <v>210.00110179999999</v>
      </c>
      <c r="J1718" s="3">
        <v>8.1999999999999993</v>
      </c>
    </row>
    <row r="1719" spans="1:10" x14ac:dyDescent="0.25">
      <c r="A1719">
        <v>31</v>
      </c>
      <c r="B1719" s="1">
        <v>40274</v>
      </c>
      <c r="C1719">
        <v>4</v>
      </c>
      <c r="D1719">
        <v>2010</v>
      </c>
      <c r="E1719" s="2">
        <v>1427624.5</v>
      </c>
      <c r="F1719">
        <v>0</v>
      </c>
      <c r="G1719" s="3">
        <v>82.68</v>
      </c>
      <c r="H1719" s="2">
        <v>2.7050000000000001</v>
      </c>
      <c r="I1719">
        <v>210.83361600000001</v>
      </c>
      <c r="J1719" s="3">
        <v>8.1999999999999993</v>
      </c>
    </row>
    <row r="1720" spans="1:10" x14ac:dyDescent="0.25">
      <c r="A1720">
        <v>31</v>
      </c>
      <c r="B1720" s="1">
        <v>40488</v>
      </c>
      <c r="C1720">
        <v>11</v>
      </c>
      <c r="D1720">
        <v>2010</v>
      </c>
      <c r="E1720" s="2">
        <v>1377092.33</v>
      </c>
      <c r="F1720">
        <v>0</v>
      </c>
      <c r="G1720" s="3">
        <v>83.51</v>
      </c>
      <c r="H1720" s="2">
        <v>2.6680000000000001</v>
      </c>
      <c r="I1720">
        <v>211.1120018</v>
      </c>
      <c r="J1720" s="3">
        <v>8.1999999999999993</v>
      </c>
    </row>
    <row r="1721" spans="1:10" x14ac:dyDescent="0.25">
      <c r="A1721">
        <v>31</v>
      </c>
      <c r="B1721" s="1">
        <v>40216</v>
      </c>
      <c r="C1721">
        <v>2</v>
      </c>
      <c r="D1721">
        <v>2010</v>
      </c>
      <c r="E1721" s="2">
        <v>1311704.92</v>
      </c>
      <c r="F1721">
        <v>0</v>
      </c>
      <c r="G1721" s="3">
        <v>82.29</v>
      </c>
      <c r="H1721" s="2">
        <v>2.669</v>
      </c>
      <c r="I1721">
        <v>210.88037259999999</v>
      </c>
      <c r="J1721" s="3">
        <v>8.0990000000000002</v>
      </c>
    </row>
    <row r="1722" spans="1:10" x14ac:dyDescent="0.25">
      <c r="A1722">
        <v>31</v>
      </c>
      <c r="B1722" s="1">
        <v>40428</v>
      </c>
      <c r="C1722">
        <v>9</v>
      </c>
      <c r="D1722">
        <v>2010</v>
      </c>
      <c r="E1722" s="2">
        <v>1315118.3999999999</v>
      </c>
      <c r="F1722">
        <v>0</v>
      </c>
      <c r="G1722" s="3">
        <v>81.67</v>
      </c>
      <c r="H1722" s="2">
        <v>2.6419999999999999</v>
      </c>
      <c r="I1722">
        <v>210.7657317</v>
      </c>
      <c r="J1722" s="3">
        <v>8.0990000000000002</v>
      </c>
    </row>
    <row r="1723" spans="1:10" x14ac:dyDescent="0.25">
      <c r="A1723">
        <v>31</v>
      </c>
      <c r="B1723" s="1">
        <v>40337</v>
      </c>
      <c r="C1723">
        <v>6</v>
      </c>
      <c r="D1723">
        <v>2010</v>
      </c>
      <c r="E1723" s="2">
        <v>1352401.08</v>
      </c>
      <c r="F1723">
        <v>0</v>
      </c>
      <c r="G1723" s="3">
        <v>90.3</v>
      </c>
      <c r="H1723" s="2">
        <v>2.6269999999999998</v>
      </c>
      <c r="I1723">
        <v>211.16080489999999</v>
      </c>
      <c r="J1723" s="3">
        <v>8.0990000000000002</v>
      </c>
    </row>
    <row r="1724" spans="1:10" x14ac:dyDescent="0.25">
      <c r="A1724">
        <v>31</v>
      </c>
      <c r="B1724" s="1">
        <v>40246</v>
      </c>
      <c r="C1724">
        <v>3</v>
      </c>
      <c r="D1724">
        <v>2010</v>
      </c>
      <c r="E1724" s="2">
        <v>1302047.48</v>
      </c>
      <c r="F1724">
        <v>0</v>
      </c>
      <c r="G1724" s="3">
        <v>82.57</v>
      </c>
      <c r="H1724" s="2">
        <v>2.577</v>
      </c>
      <c r="I1724">
        <v>211.18869309999999</v>
      </c>
      <c r="J1724" s="3">
        <v>8.0990000000000002</v>
      </c>
    </row>
    <row r="1725" spans="1:10" x14ac:dyDescent="0.25">
      <c r="A1725">
        <v>31</v>
      </c>
      <c r="B1725" s="1">
        <v>40460</v>
      </c>
      <c r="C1725">
        <v>10</v>
      </c>
      <c r="D1725">
        <v>2010</v>
      </c>
      <c r="E1725" s="2">
        <v>1308179.02</v>
      </c>
      <c r="F1725">
        <v>1</v>
      </c>
      <c r="G1725" s="3">
        <v>79.3</v>
      </c>
      <c r="H1725" s="2">
        <v>2.5649999999999999</v>
      </c>
      <c r="I1725">
        <v>211.15321040000001</v>
      </c>
      <c r="J1725" s="3">
        <v>8.0990000000000002</v>
      </c>
    </row>
    <row r="1726" spans="1:10" x14ac:dyDescent="0.25">
      <c r="A1726">
        <v>31</v>
      </c>
      <c r="B1726" s="1">
        <v>40188</v>
      </c>
      <c r="C1726">
        <v>1</v>
      </c>
      <c r="D1726">
        <v>2010</v>
      </c>
      <c r="E1726" s="2">
        <v>1213981.6399999999</v>
      </c>
      <c r="F1726">
        <v>0</v>
      </c>
      <c r="G1726" s="3">
        <v>70.28</v>
      </c>
      <c r="H1726" s="2">
        <v>2.6030000000000002</v>
      </c>
      <c r="I1726">
        <v>211.32987420000001</v>
      </c>
      <c r="J1726" s="3">
        <v>8.1630000000000003</v>
      </c>
    </row>
    <row r="1727" spans="1:10" x14ac:dyDescent="0.25">
      <c r="A1727">
        <v>31</v>
      </c>
      <c r="B1727" s="1">
        <v>40400</v>
      </c>
      <c r="C1727">
        <v>8</v>
      </c>
      <c r="D1727">
        <v>2010</v>
      </c>
      <c r="E1727" s="2">
        <v>1300131.68</v>
      </c>
      <c r="F1727">
        <v>0</v>
      </c>
      <c r="G1727" s="3">
        <v>65.760000000000005</v>
      </c>
      <c r="H1727" s="2">
        <v>2.633</v>
      </c>
      <c r="I1727">
        <v>211.4044906</v>
      </c>
      <c r="J1727" s="3">
        <v>8.1630000000000003</v>
      </c>
    </row>
    <row r="1728" spans="1:10" x14ac:dyDescent="0.25">
      <c r="A1728">
        <v>31</v>
      </c>
      <c r="B1728" s="1">
        <v>40309</v>
      </c>
      <c r="C1728">
        <v>5</v>
      </c>
      <c r="D1728">
        <v>2010</v>
      </c>
      <c r="E1728" s="2">
        <v>1324455.72</v>
      </c>
      <c r="F1728">
        <v>0</v>
      </c>
      <c r="G1728" s="3">
        <v>58.71</v>
      </c>
      <c r="H1728" s="2">
        <v>2.6890000000000001</v>
      </c>
      <c r="I1728">
        <v>211.61350530000001</v>
      </c>
      <c r="J1728" s="3">
        <v>8.1630000000000003</v>
      </c>
    </row>
    <row r="1729" spans="1:10" x14ac:dyDescent="0.25">
      <c r="A1729">
        <v>31</v>
      </c>
      <c r="B1729" s="1">
        <v>40523</v>
      </c>
      <c r="C1729">
        <v>12</v>
      </c>
      <c r="D1729">
        <v>2010</v>
      </c>
      <c r="E1729" s="2">
        <v>1352780.76</v>
      </c>
      <c r="F1729">
        <v>0</v>
      </c>
      <c r="G1729" s="3">
        <v>60.95</v>
      </c>
      <c r="H1729" s="2">
        <v>2.7280000000000002</v>
      </c>
      <c r="I1729">
        <v>211.6608975</v>
      </c>
      <c r="J1729" s="3">
        <v>8.1630000000000003</v>
      </c>
    </row>
    <row r="1730" spans="1:10" x14ac:dyDescent="0.25">
      <c r="A1730">
        <v>31</v>
      </c>
      <c r="B1730" s="1">
        <v>40249</v>
      </c>
      <c r="C1730">
        <v>3</v>
      </c>
      <c r="D1730">
        <v>2010</v>
      </c>
      <c r="E1730" s="2">
        <v>1338716.3700000001</v>
      </c>
      <c r="F1730">
        <v>0</v>
      </c>
      <c r="G1730" s="3">
        <v>50.43</v>
      </c>
      <c r="H1730" s="2">
        <v>2.7080000000000002</v>
      </c>
      <c r="I1730">
        <v>211.26554300000001</v>
      </c>
      <c r="J1730" s="3">
        <v>8.1630000000000003</v>
      </c>
    </row>
    <row r="1731" spans="1:10" x14ac:dyDescent="0.25">
      <c r="A1731">
        <v>31</v>
      </c>
      <c r="B1731" s="1">
        <v>40463</v>
      </c>
      <c r="C1731">
        <v>10</v>
      </c>
      <c r="D1731">
        <v>2010</v>
      </c>
      <c r="E1731" s="2">
        <v>1475685.1</v>
      </c>
      <c r="F1731">
        <v>0</v>
      </c>
      <c r="G1731" s="3">
        <v>46.35</v>
      </c>
      <c r="H1731" s="2">
        <v>2.843</v>
      </c>
      <c r="I1731">
        <v>211.12479930000001</v>
      </c>
      <c r="J1731" s="3">
        <v>8.1630000000000003</v>
      </c>
    </row>
    <row r="1732" spans="1:10" x14ac:dyDescent="0.25">
      <c r="A1732">
        <v>31</v>
      </c>
      <c r="B1732" s="1">
        <v>40725</v>
      </c>
      <c r="C1732">
        <v>7</v>
      </c>
      <c r="D1732">
        <v>2011</v>
      </c>
      <c r="E1732" s="2">
        <v>1311986.8700000001</v>
      </c>
      <c r="F1732">
        <v>0</v>
      </c>
      <c r="G1732" s="3">
        <v>44.24</v>
      </c>
      <c r="H1732" s="2">
        <v>2.976</v>
      </c>
      <c r="I1732">
        <v>211.06488809999999</v>
      </c>
      <c r="J1732" s="3">
        <v>8.0280000000000005</v>
      </c>
    </row>
    <row r="1733" spans="1:10" x14ac:dyDescent="0.25">
      <c r="A1733">
        <v>31</v>
      </c>
      <c r="B1733" s="1">
        <v>40635</v>
      </c>
      <c r="C1733">
        <v>4</v>
      </c>
      <c r="D1733">
        <v>2011</v>
      </c>
      <c r="E1733" s="2">
        <v>1443206.46</v>
      </c>
      <c r="F1733">
        <v>0</v>
      </c>
      <c r="G1733" s="3">
        <v>36.33</v>
      </c>
      <c r="H1733" s="2">
        <v>2.9889999999999999</v>
      </c>
      <c r="I1733">
        <v>212.22406459999999</v>
      </c>
      <c r="J1733" s="3">
        <v>8.0280000000000005</v>
      </c>
    </row>
    <row r="1734" spans="1:10" x14ac:dyDescent="0.25">
      <c r="A1734">
        <v>31</v>
      </c>
      <c r="B1734" s="1">
        <v>40849</v>
      </c>
      <c r="C1734">
        <v>11</v>
      </c>
      <c r="D1734">
        <v>2011</v>
      </c>
      <c r="E1734" s="2">
        <v>1539230.32</v>
      </c>
      <c r="F1734">
        <v>1</v>
      </c>
      <c r="G1734" s="3">
        <v>34.61</v>
      </c>
      <c r="H1734" s="2">
        <v>3.0219999999999998</v>
      </c>
      <c r="I1734">
        <v>212.5928624</v>
      </c>
      <c r="J1734" s="3">
        <v>8.0280000000000005</v>
      </c>
    </row>
    <row r="1735" spans="1:10" x14ac:dyDescent="0.25">
      <c r="A1735">
        <v>31</v>
      </c>
      <c r="B1735" s="1">
        <v>40636</v>
      </c>
      <c r="C1735">
        <v>4</v>
      </c>
      <c r="D1735">
        <v>2011</v>
      </c>
      <c r="E1735" s="2">
        <v>1412721.18</v>
      </c>
      <c r="F1735">
        <v>0</v>
      </c>
      <c r="G1735" s="3">
        <v>59.52</v>
      </c>
      <c r="H1735" s="2">
        <v>3.2879999999999998</v>
      </c>
      <c r="I1735">
        <v>213.4775305</v>
      </c>
      <c r="J1735" s="3">
        <v>8.0280000000000005</v>
      </c>
    </row>
    <row r="1736" spans="1:10" x14ac:dyDescent="0.25">
      <c r="A1736">
        <v>31</v>
      </c>
      <c r="B1736" s="1">
        <v>40850</v>
      </c>
      <c r="C1736">
        <v>11</v>
      </c>
      <c r="D1736">
        <v>2011</v>
      </c>
      <c r="E1736" s="2">
        <v>1405572.93</v>
      </c>
      <c r="F1736">
        <v>0</v>
      </c>
      <c r="G1736" s="3">
        <v>54.69</v>
      </c>
      <c r="H1736" s="2">
        <v>3.4590000000000001</v>
      </c>
      <c r="I1736">
        <v>213.76464010000001</v>
      </c>
      <c r="J1736" s="3">
        <v>8.0280000000000005</v>
      </c>
    </row>
    <row r="1737" spans="1:10" x14ac:dyDescent="0.25">
      <c r="A1737">
        <v>31</v>
      </c>
      <c r="B1737" s="1">
        <v>40547</v>
      </c>
      <c r="C1737">
        <v>1</v>
      </c>
      <c r="D1737">
        <v>2011</v>
      </c>
      <c r="E1737" s="2">
        <v>1344890.73</v>
      </c>
      <c r="F1737">
        <v>0</v>
      </c>
      <c r="G1737" s="3">
        <v>56.36</v>
      </c>
      <c r="H1737" s="2">
        <v>3.524</v>
      </c>
      <c r="I1737">
        <v>214.4886908</v>
      </c>
      <c r="J1737" s="3">
        <v>7.931</v>
      </c>
    </row>
    <row r="1738" spans="1:10" x14ac:dyDescent="0.25">
      <c r="A1738">
        <v>31</v>
      </c>
      <c r="B1738" s="1">
        <v>40759</v>
      </c>
      <c r="C1738">
        <v>8</v>
      </c>
      <c r="D1738">
        <v>2011</v>
      </c>
      <c r="E1738" s="2">
        <v>1416790.17</v>
      </c>
      <c r="F1738">
        <v>0</v>
      </c>
      <c r="G1738" s="3">
        <v>68.62</v>
      </c>
      <c r="H1738" s="2">
        <v>3.6219999999999999</v>
      </c>
      <c r="I1738">
        <v>214.72522420000001</v>
      </c>
      <c r="J1738" s="3">
        <v>7.931</v>
      </c>
    </row>
    <row r="1739" spans="1:10" x14ac:dyDescent="0.25">
      <c r="A1739">
        <v>31</v>
      </c>
      <c r="B1739" s="1">
        <v>40699</v>
      </c>
      <c r="C1739">
        <v>6</v>
      </c>
      <c r="D1739">
        <v>2011</v>
      </c>
      <c r="E1739" s="2">
        <v>1388755.61</v>
      </c>
      <c r="F1739">
        <v>0</v>
      </c>
      <c r="G1739" s="3">
        <v>61.87</v>
      </c>
      <c r="H1739" s="2">
        <v>3.9060000000000001</v>
      </c>
      <c r="I1739">
        <v>215.44487090000001</v>
      </c>
      <c r="J1739" s="3">
        <v>7.931</v>
      </c>
    </row>
    <row r="1740" spans="1:10" x14ac:dyDescent="0.25">
      <c r="A1740">
        <v>31</v>
      </c>
      <c r="B1740" s="1">
        <v>40608</v>
      </c>
      <c r="C1740">
        <v>3</v>
      </c>
      <c r="D1740">
        <v>2011</v>
      </c>
      <c r="E1740" s="2">
        <v>1430348.1</v>
      </c>
      <c r="F1740">
        <v>0</v>
      </c>
      <c r="G1740" s="3">
        <v>83.82</v>
      </c>
      <c r="H1740" s="2">
        <v>3.6989999999999998</v>
      </c>
      <c r="I1740">
        <v>214.92548650000001</v>
      </c>
      <c r="J1740" s="3">
        <v>7.931</v>
      </c>
    </row>
    <row r="1741" spans="1:10" x14ac:dyDescent="0.25">
      <c r="A1741">
        <v>31</v>
      </c>
      <c r="B1741" s="1">
        <v>40822</v>
      </c>
      <c r="C1741">
        <v>10</v>
      </c>
      <c r="D1741">
        <v>2011</v>
      </c>
      <c r="E1741" s="2">
        <v>1425299.37</v>
      </c>
      <c r="F1741">
        <v>0</v>
      </c>
      <c r="G1741" s="3">
        <v>84.71</v>
      </c>
      <c r="H1741" s="2">
        <v>3.6480000000000001</v>
      </c>
      <c r="I1741">
        <v>214.69649079999999</v>
      </c>
      <c r="J1741" s="3">
        <v>7.931</v>
      </c>
    </row>
    <row r="1742" spans="1:10" x14ac:dyDescent="0.25">
      <c r="A1742">
        <v>31</v>
      </c>
      <c r="B1742" s="1">
        <v>40550</v>
      </c>
      <c r="C1742">
        <v>1</v>
      </c>
      <c r="D1742">
        <v>2011</v>
      </c>
      <c r="E1742" s="2">
        <v>1371889.27</v>
      </c>
      <c r="F1742">
        <v>0</v>
      </c>
      <c r="G1742" s="3">
        <v>87.57</v>
      </c>
      <c r="H1742" s="2">
        <v>3.524</v>
      </c>
      <c r="I1742">
        <v>214.83686779999999</v>
      </c>
      <c r="J1742" s="3">
        <v>7.8520000000000003</v>
      </c>
    </row>
    <row r="1743" spans="1:10" x14ac:dyDescent="0.25">
      <c r="A1743">
        <v>31</v>
      </c>
      <c r="B1743" s="1">
        <v>40762</v>
      </c>
      <c r="C1743">
        <v>8</v>
      </c>
      <c r="D1743">
        <v>2011</v>
      </c>
      <c r="E1743" s="2">
        <v>1423144.47</v>
      </c>
      <c r="F1743">
        <v>0</v>
      </c>
      <c r="G1743" s="3">
        <v>89.16</v>
      </c>
      <c r="H1743" s="2">
        <v>3.48</v>
      </c>
      <c r="I1743">
        <v>214.92962489999999</v>
      </c>
      <c r="J1743" s="3">
        <v>7.8520000000000003</v>
      </c>
    </row>
    <row r="1744" spans="1:10" x14ac:dyDescent="0.25">
      <c r="A1744">
        <v>31</v>
      </c>
      <c r="B1744" s="1">
        <v>40671</v>
      </c>
      <c r="C1744">
        <v>5</v>
      </c>
      <c r="D1744">
        <v>2011</v>
      </c>
      <c r="E1744" s="2">
        <v>1428993.33</v>
      </c>
      <c r="F1744">
        <v>0</v>
      </c>
      <c r="G1744" s="3">
        <v>94.22</v>
      </c>
      <c r="H1744" s="2">
        <v>3.6840000000000002</v>
      </c>
      <c r="I1744">
        <v>215.19785150000001</v>
      </c>
      <c r="J1744" s="3">
        <v>7.8520000000000003</v>
      </c>
    </row>
    <row r="1745" spans="1:10" x14ac:dyDescent="0.25">
      <c r="A1745">
        <v>31</v>
      </c>
      <c r="B1745" s="1">
        <v>40885</v>
      </c>
      <c r="C1745">
        <v>12</v>
      </c>
      <c r="D1745">
        <v>2011</v>
      </c>
      <c r="E1745" s="2">
        <v>1443311.49</v>
      </c>
      <c r="F1745">
        <v>0</v>
      </c>
      <c r="G1745" s="3">
        <v>92.32</v>
      </c>
      <c r="H1745" s="2">
        <v>3.6379999999999999</v>
      </c>
      <c r="I1745">
        <v>215.25932109999999</v>
      </c>
      <c r="J1745" s="3">
        <v>7.8520000000000003</v>
      </c>
    </row>
    <row r="1746" spans="1:10" x14ac:dyDescent="0.25">
      <c r="A1746">
        <v>31</v>
      </c>
      <c r="B1746" s="1">
        <v>40583</v>
      </c>
      <c r="C1746">
        <v>2</v>
      </c>
      <c r="D1746">
        <v>2011</v>
      </c>
      <c r="E1746" s="2">
        <v>1385769.03</v>
      </c>
      <c r="F1746">
        <v>0</v>
      </c>
      <c r="G1746" s="3">
        <v>91.94</v>
      </c>
      <c r="H1746" s="2">
        <v>3.5329999999999999</v>
      </c>
      <c r="I1746">
        <v>215.45086319999999</v>
      </c>
      <c r="J1746" s="3">
        <v>7.8520000000000003</v>
      </c>
    </row>
    <row r="1747" spans="1:10" x14ac:dyDescent="0.25">
      <c r="A1747">
        <v>31</v>
      </c>
      <c r="B1747" s="1">
        <v>40795</v>
      </c>
      <c r="C1747">
        <v>9</v>
      </c>
      <c r="D1747">
        <v>2011</v>
      </c>
      <c r="E1747" s="2">
        <v>1376670.27</v>
      </c>
      <c r="F1747">
        <v>1</v>
      </c>
      <c r="G1747" s="3">
        <v>78.87</v>
      </c>
      <c r="H1747" s="2">
        <v>3.5459999999999998</v>
      </c>
      <c r="I1747">
        <v>215.51482949999999</v>
      </c>
      <c r="J1747" s="3">
        <v>7.8520000000000003</v>
      </c>
    </row>
    <row r="1748" spans="1:10" x14ac:dyDescent="0.25">
      <c r="A1748">
        <v>31</v>
      </c>
      <c r="B1748" s="1">
        <v>40734</v>
      </c>
      <c r="C1748">
        <v>7</v>
      </c>
      <c r="D1748">
        <v>2011</v>
      </c>
      <c r="E1748" s="2">
        <v>1427383.24</v>
      </c>
      <c r="F1748">
        <v>0</v>
      </c>
      <c r="G1748" s="3">
        <v>71.64</v>
      </c>
      <c r="H1748" s="2">
        <v>3.2850000000000001</v>
      </c>
      <c r="I1748">
        <v>216.69583109999999</v>
      </c>
      <c r="J1748" s="3">
        <v>7.4409999999999998</v>
      </c>
    </row>
    <row r="1749" spans="1:10" x14ac:dyDescent="0.25">
      <c r="A1749">
        <v>31</v>
      </c>
      <c r="B1749" s="1">
        <v>40644</v>
      </c>
      <c r="C1749">
        <v>4</v>
      </c>
      <c r="D1749">
        <v>2011</v>
      </c>
      <c r="E1749" s="2">
        <v>1426405.46</v>
      </c>
      <c r="F1749">
        <v>0</v>
      </c>
      <c r="G1749" s="3">
        <v>56.01</v>
      </c>
      <c r="H1749" s="2">
        <v>3.3319999999999999</v>
      </c>
      <c r="I1749">
        <v>217.48536050000001</v>
      </c>
      <c r="J1749" s="3">
        <v>7.4409999999999998</v>
      </c>
    </row>
    <row r="1750" spans="1:10" x14ac:dyDescent="0.25">
      <c r="A1750">
        <v>31</v>
      </c>
      <c r="B1750" s="1">
        <v>40858</v>
      </c>
      <c r="C1750">
        <v>11</v>
      </c>
      <c r="D1750">
        <v>2011</v>
      </c>
      <c r="E1750" s="2">
        <v>1444783.64</v>
      </c>
      <c r="F1750">
        <v>0</v>
      </c>
      <c r="G1750" s="3">
        <v>59.8</v>
      </c>
      <c r="H1750" s="2">
        <v>3.2970000000000002</v>
      </c>
      <c r="I1750">
        <v>217.6455387</v>
      </c>
      <c r="J1750" s="3">
        <v>7.4409999999999998</v>
      </c>
    </row>
    <row r="1751" spans="1:10" x14ac:dyDescent="0.25">
      <c r="A1751">
        <v>31</v>
      </c>
      <c r="B1751" s="1">
        <v>40586</v>
      </c>
      <c r="C1751">
        <v>2</v>
      </c>
      <c r="D1751">
        <v>2011</v>
      </c>
      <c r="E1751" s="2">
        <v>1388809.43</v>
      </c>
      <c r="F1751">
        <v>0</v>
      </c>
      <c r="G1751" s="3">
        <v>48.72</v>
      </c>
      <c r="H1751" s="2">
        <v>3.1720000000000002</v>
      </c>
      <c r="I1751">
        <v>218.35903189999999</v>
      </c>
      <c r="J1751" s="3">
        <v>7.4409999999999998</v>
      </c>
    </row>
    <row r="1752" spans="1:10" x14ac:dyDescent="0.25">
      <c r="A1752">
        <v>31</v>
      </c>
      <c r="B1752" s="1">
        <v>40798</v>
      </c>
      <c r="C1752">
        <v>9</v>
      </c>
      <c r="D1752">
        <v>2011</v>
      </c>
      <c r="E1752" s="2">
        <v>1556798.94</v>
      </c>
      <c r="F1752">
        <v>0</v>
      </c>
      <c r="G1752" s="3">
        <v>41.44</v>
      </c>
      <c r="H1752" s="2">
        <v>3.1579999999999999</v>
      </c>
      <c r="I1752">
        <v>218.60503700000001</v>
      </c>
      <c r="J1752" s="3">
        <v>7.4409999999999998</v>
      </c>
    </row>
    <row r="1753" spans="1:10" x14ac:dyDescent="0.25">
      <c r="A1753">
        <v>31</v>
      </c>
      <c r="B1753" s="1">
        <v>41061</v>
      </c>
      <c r="C1753">
        <v>6</v>
      </c>
      <c r="D1753">
        <v>2012</v>
      </c>
      <c r="E1753" s="2">
        <v>1401232.52</v>
      </c>
      <c r="F1753">
        <v>0</v>
      </c>
      <c r="G1753" s="3">
        <v>48.1</v>
      </c>
      <c r="H1753" s="2">
        <v>3.157</v>
      </c>
      <c r="I1753">
        <v>219.355063</v>
      </c>
      <c r="J1753" s="3">
        <v>7.0570000000000004</v>
      </c>
    </row>
    <row r="1754" spans="1:10" x14ac:dyDescent="0.25">
      <c r="A1754">
        <v>31</v>
      </c>
      <c r="B1754" s="1">
        <v>40970</v>
      </c>
      <c r="C1754">
        <v>3</v>
      </c>
      <c r="D1754">
        <v>2012</v>
      </c>
      <c r="E1754" s="2">
        <v>1391479.91</v>
      </c>
      <c r="F1754">
        <v>0</v>
      </c>
      <c r="G1754" s="3">
        <v>55.83</v>
      </c>
      <c r="H1754" s="2">
        <v>3.36</v>
      </c>
      <c r="I1754">
        <v>219.81188539999999</v>
      </c>
      <c r="J1754" s="3">
        <v>7.0570000000000004</v>
      </c>
    </row>
    <row r="1755" spans="1:10" x14ac:dyDescent="0.25">
      <c r="A1755">
        <v>31</v>
      </c>
      <c r="B1755" s="1">
        <v>41184</v>
      </c>
      <c r="C1755">
        <v>10</v>
      </c>
      <c r="D1755">
        <v>2012</v>
      </c>
      <c r="E1755" s="2">
        <v>1527688.58</v>
      </c>
      <c r="F1755">
        <v>1</v>
      </c>
      <c r="G1755" s="3">
        <v>46.52</v>
      </c>
      <c r="H1755" s="2">
        <v>3.4089999999999998</v>
      </c>
      <c r="I1755">
        <v>219.90490729999999</v>
      </c>
      <c r="J1755" s="3">
        <v>7.0570000000000004</v>
      </c>
    </row>
    <row r="1756" spans="1:10" x14ac:dyDescent="0.25">
      <c r="A1756">
        <v>31</v>
      </c>
      <c r="B1756" s="1">
        <v>40942</v>
      </c>
      <c r="C1756">
        <v>2</v>
      </c>
      <c r="D1756">
        <v>2012</v>
      </c>
      <c r="E1756" s="2">
        <v>1427881.22</v>
      </c>
      <c r="F1756">
        <v>0</v>
      </c>
      <c r="G1756" s="3">
        <v>59.3</v>
      </c>
      <c r="H1756" s="2">
        <v>3.63</v>
      </c>
      <c r="I1756">
        <v>220.48668860000001</v>
      </c>
      <c r="J1756" s="3">
        <v>7.0570000000000004</v>
      </c>
    </row>
    <row r="1757" spans="1:10" x14ac:dyDescent="0.25">
      <c r="A1757">
        <v>31</v>
      </c>
      <c r="B1757" s="1">
        <v>41155</v>
      </c>
      <c r="C1757">
        <v>9</v>
      </c>
      <c r="D1757">
        <v>2012</v>
      </c>
      <c r="E1757" s="2">
        <v>1439034.86</v>
      </c>
      <c r="F1757">
        <v>0</v>
      </c>
      <c r="G1757" s="3">
        <v>57.16</v>
      </c>
      <c r="H1757" s="2">
        <v>3.669</v>
      </c>
      <c r="I1757">
        <v>220.69743320000001</v>
      </c>
      <c r="J1757" s="3">
        <v>7.0570000000000004</v>
      </c>
    </row>
    <row r="1758" spans="1:10" x14ac:dyDescent="0.25">
      <c r="A1758">
        <v>31</v>
      </c>
      <c r="B1758" s="1">
        <v>41064</v>
      </c>
      <c r="C1758">
        <v>6</v>
      </c>
      <c r="D1758">
        <v>2012</v>
      </c>
      <c r="E1758" s="2">
        <v>1496169.81</v>
      </c>
      <c r="F1758">
        <v>0</v>
      </c>
      <c r="G1758" s="3">
        <v>69.02</v>
      </c>
      <c r="H1758" s="2">
        <v>3.891</v>
      </c>
      <c r="I1758">
        <v>221.07376379999999</v>
      </c>
      <c r="J1758" s="3">
        <v>6.891</v>
      </c>
    </row>
    <row r="1759" spans="1:10" x14ac:dyDescent="0.25">
      <c r="A1759">
        <v>31</v>
      </c>
      <c r="B1759" s="1">
        <v>41004</v>
      </c>
      <c r="C1759">
        <v>4</v>
      </c>
      <c r="D1759">
        <v>2012</v>
      </c>
      <c r="E1759" s="2">
        <v>1391257.28</v>
      </c>
      <c r="F1759">
        <v>0</v>
      </c>
      <c r="G1759" s="3">
        <v>77.53</v>
      </c>
      <c r="H1759" s="2">
        <v>3.7490000000000001</v>
      </c>
      <c r="I1759">
        <v>221.30951659999999</v>
      </c>
      <c r="J1759" s="3">
        <v>6.891</v>
      </c>
    </row>
    <row r="1760" spans="1:10" x14ac:dyDescent="0.25">
      <c r="A1760">
        <v>31</v>
      </c>
      <c r="B1760" s="1">
        <v>41218</v>
      </c>
      <c r="C1760">
        <v>11</v>
      </c>
      <c r="D1760">
        <v>2012</v>
      </c>
      <c r="E1760" s="2">
        <v>1392938.06</v>
      </c>
      <c r="F1760">
        <v>0</v>
      </c>
      <c r="G1760" s="3">
        <v>74.14</v>
      </c>
      <c r="H1760" s="2">
        <v>3.6880000000000002</v>
      </c>
      <c r="I1760">
        <v>221.3632212</v>
      </c>
      <c r="J1760" s="3">
        <v>6.891</v>
      </c>
    </row>
    <row r="1761" spans="1:10" x14ac:dyDescent="0.25">
      <c r="A1761">
        <v>31</v>
      </c>
      <c r="B1761" s="1">
        <v>40914</v>
      </c>
      <c r="C1761">
        <v>1</v>
      </c>
      <c r="D1761">
        <v>2012</v>
      </c>
      <c r="E1761" s="2">
        <v>1404516.29</v>
      </c>
      <c r="F1761">
        <v>0</v>
      </c>
      <c r="G1761" s="3">
        <v>79.239999999999995</v>
      </c>
      <c r="H1761" s="2">
        <v>3.5009999999999999</v>
      </c>
      <c r="I1761">
        <v>221.38527479999999</v>
      </c>
      <c r="J1761" s="3">
        <v>6.891</v>
      </c>
    </row>
    <row r="1762" spans="1:10" x14ac:dyDescent="0.25">
      <c r="A1762">
        <v>31</v>
      </c>
      <c r="B1762" s="1">
        <v>41127</v>
      </c>
      <c r="C1762">
        <v>8</v>
      </c>
      <c r="D1762">
        <v>2012</v>
      </c>
      <c r="E1762" s="2">
        <v>1443285.79</v>
      </c>
      <c r="F1762">
        <v>0</v>
      </c>
      <c r="G1762" s="3">
        <v>79.47</v>
      </c>
      <c r="H1762" s="2">
        <v>3.452</v>
      </c>
      <c r="I1762">
        <v>221.38774670000001</v>
      </c>
      <c r="J1762" s="3">
        <v>6.891</v>
      </c>
    </row>
    <row r="1763" spans="1:10" x14ac:dyDescent="0.25">
      <c r="A1763">
        <v>31</v>
      </c>
      <c r="B1763" s="1">
        <v>41067</v>
      </c>
      <c r="C1763">
        <v>6</v>
      </c>
      <c r="D1763">
        <v>2012</v>
      </c>
      <c r="E1763" s="2">
        <v>1458059.42</v>
      </c>
      <c r="F1763">
        <v>0</v>
      </c>
      <c r="G1763" s="3">
        <v>85.26</v>
      </c>
      <c r="H1763" s="2">
        <v>3.2269999999999999</v>
      </c>
      <c r="I1763">
        <v>221.52150639999999</v>
      </c>
      <c r="J1763" s="3">
        <v>6.5650000000000004</v>
      </c>
    </row>
    <row r="1764" spans="1:10" x14ac:dyDescent="0.25">
      <c r="A1764">
        <v>31</v>
      </c>
      <c r="B1764" s="1">
        <v>40976</v>
      </c>
      <c r="C1764">
        <v>3</v>
      </c>
      <c r="D1764">
        <v>2012</v>
      </c>
      <c r="E1764" s="2">
        <v>1390174.63</v>
      </c>
      <c r="F1764">
        <v>0</v>
      </c>
      <c r="G1764" s="3">
        <v>91.57</v>
      </c>
      <c r="H1764" s="2">
        <v>3.4169999999999998</v>
      </c>
      <c r="I1764">
        <v>221.58697989999999</v>
      </c>
      <c r="J1764" s="3">
        <v>6.5650000000000004</v>
      </c>
    </row>
    <row r="1765" spans="1:10" x14ac:dyDescent="0.25">
      <c r="A1765">
        <v>31</v>
      </c>
      <c r="B1765" s="1">
        <v>41190</v>
      </c>
      <c r="C1765">
        <v>10</v>
      </c>
      <c r="D1765">
        <v>2012</v>
      </c>
      <c r="E1765" s="2">
        <v>1386472.59</v>
      </c>
      <c r="F1765">
        <v>0</v>
      </c>
      <c r="G1765" s="3">
        <v>89.57</v>
      </c>
      <c r="H1765" s="2">
        <v>3.4940000000000002</v>
      </c>
      <c r="I1765">
        <v>221.59541379999999</v>
      </c>
      <c r="J1765" s="3">
        <v>6.5650000000000004</v>
      </c>
    </row>
    <row r="1766" spans="1:10" x14ac:dyDescent="0.25">
      <c r="A1766">
        <v>31</v>
      </c>
      <c r="B1766" s="1">
        <v>41099</v>
      </c>
      <c r="C1766">
        <v>7</v>
      </c>
      <c r="D1766">
        <v>2012</v>
      </c>
      <c r="E1766" s="2">
        <v>1358111.62</v>
      </c>
      <c r="F1766">
        <v>1</v>
      </c>
      <c r="G1766" s="3">
        <v>88.4</v>
      </c>
      <c r="H1766" s="2">
        <v>3.73</v>
      </c>
      <c r="I1766">
        <v>222.07476349999999</v>
      </c>
      <c r="J1766" s="3">
        <v>6.5650000000000004</v>
      </c>
    </row>
    <row r="1767" spans="1:10" x14ac:dyDescent="0.25">
      <c r="A1767">
        <v>31</v>
      </c>
      <c r="B1767" s="1">
        <v>41039</v>
      </c>
      <c r="C1767">
        <v>5</v>
      </c>
      <c r="D1767">
        <v>2012</v>
      </c>
      <c r="E1767" s="2">
        <v>1363365.05</v>
      </c>
      <c r="F1767">
        <v>0</v>
      </c>
      <c r="G1767" s="3">
        <v>70.28</v>
      </c>
      <c r="H1767" s="2">
        <v>3.617</v>
      </c>
      <c r="I1767">
        <v>222.8159296</v>
      </c>
      <c r="J1767" s="3">
        <v>6.17</v>
      </c>
    </row>
    <row r="1768" spans="1:10" x14ac:dyDescent="0.25">
      <c r="A1768">
        <v>31</v>
      </c>
      <c r="B1768" s="1">
        <v>41253</v>
      </c>
      <c r="C1768">
        <v>12</v>
      </c>
      <c r="D1768">
        <v>2012</v>
      </c>
      <c r="E1768" s="2">
        <v>1401113.42</v>
      </c>
      <c r="F1768">
        <v>0</v>
      </c>
      <c r="G1768" s="3">
        <v>61.53</v>
      </c>
      <c r="H1768" s="2">
        <v>3.601</v>
      </c>
      <c r="I1768">
        <v>223.0154263</v>
      </c>
      <c r="J1768" s="3">
        <v>6.17</v>
      </c>
    </row>
    <row r="1769" spans="1:10" x14ac:dyDescent="0.25">
      <c r="A1769">
        <v>32</v>
      </c>
      <c r="B1769" s="1">
        <v>40300</v>
      </c>
      <c r="C1769">
        <v>5</v>
      </c>
      <c r="D1769">
        <v>2010</v>
      </c>
      <c r="E1769" s="2">
        <v>1087616.19</v>
      </c>
      <c r="F1769">
        <v>0</v>
      </c>
      <c r="G1769" s="3">
        <v>34.43</v>
      </c>
      <c r="H1769" s="2">
        <v>2.58</v>
      </c>
      <c r="I1769">
        <v>189.38169740000001</v>
      </c>
      <c r="J1769" s="3">
        <v>9.0139999999999993</v>
      </c>
    </row>
    <row r="1770" spans="1:10" x14ac:dyDescent="0.25">
      <c r="A1770">
        <v>32</v>
      </c>
      <c r="B1770" s="1">
        <v>40514</v>
      </c>
      <c r="C1770">
        <v>12</v>
      </c>
      <c r="D1770">
        <v>2010</v>
      </c>
      <c r="E1770" s="2">
        <v>1123566.1200000001</v>
      </c>
      <c r="F1770">
        <v>1</v>
      </c>
      <c r="G1770" s="3">
        <v>28.09</v>
      </c>
      <c r="H1770" s="2">
        <v>2.5720000000000001</v>
      </c>
      <c r="I1770">
        <v>189.46427249999999</v>
      </c>
      <c r="J1770" s="3">
        <v>9.0139999999999993</v>
      </c>
    </row>
    <row r="1771" spans="1:10" x14ac:dyDescent="0.25">
      <c r="A1771">
        <v>32</v>
      </c>
      <c r="B1771" s="1">
        <v>40301</v>
      </c>
      <c r="C1771">
        <v>5</v>
      </c>
      <c r="D1771">
        <v>2010</v>
      </c>
      <c r="E1771" s="2">
        <v>1066566.74</v>
      </c>
      <c r="F1771">
        <v>0</v>
      </c>
      <c r="G1771" s="3">
        <v>37.72</v>
      </c>
      <c r="H1771" s="2">
        <v>2.62</v>
      </c>
      <c r="I1771">
        <v>189.66950489999999</v>
      </c>
      <c r="J1771" s="3">
        <v>9.0139999999999993</v>
      </c>
    </row>
    <row r="1772" spans="1:10" x14ac:dyDescent="0.25">
      <c r="A1772">
        <v>32</v>
      </c>
      <c r="B1772" s="1">
        <v>40515</v>
      </c>
      <c r="C1772">
        <v>12</v>
      </c>
      <c r="D1772">
        <v>2010</v>
      </c>
      <c r="E1772" s="2">
        <v>1093319.3700000001</v>
      </c>
      <c r="F1772">
        <v>0</v>
      </c>
      <c r="G1772" s="3">
        <v>39.880000000000003</v>
      </c>
      <c r="H1772" s="2">
        <v>2.6840000000000002</v>
      </c>
      <c r="I1772">
        <v>189.73720750000001</v>
      </c>
      <c r="J1772" s="3">
        <v>9.0139999999999993</v>
      </c>
    </row>
    <row r="1773" spans="1:10" x14ac:dyDescent="0.25">
      <c r="A1773">
        <v>32</v>
      </c>
      <c r="B1773" s="1">
        <v>40213</v>
      </c>
      <c r="C1773">
        <v>2</v>
      </c>
      <c r="D1773">
        <v>2010</v>
      </c>
      <c r="E1773" s="2">
        <v>1131732.94</v>
      </c>
      <c r="F1773">
        <v>0</v>
      </c>
      <c r="G1773" s="3">
        <v>48.28</v>
      </c>
      <c r="H1773" s="2">
        <v>2.7250000000000001</v>
      </c>
      <c r="I1773">
        <v>189.70482150000001</v>
      </c>
      <c r="J1773" s="3">
        <v>8.9629999999999992</v>
      </c>
    </row>
    <row r="1774" spans="1:10" x14ac:dyDescent="0.25">
      <c r="A1774">
        <v>32</v>
      </c>
      <c r="B1774" s="1">
        <v>40425</v>
      </c>
      <c r="C1774">
        <v>9</v>
      </c>
      <c r="D1774">
        <v>2010</v>
      </c>
      <c r="E1774" s="2">
        <v>1095889.22</v>
      </c>
      <c r="F1774">
        <v>0</v>
      </c>
      <c r="G1774" s="3">
        <v>44.88</v>
      </c>
      <c r="H1774" s="2">
        <v>2.75</v>
      </c>
      <c r="I1774">
        <v>189.69010119999999</v>
      </c>
      <c r="J1774" s="3">
        <v>8.9629999999999992</v>
      </c>
    </row>
    <row r="1775" spans="1:10" x14ac:dyDescent="0.25">
      <c r="A1775">
        <v>32</v>
      </c>
      <c r="B1775" s="1">
        <v>40364</v>
      </c>
      <c r="C1775">
        <v>7</v>
      </c>
      <c r="D1775">
        <v>2010</v>
      </c>
      <c r="E1775" s="2">
        <v>1133657.58</v>
      </c>
      <c r="F1775">
        <v>0</v>
      </c>
      <c r="G1775" s="3">
        <v>48.94</v>
      </c>
      <c r="H1775" s="2">
        <v>2.7709999999999999</v>
      </c>
      <c r="I1775">
        <v>189.53124829999999</v>
      </c>
      <c r="J1775" s="3">
        <v>8.9629999999999992</v>
      </c>
    </row>
    <row r="1776" spans="1:10" x14ac:dyDescent="0.25">
      <c r="A1776">
        <v>32</v>
      </c>
      <c r="B1776" s="1">
        <v>40274</v>
      </c>
      <c r="C1776">
        <v>4</v>
      </c>
      <c r="D1776">
        <v>2010</v>
      </c>
      <c r="E1776" s="2">
        <v>1149234.96</v>
      </c>
      <c r="F1776">
        <v>0</v>
      </c>
      <c r="G1776" s="3">
        <v>66.69</v>
      </c>
      <c r="H1776" s="2">
        <v>2.7</v>
      </c>
      <c r="I1776">
        <v>189.42265800000001</v>
      </c>
      <c r="J1776" s="3">
        <v>8.9629999999999992</v>
      </c>
    </row>
    <row r="1777" spans="1:10" x14ac:dyDescent="0.25">
      <c r="A1777">
        <v>32</v>
      </c>
      <c r="B1777" s="1">
        <v>40488</v>
      </c>
      <c r="C1777">
        <v>11</v>
      </c>
      <c r="D1777">
        <v>2010</v>
      </c>
      <c r="E1777" s="2">
        <v>1192074.0900000001</v>
      </c>
      <c r="F1777">
        <v>0</v>
      </c>
      <c r="G1777" s="3">
        <v>70.86</v>
      </c>
      <c r="H1777" s="2">
        <v>2.6840000000000002</v>
      </c>
      <c r="I1777">
        <v>189.4000734</v>
      </c>
      <c r="J1777" s="3">
        <v>8.9629999999999992</v>
      </c>
    </row>
    <row r="1778" spans="1:10" x14ac:dyDescent="0.25">
      <c r="A1778">
        <v>32</v>
      </c>
      <c r="B1778" s="1">
        <v>40216</v>
      </c>
      <c r="C1778">
        <v>2</v>
      </c>
      <c r="D1778">
        <v>2010</v>
      </c>
      <c r="E1778" s="2">
        <v>1187988.6399999999</v>
      </c>
      <c r="F1778">
        <v>0</v>
      </c>
      <c r="G1778" s="3">
        <v>74.739999999999995</v>
      </c>
      <c r="H1778" s="2">
        <v>2.7280000000000002</v>
      </c>
      <c r="I1778">
        <v>189.48826030000001</v>
      </c>
      <c r="J1778" s="3">
        <v>9.0169999999999995</v>
      </c>
    </row>
    <row r="1779" spans="1:10" x14ac:dyDescent="0.25">
      <c r="A1779">
        <v>32</v>
      </c>
      <c r="B1779" s="1">
        <v>40428</v>
      </c>
      <c r="C1779">
        <v>9</v>
      </c>
      <c r="D1779">
        <v>2010</v>
      </c>
      <c r="E1779" s="2">
        <v>1077253.67</v>
      </c>
      <c r="F1779">
        <v>0</v>
      </c>
      <c r="G1779" s="3">
        <v>67.55</v>
      </c>
      <c r="H1779" s="2">
        <v>2.7109999999999999</v>
      </c>
      <c r="I1779">
        <v>189.52312760000001</v>
      </c>
      <c r="J1779" s="3">
        <v>9.0169999999999995</v>
      </c>
    </row>
    <row r="1780" spans="1:10" x14ac:dyDescent="0.25">
      <c r="A1780">
        <v>32</v>
      </c>
      <c r="B1780" s="1">
        <v>40337</v>
      </c>
      <c r="C1780">
        <v>6</v>
      </c>
      <c r="D1780">
        <v>2010</v>
      </c>
      <c r="E1780" s="2">
        <v>1144552.0900000001</v>
      </c>
      <c r="F1780">
        <v>0</v>
      </c>
      <c r="G1780" s="3">
        <v>72.95</v>
      </c>
      <c r="H1780" s="2">
        <v>2.69</v>
      </c>
      <c r="I1780">
        <v>190.09900279999999</v>
      </c>
      <c r="J1780" s="3">
        <v>9.0169999999999995</v>
      </c>
    </row>
    <row r="1781" spans="1:10" x14ac:dyDescent="0.25">
      <c r="A1781">
        <v>32</v>
      </c>
      <c r="B1781" s="1">
        <v>40246</v>
      </c>
      <c r="C1781">
        <v>3</v>
      </c>
      <c r="D1781">
        <v>2010</v>
      </c>
      <c r="E1781" s="2">
        <v>1095932.51</v>
      </c>
      <c r="F1781">
        <v>0</v>
      </c>
      <c r="G1781" s="3">
        <v>70.2</v>
      </c>
      <c r="H1781" s="2">
        <v>2.7730000000000001</v>
      </c>
      <c r="I1781">
        <v>190.3621607</v>
      </c>
      <c r="J1781" s="3">
        <v>9.0169999999999995</v>
      </c>
    </row>
    <row r="1782" spans="1:10" x14ac:dyDescent="0.25">
      <c r="A1782">
        <v>32</v>
      </c>
      <c r="B1782" s="1">
        <v>40460</v>
      </c>
      <c r="C1782">
        <v>10</v>
      </c>
      <c r="D1782">
        <v>2010</v>
      </c>
      <c r="E1782" s="2">
        <v>1028635.39</v>
      </c>
      <c r="F1782">
        <v>1</v>
      </c>
      <c r="G1782" s="3">
        <v>68.44</v>
      </c>
      <c r="H1782" s="2">
        <v>2.78</v>
      </c>
      <c r="I1782">
        <v>190.3958293</v>
      </c>
      <c r="J1782" s="3">
        <v>9.0169999999999995</v>
      </c>
    </row>
    <row r="1783" spans="1:10" x14ac:dyDescent="0.25">
      <c r="A1783">
        <v>32</v>
      </c>
      <c r="B1783" s="1">
        <v>40188</v>
      </c>
      <c r="C1783">
        <v>1</v>
      </c>
      <c r="D1783">
        <v>2010</v>
      </c>
      <c r="E1783" s="2">
        <v>1061089.56</v>
      </c>
      <c r="F1783">
        <v>0</v>
      </c>
      <c r="G1783" s="3">
        <v>66.14</v>
      </c>
      <c r="H1783" s="2">
        <v>2.7589999999999999</v>
      </c>
      <c r="I1783">
        <v>190.67382409999999</v>
      </c>
      <c r="J1783" s="3">
        <v>9.1370000000000005</v>
      </c>
    </row>
    <row r="1784" spans="1:10" x14ac:dyDescent="0.25">
      <c r="A1784">
        <v>32</v>
      </c>
      <c r="B1784" s="1">
        <v>40400</v>
      </c>
      <c r="C1784">
        <v>8</v>
      </c>
      <c r="D1784">
        <v>2010</v>
      </c>
      <c r="E1784" s="2">
        <v>1085483.44</v>
      </c>
      <c r="F1784">
        <v>0</v>
      </c>
      <c r="G1784" s="3">
        <v>61.81</v>
      </c>
      <c r="H1784" s="2">
        <v>2.7450000000000001</v>
      </c>
      <c r="I1784">
        <v>190.77632180000001</v>
      </c>
      <c r="J1784" s="3">
        <v>9.1370000000000005</v>
      </c>
    </row>
    <row r="1785" spans="1:10" x14ac:dyDescent="0.25">
      <c r="A1785">
        <v>32</v>
      </c>
      <c r="B1785" s="1">
        <v>40309</v>
      </c>
      <c r="C1785">
        <v>5</v>
      </c>
      <c r="D1785">
        <v>2010</v>
      </c>
      <c r="E1785" s="2">
        <v>1063056.21</v>
      </c>
      <c r="F1785">
        <v>0</v>
      </c>
      <c r="G1785" s="3">
        <v>49.2</v>
      </c>
      <c r="H1785" s="2">
        <v>2.7290000000000001</v>
      </c>
      <c r="I1785">
        <v>190.9964377</v>
      </c>
      <c r="J1785" s="3">
        <v>9.1370000000000005</v>
      </c>
    </row>
    <row r="1786" spans="1:10" x14ac:dyDescent="0.25">
      <c r="A1786">
        <v>32</v>
      </c>
      <c r="B1786" s="1">
        <v>40523</v>
      </c>
      <c r="C1786">
        <v>12</v>
      </c>
      <c r="D1786">
        <v>2010</v>
      </c>
      <c r="E1786" s="2">
        <v>1141019.1100000001</v>
      </c>
      <c r="F1786">
        <v>0</v>
      </c>
      <c r="G1786" s="3">
        <v>42.3</v>
      </c>
      <c r="H1786" s="2">
        <v>2.7370000000000001</v>
      </c>
      <c r="I1786">
        <v>191.0411474</v>
      </c>
      <c r="J1786" s="3">
        <v>9.1370000000000005</v>
      </c>
    </row>
    <row r="1787" spans="1:10" x14ac:dyDescent="0.25">
      <c r="A1787">
        <v>32</v>
      </c>
      <c r="B1787" s="1">
        <v>40249</v>
      </c>
      <c r="C1787">
        <v>3</v>
      </c>
      <c r="D1787">
        <v>2010</v>
      </c>
      <c r="E1787" s="2">
        <v>1200892.56</v>
      </c>
      <c r="F1787">
        <v>0</v>
      </c>
      <c r="G1787" s="3">
        <v>35.18</v>
      </c>
      <c r="H1787" s="2">
        <v>2.7120000000000002</v>
      </c>
      <c r="I1787">
        <v>190.99314369999999</v>
      </c>
      <c r="J1787" s="3">
        <v>9.1370000000000005</v>
      </c>
    </row>
    <row r="1788" spans="1:10" x14ac:dyDescent="0.25">
      <c r="A1788">
        <v>32</v>
      </c>
      <c r="B1788" s="1">
        <v>40463</v>
      </c>
      <c r="C1788">
        <v>10</v>
      </c>
      <c r="D1788">
        <v>2010</v>
      </c>
      <c r="E1788" s="2">
        <v>1377322.73</v>
      </c>
      <c r="F1788">
        <v>0</v>
      </c>
      <c r="G1788" s="3">
        <v>36.619999999999997</v>
      </c>
      <c r="H1788" s="2">
        <v>2.7280000000000002</v>
      </c>
      <c r="I1788">
        <v>190.97410690000001</v>
      </c>
      <c r="J1788" s="3">
        <v>9.1370000000000005</v>
      </c>
    </row>
    <row r="1789" spans="1:10" x14ac:dyDescent="0.25">
      <c r="A1789">
        <v>32</v>
      </c>
      <c r="B1789" s="1">
        <v>40725</v>
      </c>
      <c r="C1789">
        <v>7</v>
      </c>
      <c r="D1789">
        <v>2011</v>
      </c>
      <c r="E1789" s="2">
        <v>1046416.17</v>
      </c>
      <c r="F1789">
        <v>0</v>
      </c>
      <c r="G1789" s="3">
        <v>23.78</v>
      </c>
      <c r="H1789" s="2">
        <v>2.8820000000000001</v>
      </c>
      <c r="I1789">
        <v>191.3683815</v>
      </c>
      <c r="J1789" s="3">
        <v>8.8179999999999996</v>
      </c>
    </row>
    <row r="1790" spans="1:10" x14ac:dyDescent="0.25">
      <c r="A1790">
        <v>32</v>
      </c>
      <c r="B1790" s="1">
        <v>40635</v>
      </c>
      <c r="C1790">
        <v>4</v>
      </c>
      <c r="D1790">
        <v>2011</v>
      </c>
      <c r="E1790" s="2">
        <v>1070457.8</v>
      </c>
      <c r="F1790">
        <v>0</v>
      </c>
      <c r="G1790" s="3">
        <v>15.47</v>
      </c>
      <c r="H1790" s="2">
        <v>3.0110000000000001</v>
      </c>
      <c r="I1790">
        <v>191.76258949999999</v>
      </c>
      <c r="J1790" s="3">
        <v>8.8179999999999996</v>
      </c>
    </row>
    <row r="1791" spans="1:10" x14ac:dyDescent="0.25">
      <c r="A1791">
        <v>32</v>
      </c>
      <c r="B1791" s="1">
        <v>40849</v>
      </c>
      <c r="C1791">
        <v>11</v>
      </c>
      <c r="D1791">
        <v>2011</v>
      </c>
      <c r="E1791" s="2">
        <v>1124357.2</v>
      </c>
      <c r="F1791">
        <v>1</v>
      </c>
      <c r="G1791" s="3">
        <v>18.510000000000002</v>
      </c>
      <c r="H1791" s="2">
        <v>3.0369999999999999</v>
      </c>
      <c r="I1791">
        <v>191.85728810000001</v>
      </c>
      <c r="J1791" s="3">
        <v>8.8179999999999996</v>
      </c>
    </row>
    <row r="1792" spans="1:10" x14ac:dyDescent="0.25">
      <c r="A1792">
        <v>32</v>
      </c>
      <c r="B1792" s="1">
        <v>40636</v>
      </c>
      <c r="C1792">
        <v>4</v>
      </c>
      <c r="D1792">
        <v>2011</v>
      </c>
      <c r="E1792" s="2">
        <v>1106847.6200000001</v>
      </c>
      <c r="F1792">
        <v>0</v>
      </c>
      <c r="G1792" s="3">
        <v>39.17</v>
      </c>
      <c r="H1792" s="2">
        <v>3.2320000000000002</v>
      </c>
      <c r="I1792">
        <v>192.01160039999999</v>
      </c>
      <c r="J1792" s="3">
        <v>8.8179999999999996</v>
      </c>
    </row>
    <row r="1793" spans="1:10" x14ac:dyDescent="0.25">
      <c r="A1793">
        <v>32</v>
      </c>
      <c r="B1793" s="1">
        <v>40850</v>
      </c>
      <c r="C1793">
        <v>11</v>
      </c>
      <c r="D1793">
        <v>2011</v>
      </c>
      <c r="E1793" s="2">
        <v>1101458.21</v>
      </c>
      <c r="F1793">
        <v>0</v>
      </c>
      <c r="G1793" s="3">
        <v>36.51</v>
      </c>
      <c r="H1793" s="2">
        <v>3.3719999999999999</v>
      </c>
      <c r="I1793">
        <v>192.05848399999999</v>
      </c>
      <c r="J1793" s="3">
        <v>8.8179999999999996</v>
      </c>
    </row>
    <row r="1794" spans="1:10" x14ac:dyDescent="0.25">
      <c r="A1794">
        <v>32</v>
      </c>
      <c r="B1794" s="1">
        <v>40547</v>
      </c>
      <c r="C1794">
        <v>1</v>
      </c>
      <c r="D1794">
        <v>2011</v>
      </c>
      <c r="E1794" s="2">
        <v>1051121.02</v>
      </c>
      <c r="F1794">
        <v>0</v>
      </c>
      <c r="G1794" s="3">
        <v>44.83</v>
      </c>
      <c r="H1794" s="2">
        <v>3.4609999999999999</v>
      </c>
      <c r="I1794">
        <v>192.26917069999999</v>
      </c>
      <c r="J1794" s="3">
        <v>8.5950000000000006</v>
      </c>
    </row>
    <row r="1795" spans="1:10" x14ac:dyDescent="0.25">
      <c r="A1795">
        <v>32</v>
      </c>
      <c r="B1795" s="1">
        <v>40759</v>
      </c>
      <c r="C1795">
        <v>8</v>
      </c>
      <c r="D1795">
        <v>2011</v>
      </c>
      <c r="E1795" s="2">
        <v>1102975.5900000001</v>
      </c>
      <c r="F1795">
        <v>0</v>
      </c>
      <c r="G1795" s="3">
        <v>48.81</v>
      </c>
      <c r="H1795" s="2">
        <v>3.532</v>
      </c>
      <c r="I1795">
        <v>192.3418571</v>
      </c>
      <c r="J1795" s="3">
        <v>8.5950000000000006</v>
      </c>
    </row>
    <row r="1796" spans="1:10" x14ac:dyDescent="0.25">
      <c r="A1796">
        <v>32</v>
      </c>
      <c r="B1796" s="1">
        <v>40699</v>
      </c>
      <c r="C1796">
        <v>6</v>
      </c>
      <c r="D1796">
        <v>2011</v>
      </c>
      <c r="E1796" s="2">
        <v>1181793.55</v>
      </c>
      <c r="F1796">
        <v>0</v>
      </c>
      <c r="G1796" s="3">
        <v>46.65</v>
      </c>
      <c r="H1796" s="2">
        <v>3.7349999999999999</v>
      </c>
      <c r="I1796">
        <v>192.72520059999999</v>
      </c>
      <c r="J1796" s="3">
        <v>8.5950000000000006</v>
      </c>
    </row>
    <row r="1797" spans="1:10" x14ac:dyDescent="0.25">
      <c r="A1797">
        <v>32</v>
      </c>
      <c r="B1797" s="1">
        <v>40608</v>
      </c>
      <c r="C1797">
        <v>3</v>
      </c>
      <c r="D1797">
        <v>2011</v>
      </c>
      <c r="E1797" s="2">
        <v>1167757</v>
      </c>
      <c r="F1797">
        <v>0</v>
      </c>
      <c r="G1797" s="3">
        <v>61.25</v>
      </c>
      <c r="H1797" s="2">
        <v>3.7629999999999999</v>
      </c>
      <c r="I1797">
        <v>192.8418131</v>
      </c>
      <c r="J1797" s="3">
        <v>8.5950000000000006</v>
      </c>
    </row>
    <row r="1798" spans="1:10" x14ac:dyDescent="0.25">
      <c r="A1798">
        <v>32</v>
      </c>
      <c r="B1798" s="1">
        <v>40822</v>
      </c>
      <c r="C1798">
        <v>10</v>
      </c>
      <c r="D1798">
        <v>2011</v>
      </c>
      <c r="E1798" s="2">
        <v>1239741.3400000001</v>
      </c>
      <c r="F1798">
        <v>0</v>
      </c>
      <c r="G1798" s="3">
        <v>65.489999999999995</v>
      </c>
      <c r="H1798" s="2">
        <v>3.7349999999999999</v>
      </c>
      <c r="I1798">
        <v>192.84706120000001</v>
      </c>
      <c r="J1798" s="3">
        <v>8.5950000000000006</v>
      </c>
    </row>
    <row r="1799" spans="1:10" x14ac:dyDescent="0.25">
      <c r="A1799">
        <v>32</v>
      </c>
      <c r="B1799" s="1">
        <v>40550</v>
      </c>
      <c r="C1799">
        <v>1</v>
      </c>
      <c r="D1799">
        <v>2011</v>
      </c>
      <c r="E1799" s="2">
        <v>1199845.29</v>
      </c>
      <c r="F1799">
        <v>0</v>
      </c>
      <c r="G1799" s="3">
        <v>72.86</v>
      </c>
      <c r="H1799" s="2">
        <v>3.597</v>
      </c>
      <c r="I1799">
        <v>193.09305520000001</v>
      </c>
      <c r="J1799" s="3">
        <v>8.6219999999999999</v>
      </c>
    </row>
    <row r="1800" spans="1:10" x14ac:dyDescent="0.25">
      <c r="A1800">
        <v>32</v>
      </c>
      <c r="B1800" s="1">
        <v>40762</v>
      </c>
      <c r="C1800">
        <v>8</v>
      </c>
      <c r="D1800">
        <v>2011</v>
      </c>
      <c r="E1800" s="2">
        <v>1110244.52</v>
      </c>
      <c r="F1800">
        <v>0</v>
      </c>
      <c r="G1800" s="3">
        <v>72.56</v>
      </c>
      <c r="H1800" s="2">
        <v>3.54</v>
      </c>
      <c r="I1800">
        <v>193.18784479999999</v>
      </c>
      <c r="J1800" s="3">
        <v>8.6219999999999999</v>
      </c>
    </row>
    <row r="1801" spans="1:10" x14ac:dyDescent="0.25">
      <c r="A1801">
        <v>32</v>
      </c>
      <c r="B1801" s="1">
        <v>40671</v>
      </c>
      <c r="C1801">
        <v>5</v>
      </c>
      <c r="D1801">
        <v>2011</v>
      </c>
      <c r="E1801" s="2">
        <v>1201694.1399999999</v>
      </c>
      <c r="F1801">
        <v>0</v>
      </c>
      <c r="G1801" s="3">
        <v>74.83</v>
      </c>
      <c r="H1801" s="2">
        <v>3.5539999999999998</v>
      </c>
      <c r="I1801">
        <v>193.91101330000001</v>
      </c>
      <c r="J1801" s="3">
        <v>8.6219999999999999</v>
      </c>
    </row>
    <row r="1802" spans="1:10" x14ac:dyDescent="0.25">
      <c r="A1802">
        <v>32</v>
      </c>
      <c r="B1802" s="1">
        <v>40885</v>
      </c>
      <c r="C1802">
        <v>12</v>
      </c>
      <c r="D1802">
        <v>2011</v>
      </c>
      <c r="E1802" s="2">
        <v>1206795.74</v>
      </c>
      <c r="F1802">
        <v>0</v>
      </c>
      <c r="G1802" s="3">
        <v>74.2</v>
      </c>
      <c r="H1802" s="2">
        <v>3.5419999999999998</v>
      </c>
      <c r="I1802">
        <v>194.11050169999999</v>
      </c>
      <c r="J1802" s="3">
        <v>8.6219999999999999</v>
      </c>
    </row>
    <row r="1803" spans="1:10" x14ac:dyDescent="0.25">
      <c r="A1803">
        <v>32</v>
      </c>
      <c r="B1803" s="1">
        <v>40583</v>
      </c>
      <c r="C1803">
        <v>2</v>
      </c>
      <c r="D1803">
        <v>2011</v>
      </c>
      <c r="E1803" s="2">
        <v>1152117.5</v>
      </c>
      <c r="F1803">
        <v>0</v>
      </c>
      <c r="G1803" s="3">
        <v>74.599999999999994</v>
      </c>
      <c r="H1803" s="2">
        <v>3.5110000000000001</v>
      </c>
      <c r="I1803">
        <v>194.5092113</v>
      </c>
      <c r="J1803" s="3">
        <v>8.6219999999999999</v>
      </c>
    </row>
    <row r="1804" spans="1:10" x14ac:dyDescent="0.25">
      <c r="A1804">
        <v>32</v>
      </c>
      <c r="B1804" s="1">
        <v>40795</v>
      </c>
      <c r="C1804">
        <v>9</v>
      </c>
      <c r="D1804">
        <v>2011</v>
      </c>
      <c r="E1804" s="2">
        <v>1128237.3</v>
      </c>
      <c r="F1804">
        <v>1</v>
      </c>
      <c r="G1804" s="3">
        <v>61.24</v>
      </c>
      <c r="H1804" s="2">
        <v>3.5659999999999998</v>
      </c>
      <c r="I1804">
        <v>194.6387853</v>
      </c>
      <c r="J1804" s="3">
        <v>8.6219999999999999</v>
      </c>
    </row>
    <row r="1805" spans="1:10" x14ac:dyDescent="0.25">
      <c r="A1805">
        <v>32</v>
      </c>
      <c r="B1805" s="1">
        <v>40734</v>
      </c>
      <c r="C1805">
        <v>7</v>
      </c>
      <c r="D1805">
        <v>2011</v>
      </c>
      <c r="E1805" s="2">
        <v>1149448.02</v>
      </c>
      <c r="F1805">
        <v>0</v>
      </c>
      <c r="G1805" s="3">
        <v>62.62</v>
      </c>
      <c r="H1805" s="2">
        <v>3.4980000000000002</v>
      </c>
      <c r="I1805">
        <v>194.94597239999999</v>
      </c>
      <c r="J1805" s="3">
        <v>8.5129999999999999</v>
      </c>
    </row>
    <row r="1806" spans="1:10" x14ac:dyDescent="0.25">
      <c r="A1806">
        <v>32</v>
      </c>
      <c r="B1806" s="1">
        <v>40644</v>
      </c>
      <c r="C1806">
        <v>4</v>
      </c>
      <c r="D1806">
        <v>2011</v>
      </c>
      <c r="E1806" s="2">
        <v>1204628.28</v>
      </c>
      <c r="F1806">
        <v>0</v>
      </c>
      <c r="G1806" s="3">
        <v>37.950000000000003</v>
      </c>
      <c r="H1806" s="2">
        <v>3.5270000000000001</v>
      </c>
      <c r="I1806">
        <v>195.48479589999999</v>
      </c>
      <c r="J1806" s="3">
        <v>8.5129999999999999</v>
      </c>
    </row>
    <row r="1807" spans="1:10" x14ac:dyDescent="0.25">
      <c r="A1807">
        <v>32</v>
      </c>
      <c r="B1807" s="1">
        <v>40858</v>
      </c>
      <c r="C1807">
        <v>11</v>
      </c>
      <c r="D1807">
        <v>2011</v>
      </c>
      <c r="E1807" s="2">
        <v>1182733</v>
      </c>
      <c r="F1807">
        <v>0</v>
      </c>
      <c r="G1807" s="3">
        <v>38.1</v>
      </c>
      <c r="H1807" s="2">
        <v>3.5049999999999999</v>
      </c>
      <c r="I1807">
        <v>195.6376941</v>
      </c>
      <c r="J1807" s="3">
        <v>8.5129999999999999</v>
      </c>
    </row>
    <row r="1808" spans="1:10" x14ac:dyDescent="0.25">
      <c r="A1808">
        <v>32</v>
      </c>
      <c r="B1808" s="1">
        <v>40586</v>
      </c>
      <c r="C1808">
        <v>2</v>
      </c>
      <c r="D1808">
        <v>2011</v>
      </c>
      <c r="E1808" s="2">
        <v>1179773.8799999999</v>
      </c>
      <c r="F1808">
        <v>0</v>
      </c>
      <c r="G1808" s="3">
        <v>33.799999999999997</v>
      </c>
      <c r="H1808" s="2">
        <v>3.3780000000000001</v>
      </c>
      <c r="I1808">
        <v>195.82232870000001</v>
      </c>
      <c r="J1808" s="3">
        <v>8.5129999999999999</v>
      </c>
    </row>
    <row r="1809" spans="1:10" x14ac:dyDescent="0.25">
      <c r="A1809">
        <v>32</v>
      </c>
      <c r="B1809" s="1">
        <v>40798</v>
      </c>
      <c r="C1809">
        <v>9</v>
      </c>
      <c r="D1809">
        <v>2011</v>
      </c>
      <c r="E1809" s="2">
        <v>1415746.91</v>
      </c>
      <c r="F1809">
        <v>0</v>
      </c>
      <c r="G1809" s="3">
        <v>17.940000000000001</v>
      </c>
      <c r="H1809" s="2">
        <v>3.331</v>
      </c>
      <c r="I1809">
        <v>195.8742575</v>
      </c>
      <c r="J1809" s="3">
        <v>8.5129999999999999</v>
      </c>
    </row>
    <row r="1810" spans="1:10" x14ac:dyDescent="0.25">
      <c r="A1810">
        <v>32</v>
      </c>
      <c r="B1810" s="1">
        <v>41061</v>
      </c>
      <c r="C1810">
        <v>6</v>
      </c>
      <c r="D1810">
        <v>2012</v>
      </c>
      <c r="E1810" s="2">
        <v>1099937.25</v>
      </c>
      <c r="F1810">
        <v>0</v>
      </c>
      <c r="G1810" s="3">
        <v>36.75</v>
      </c>
      <c r="H1810" s="2">
        <v>3.0950000000000002</v>
      </c>
      <c r="I1810">
        <v>196.5458309</v>
      </c>
      <c r="J1810" s="3">
        <v>8.2560000000000002</v>
      </c>
    </row>
    <row r="1811" spans="1:10" x14ac:dyDescent="0.25">
      <c r="A1811">
        <v>32</v>
      </c>
      <c r="B1811" s="1">
        <v>40970</v>
      </c>
      <c r="C1811">
        <v>3</v>
      </c>
      <c r="D1811">
        <v>2012</v>
      </c>
      <c r="E1811" s="2">
        <v>1156826.31</v>
      </c>
      <c r="F1811">
        <v>0</v>
      </c>
      <c r="G1811" s="3">
        <v>35.89</v>
      </c>
      <c r="H1811" s="2">
        <v>3.0310000000000001</v>
      </c>
      <c r="I1811">
        <v>196.8728921</v>
      </c>
      <c r="J1811" s="3">
        <v>8.2560000000000002</v>
      </c>
    </row>
    <row r="1812" spans="1:10" x14ac:dyDescent="0.25">
      <c r="A1812">
        <v>32</v>
      </c>
      <c r="B1812" s="1">
        <v>41184</v>
      </c>
      <c r="C1812">
        <v>10</v>
      </c>
      <c r="D1812">
        <v>2012</v>
      </c>
      <c r="E1812" s="2">
        <v>1129422.8600000001</v>
      </c>
      <c r="F1812">
        <v>1</v>
      </c>
      <c r="G1812" s="3">
        <v>23.34</v>
      </c>
      <c r="H1812" s="2">
        <v>3.1030000000000002</v>
      </c>
      <c r="I1812">
        <v>196.91950560000001</v>
      </c>
      <c r="J1812" s="3">
        <v>8.2560000000000002</v>
      </c>
    </row>
    <row r="1813" spans="1:10" x14ac:dyDescent="0.25">
      <c r="A1813">
        <v>32</v>
      </c>
      <c r="B1813" s="1">
        <v>40942</v>
      </c>
      <c r="C1813">
        <v>2</v>
      </c>
      <c r="D1813">
        <v>2012</v>
      </c>
      <c r="E1813" s="2">
        <v>1153332.8899999999</v>
      </c>
      <c r="F1813">
        <v>0</v>
      </c>
      <c r="G1813" s="3">
        <v>33.4</v>
      </c>
      <c r="H1813" s="2">
        <v>3.1909999999999998</v>
      </c>
      <c r="I1813">
        <v>196.9565303</v>
      </c>
      <c r="J1813" s="3">
        <v>8.2560000000000002</v>
      </c>
    </row>
    <row r="1814" spans="1:10" x14ac:dyDescent="0.25">
      <c r="A1814">
        <v>32</v>
      </c>
      <c r="B1814" s="1">
        <v>41155</v>
      </c>
      <c r="C1814">
        <v>9</v>
      </c>
      <c r="D1814">
        <v>2012</v>
      </c>
      <c r="E1814" s="2">
        <v>1124537.97</v>
      </c>
      <c r="F1814">
        <v>0</v>
      </c>
      <c r="G1814" s="3">
        <v>39.9</v>
      </c>
      <c r="H1814" s="2">
        <v>3.286</v>
      </c>
      <c r="I1814">
        <v>196.96315989999999</v>
      </c>
      <c r="J1814" s="3">
        <v>8.2560000000000002</v>
      </c>
    </row>
    <row r="1815" spans="1:10" x14ac:dyDescent="0.25">
      <c r="A1815">
        <v>32</v>
      </c>
      <c r="B1815" s="1">
        <v>41064</v>
      </c>
      <c r="C1815">
        <v>6</v>
      </c>
      <c r="D1815">
        <v>2012</v>
      </c>
      <c r="E1815" s="2">
        <v>1270577.01</v>
      </c>
      <c r="F1815">
        <v>0</v>
      </c>
      <c r="G1815" s="3">
        <v>51.49</v>
      </c>
      <c r="H1815" s="2">
        <v>3.8540000000000001</v>
      </c>
      <c r="I1815">
        <v>197.5971285</v>
      </c>
      <c r="J1815" s="3">
        <v>8.09</v>
      </c>
    </row>
    <row r="1816" spans="1:10" x14ac:dyDescent="0.25">
      <c r="A1816">
        <v>32</v>
      </c>
      <c r="B1816" s="1">
        <v>41004</v>
      </c>
      <c r="C1816">
        <v>4</v>
      </c>
      <c r="D1816">
        <v>2012</v>
      </c>
      <c r="E1816" s="2">
        <v>1187384.53</v>
      </c>
      <c r="F1816">
        <v>0</v>
      </c>
      <c r="G1816" s="3">
        <v>58.29</v>
      </c>
      <c r="H1816" s="2">
        <v>3.903</v>
      </c>
      <c r="I1816">
        <v>197.60635339999999</v>
      </c>
      <c r="J1816" s="3">
        <v>8.09</v>
      </c>
    </row>
    <row r="1817" spans="1:10" x14ac:dyDescent="0.25">
      <c r="A1817">
        <v>32</v>
      </c>
      <c r="B1817" s="1">
        <v>41218</v>
      </c>
      <c r="C1817">
        <v>11</v>
      </c>
      <c r="D1817">
        <v>2012</v>
      </c>
      <c r="E1817" s="2">
        <v>1187051.07</v>
      </c>
      <c r="F1817">
        <v>0</v>
      </c>
      <c r="G1817" s="3">
        <v>55.4</v>
      </c>
      <c r="H1817" s="2">
        <v>3.87</v>
      </c>
      <c r="I1817">
        <v>197.5481609</v>
      </c>
      <c r="J1817" s="3">
        <v>8.09</v>
      </c>
    </row>
    <row r="1818" spans="1:10" x14ac:dyDescent="0.25">
      <c r="A1818">
        <v>32</v>
      </c>
      <c r="B1818" s="1">
        <v>40914</v>
      </c>
      <c r="C1818">
        <v>1</v>
      </c>
      <c r="D1818">
        <v>2012</v>
      </c>
      <c r="E1818" s="2">
        <v>1157557.79</v>
      </c>
      <c r="F1818">
        <v>0</v>
      </c>
      <c r="G1818" s="3">
        <v>62.84</v>
      </c>
      <c r="H1818" s="2">
        <v>3.7639999999999998</v>
      </c>
      <c r="I1818">
        <v>197.6218954</v>
      </c>
      <c r="J1818" s="3">
        <v>8.09</v>
      </c>
    </row>
    <row r="1819" spans="1:10" x14ac:dyDescent="0.25">
      <c r="A1819">
        <v>32</v>
      </c>
      <c r="B1819" s="1">
        <v>41127</v>
      </c>
      <c r="C1819">
        <v>8</v>
      </c>
      <c r="D1819">
        <v>2012</v>
      </c>
      <c r="E1819" s="2">
        <v>1246322.44</v>
      </c>
      <c r="F1819">
        <v>0</v>
      </c>
      <c r="G1819" s="3">
        <v>71.14</v>
      </c>
      <c r="H1819" s="2">
        <v>3.7410000000000001</v>
      </c>
      <c r="I1819">
        <v>197.6551863</v>
      </c>
      <c r="J1819" s="3">
        <v>8.09</v>
      </c>
    </row>
    <row r="1820" spans="1:10" x14ac:dyDescent="0.25">
      <c r="A1820">
        <v>32</v>
      </c>
      <c r="B1820" s="1">
        <v>41067</v>
      </c>
      <c r="C1820">
        <v>6</v>
      </c>
      <c r="D1820">
        <v>2012</v>
      </c>
      <c r="E1820" s="2">
        <v>1214183.97</v>
      </c>
      <c r="F1820">
        <v>0</v>
      </c>
      <c r="G1820" s="3">
        <v>78.680000000000007</v>
      </c>
      <c r="H1820" s="2">
        <v>3.6459999999999999</v>
      </c>
      <c r="I1820">
        <v>197.83221950000001</v>
      </c>
      <c r="J1820" s="3">
        <v>7.8719999999999999</v>
      </c>
    </row>
    <row r="1821" spans="1:10" x14ac:dyDescent="0.25">
      <c r="A1821">
        <v>32</v>
      </c>
      <c r="B1821" s="1">
        <v>40976</v>
      </c>
      <c r="C1821">
        <v>3</v>
      </c>
      <c r="D1821">
        <v>2012</v>
      </c>
      <c r="E1821" s="2">
        <v>1183571.3500000001</v>
      </c>
      <c r="F1821">
        <v>0</v>
      </c>
      <c r="G1821" s="3">
        <v>75.09</v>
      </c>
      <c r="H1821" s="2">
        <v>3.528</v>
      </c>
      <c r="I1821">
        <v>198.02938929999999</v>
      </c>
      <c r="J1821" s="3">
        <v>7.8719999999999999</v>
      </c>
    </row>
    <row r="1822" spans="1:10" x14ac:dyDescent="0.25">
      <c r="A1822">
        <v>32</v>
      </c>
      <c r="B1822" s="1">
        <v>41190</v>
      </c>
      <c r="C1822">
        <v>10</v>
      </c>
      <c r="D1822">
        <v>2012</v>
      </c>
      <c r="E1822" s="2">
        <v>1227469.2</v>
      </c>
      <c r="F1822">
        <v>0</v>
      </c>
      <c r="G1822" s="3">
        <v>75.930000000000007</v>
      </c>
      <c r="H1822" s="2">
        <v>3.5089999999999999</v>
      </c>
      <c r="I1822">
        <v>198.0795651</v>
      </c>
      <c r="J1822" s="3">
        <v>7.8719999999999999</v>
      </c>
    </row>
    <row r="1823" spans="1:10" x14ac:dyDescent="0.25">
      <c r="A1823">
        <v>32</v>
      </c>
      <c r="B1823" s="1">
        <v>41099</v>
      </c>
      <c r="C1823">
        <v>7</v>
      </c>
      <c r="D1823">
        <v>2012</v>
      </c>
      <c r="E1823" s="2">
        <v>1126685.95</v>
      </c>
      <c r="F1823">
        <v>1</v>
      </c>
      <c r="G1823" s="3">
        <v>72.56</v>
      </c>
      <c r="H1823" s="2">
        <v>3.5960000000000001</v>
      </c>
      <c r="I1823">
        <v>198.0950484</v>
      </c>
      <c r="J1823" s="3">
        <v>7.8719999999999999</v>
      </c>
    </row>
    <row r="1824" spans="1:10" x14ac:dyDescent="0.25">
      <c r="A1824">
        <v>32</v>
      </c>
      <c r="B1824" s="1">
        <v>41039</v>
      </c>
      <c r="C1824">
        <v>5</v>
      </c>
      <c r="D1824">
        <v>2012</v>
      </c>
      <c r="E1824" s="2">
        <v>1202775.24</v>
      </c>
      <c r="F1824">
        <v>0</v>
      </c>
      <c r="G1824" s="3">
        <v>55.34</v>
      </c>
      <c r="H1824" s="2">
        <v>3.7789999999999999</v>
      </c>
      <c r="I1824">
        <v>198.8221322</v>
      </c>
      <c r="J1824" s="3">
        <v>7.5570000000000004</v>
      </c>
    </row>
    <row r="1825" spans="1:10" x14ac:dyDescent="0.25">
      <c r="A1825">
        <v>32</v>
      </c>
      <c r="B1825" s="1">
        <v>41253</v>
      </c>
      <c r="C1825">
        <v>12</v>
      </c>
      <c r="D1825">
        <v>2012</v>
      </c>
      <c r="E1825" s="2">
        <v>1176681.31</v>
      </c>
      <c r="F1825">
        <v>0</v>
      </c>
      <c r="G1825" s="3">
        <v>43.49</v>
      </c>
      <c r="H1825" s="2">
        <v>3.76</v>
      </c>
      <c r="I1825">
        <v>199.0539368</v>
      </c>
      <c r="J1825" s="3">
        <v>7.5570000000000004</v>
      </c>
    </row>
    <row r="1826" spans="1:10" x14ac:dyDescent="0.25">
      <c r="A1826">
        <v>33</v>
      </c>
      <c r="B1826" s="1">
        <v>40300</v>
      </c>
      <c r="C1826">
        <v>5</v>
      </c>
      <c r="D1826">
        <v>2010</v>
      </c>
      <c r="E1826" s="2">
        <v>274593.43</v>
      </c>
      <c r="F1826">
        <v>0</v>
      </c>
      <c r="G1826" s="3">
        <v>58.4</v>
      </c>
      <c r="H1826" s="2">
        <v>2.9620000000000002</v>
      </c>
      <c r="I1826">
        <v>126.4420645</v>
      </c>
      <c r="J1826" s="3">
        <v>10.115</v>
      </c>
    </row>
    <row r="1827" spans="1:10" x14ac:dyDescent="0.25">
      <c r="A1827">
        <v>33</v>
      </c>
      <c r="B1827" s="1">
        <v>40514</v>
      </c>
      <c r="C1827">
        <v>12</v>
      </c>
      <c r="D1827">
        <v>2010</v>
      </c>
      <c r="E1827" s="2">
        <v>294882.83</v>
      </c>
      <c r="F1827">
        <v>1</v>
      </c>
      <c r="G1827" s="3">
        <v>55.47</v>
      </c>
      <c r="H1827" s="2">
        <v>2.8279999999999998</v>
      </c>
      <c r="I1827">
        <v>126.49625810000001</v>
      </c>
      <c r="J1827" s="3">
        <v>10.115</v>
      </c>
    </row>
    <row r="1828" spans="1:10" x14ac:dyDescent="0.25">
      <c r="A1828">
        <v>33</v>
      </c>
      <c r="B1828" s="1">
        <v>40301</v>
      </c>
      <c r="C1828">
        <v>5</v>
      </c>
      <c r="D1828">
        <v>2010</v>
      </c>
      <c r="E1828" s="2">
        <v>291484.89</v>
      </c>
      <c r="F1828">
        <v>0</v>
      </c>
      <c r="G1828" s="3">
        <v>59.17</v>
      </c>
      <c r="H1828" s="2">
        <v>2.8769999999999998</v>
      </c>
      <c r="I1828">
        <v>126.5782857</v>
      </c>
      <c r="J1828" s="3">
        <v>10.115</v>
      </c>
    </row>
    <row r="1829" spans="1:10" x14ac:dyDescent="0.25">
      <c r="A1829">
        <v>33</v>
      </c>
      <c r="B1829" s="1">
        <v>40515</v>
      </c>
      <c r="C1829">
        <v>12</v>
      </c>
      <c r="D1829">
        <v>2010</v>
      </c>
      <c r="E1829" s="2">
        <v>312161</v>
      </c>
      <c r="F1829">
        <v>0</v>
      </c>
      <c r="G1829" s="3">
        <v>55.61</v>
      </c>
      <c r="H1829" s="2">
        <v>3.0339999999999998</v>
      </c>
      <c r="I1829">
        <v>126.60428570000001</v>
      </c>
      <c r="J1829" s="3">
        <v>10.115</v>
      </c>
    </row>
    <row r="1830" spans="1:10" x14ac:dyDescent="0.25">
      <c r="A1830">
        <v>33</v>
      </c>
      <c r="B1830" s="1">
        <v>40213</v>
      </c>
      <c r="C1830">
        <v>2</v>
      </c>
      <c r="D1830">
        <v>2010</v>
      </c>
      <c r="E1830" s="2">
        <v>274634.52</v>
      </c>
      <c r="F1830">
        <v>0</v>
      </c>
      <c r="G1830" s="3">
        <v>66.790000000000006</v>
      </c>
      <c r="H1830" s="2">
        <v>3.0859999999999999</v>
      </c>
      <c r="I1830">
        <v>126.6034839</v>
      </c>
      <c r="J1830" s="3">
        <v>9.8490000000000002</v>
      </c>
    </row>
    <row r="1831" spans="1:10" x14ac:dyDescent="0.25">
      <c r="A1831">
        <v>33</v>
      </c>
      <c r="B1831" s="1">
        <v>40425</v>
      </c>
      <c r="C1831">
        <v>9</v>
      </c>
      <c r="D1831">
        <v>2010</v>
      </c>
      <c r="E1831" s="2">
        <v>325201.05</v>
      </c>
      <c r="F1831">
        <v>0</v>
      </c>
      <c r="G1831" s="3">
        <v>68.430000000000007</v>
      </c>
      <c r="H1831" s="2">
        <v>3.004</v>
      </c>
      <c r="I1831">
        <v>126.6019032</v>
      </c>
      <c r="J1831" s="3">
        <v>9.8490000000000002</v>
      </c>
    </row>
    <row r="1832" spans="1:10" x14ac:dyDescent="0.25">
      <c r="A1832">
        <v>33</v>
      </c>
      <c r="B1832" s="1">
        <v>40364</v>
      </c>
      <c r="C1832">
        <v>7</v>
      </c>
      <c r="D1832">
        <v>2010</v>
      </c>
      <c r="E1832" s="2">
        <v>326870.13</v>
      </c>
      <c r="F1832">
        <v>0</v>
      </c>
      <c r="G1832" s="3">
        <v>75.400000000000006</v>
      </c>
      <c r="H1832" s="2">
        <v>3.1269999999999998</v>
      </c>
      <c r="I1832">
        <v>126.2898</v>
      </c>
      <c r="J1832" s="3">
        <v>9.8490000000000002</v>
      </c>
    </row>
    <row r="1833" spans="1:10" x14ac:dyDescent="0.25">
      <c r="A1833">
        <v>33</v>
      </c>
      <c r="B1833" s="1">
        <v>40274</v>
      </c>
      <c r="C1833">
        <v>4</v>
      </c>
      <c r="D1833">
        <v>2010</v>
      </c>
      <c r="E1833" s="2">
        <v>285100</v>
      </c>
      <c r="F1833">
        <v>0</v>
      </c>
      <c r="G1833" s="3">
        <v>86.06</v>
      </c>
      <c r="H1833" s="2">
        <v>2.9409999999999998</v>
      </c>
      <c r="I1833">
        <v>126.1360645</v>
      </c>
      <c r="J1833" s="3">
        <v>9.8490000000000002</v>
      </c>
    </row>
    <row r="1834" spans="1:10" x14ac:dyDescent="0.25">
      <c r="A1834">
        <v>33</v>
      </c>
      <c r="B1834" s="1">
        <v>40488</v>
      </c>
      <c r="C1834">
        <v>11</v>
      </c>
      <c r="D1834">
        <v>2010</v>
      </c>
      <c r="E1834" s="2">
        <v>310800.78999999998</v>
      </c>
      <c r="F1834">
        <v>0</v>
      </c>
      <c r="G1834" s="3">
        <v>93.52</v>
      </c>
      <c r="H1834" s="2">
        <v>3.0569999999999999</v>
      </c>
      <c r="I1834">
        <v>126.1119032</v>
      </c>
      <c r="J1834" s="3">
        <v>9.8490000000000002</v>
      </c>
    </row>
    <row r="1835" spans="1:10" x14ac:dyDescent="0.25">
      <c r="A1835">
        <v>33</v>
      </c>
      <c r="B1835" s="1">
        <v>40216</v>
      </c>
      <c r="C1835">
        <v>2</v>
      </c>
      <c r="D1835">
        <v>2010</v>
      </c>
      <c r="E1835" s="2">
        <v>267495.76</v>
      </c>
      <c r="F1835">
        <v>0</v>
      </c>
      <c r="G1835" s="3">
        <v>97.66</v>
      </c>
      <c r="H1835" s="2">
        <v>2.9780000000000002</v>
      </c>
      <c r="I1835">
        <v>126.1392</v>
      </c>
      <c r="J1835" s="3">
        <v>9.4949999999999992</v>
      </c>
    </row>
    <row r="1836" spans="1:10" x14ac:dyDescent="0.25">
      <c r="A1836">
        <v>33</v>
      </c>
      <c r="B1836" s="1">
        <v>40428</v>
      </c>
      <c r="C1836">
        <v>9</v>
      </c>
      <c r="D1836">
        <v>2010</v>
      </c>
      <c r="E1836" s="2">
        <v>302423.93</v>
      </c>
      <c r="F1836">
        <v>0</v>
      </c>
      <c r="G1836" s="3">
        <v>95.88</v>
      </c>
      <c r="H1836" s="2">
        <v>3.1</v>
      </c>
      <c r="I1836">
        <v>126.15179999999999</v>
      </c>
      <c r="J1836" s="3">
        <v>9.4949999999999992</v>
      </c>
    </row>
    <row r="1837" spans="1:10" x14ac:dyDescent="0.25">
      <c r="A1837">
        <v>33</v>
      </c>
      <c r="B1837" s="1">
        <v>40337</v>
      </c>
      <c r="C1837">
        <v>6</v>
      </c>
      <c r="D1837">
        <v>2010</v>
      </c>
      <c r="E1837" s="2">
        <v>262789.95</v>
      </c>
      <c r="F1837">
        <v>0</v>
      </c>
      <c r="G1837" s="3">
        <v>92.51</v>
      </c>
      <c r="H1837" s="2">
        <v>3.1230000000000002</v>
      </c>
      <c r="I1837">
        <v>126.0854516</v>
      </c>
      <c r="J1837" s="3">
        <v>9.4949999999999992</v>
      </c>
    </row>
    <row r="1838" spans="1:10" x14ac:dyDescent="0.25">
      <c r="A1838">
        <v>33</v>
      </c>
      <c r="B1838" s="1">
        <v>40246</v>
      </c>
      <c r="C1838">
        <v>3</v>
      </c>
      <c r="D1838">
        <v>2010</v>
      </c>
      <c r="E1838" s="2">
        <v>237405.82</v>
      </c>
      <c r="F1838">
        <v>0</v>
      </c>
      <c r="G1838" s="3">
        <v>90.82</v>
      </c>
      <c r="H1838" s="2">
        <v>3.0870000000000002</v>
      </c>
      <c r="I1838">
        <v>126.1019355</v>
      </c>
      <c r="J1838" s="3">
        <v>9.4949999999999992</v>
      </c>
    </row>
    <row r="1839" spans="1:10" x14ac:dyDescent="0.25">
      <c r="A1839">
        <v>33</v>
      </c>
      <c r="B1839" s="1">
        <v>40460</v>
      </c>
      <c r="C1839">
        <v>10</v>
      </c>
      <c r="D1839">
        <v>2010</v>
      </c>
      <c r="E1839" s="2">
        <v>272834.88</v>
      </c>
      <c r="F1839">
        <v>1</v>
      </c>
      <c r="G1839" s="3">
        <v>91.77</v>
      </c>
      <c r="H1839" s="2">
        <v>2.9609999999999999</v>
      </c>
      <c r="I1839">
        <v>126.1145806</v>
      </c>
      <c r="J1839" s="3">
        <v>9.4949999999999992</v>
      </c>
    </row>
    <row r="1840" spans="1:10" x14ac:dyDescent="0.25">
      <c r="A1840">
        <v>33</v>
      </c>
      <c r="B1840" s="1">
        <v>40188</v>
      </c>
      <c r="C1840">
        <v>1</v>
      </c>
      <c r="D1840">
        <v>2010</v>
      </c>
      <c r="E1840" s="2">
        <v>224294.39</v>
      </c>
      <c r="F1840">
        <v>0</v>
      </c>
      <c r="G1840" s="3">
        <v>91.45</v>
      </c>
      <c r="H1840" s="2">
        <v>3.0009999999999999</v>
      </c>
      <c r="I1840">
        <v>126.2346</v>
      </c>
      <c r="J1840" s="3">
        <v>9.2650000000000006</v>
      </c>
    </row>
    <row r="1841" spans="1:10" x14ac:dyDescent="0.25">
      <c r="A1841">
        <v>33</v>
      </c>
      <c r="B1841" s="1">
        <v>40400</v>
      </c>
      <c r="C1841">
        <v>8</v>
      </c>
      <c r="D1841">
        <v>2010</v>
      </c>
      <c r="E1841" s="2">
        <v>266484.19</v>
      </c>
      <c r="F1841">
        <v>0</v>
      </c>
      <c r="G1841" s="3">
        <v>79.02</v>
      </c>
      <c r="H1841" s="2">
        <v>2.9239999999999999</v>
      </c>
      <c r="I1841">
        <v>126.2791667</v>
      </c>
      <c r="J1841" s="3">
        <v>9.2650000000000006</v>
      </c>
    </row>
    <row r="1842" spans="1:10" x14ac:dyDescent="0.25">
      <c r="A1842">
        <v>33</v>
      </c>
      <c r="B1842" s="1">
        <v>40309</v>
      </c>
      <c r="C1842">
        <v>5</v>
      </c>
      <c r="D1842">
        <v>2010</v>
      </c>
      <c r="E1842" s="2">
        <v>246124.61</v>
      </c>
      <c r="F1842">
        <v>0</v>
      </c>
      <c r="G1842" s="3">
        <v>74.23</v>
      </c>
      <c r="H1842" s="2">
        <v>3.0089999999999999</v>
      </c>
      <c r="I1842">
        <v>126.4912903</v>
      </c>
      <c r="J1842" s="3">
        <v>9.2650000000000006</v>
      </c>
    </row>
    <row r="1843" spans="1:10" x14ac:dyDescent="0.25">
      <c r="A1843">
        <v>33</v>
      </c>
      <c r="B1843" s="1">
        <v>40523</v>
      </c>
      <c r="C1843">
        <v>12</v>
      </c>
      <c r="D1843">
        <v>2010</v>
      </c>
      <c r="E1843" s="2">
        <v>272803.94</v>
      </c>
      <c r="F1843">
        <v>0</v>
      </c>
      <c r="G1843" s="3">
        <v>65.209999999999994</v>
      </c>
      <c r="H1843" s="2">
        <v>3.13</v>
      </c>
      <c r="I1843">
        <v>126.54616129999999</v>
      </c>
      <c r="J1843" s="3">
        <v>9.2650000000000006</v>
      </c>
    </row>
    <row r="1844" spans="1:10" x14ac:dyDescent="0.25">
      <c r="A1844">
        <v>33</v>
      </c>
      <c r="B1844" s="1">
        <v>40249</v>
      </c>
      <c r="C1844">
        <v>3</v>
      </c>
      <c r="D1844">
        <v>2010</v>
      </c>
      <c r="E1844" s="2">
        <v>209986.25</v>
      </c>
      <c r="F1844">
        <v>0</v>
      </c>
      <c r="G1844" s="3">
        <v>52.82</v>
      </c>
      <c r="H1844" s="2">
        <v>3.0409999999999999</v>
      </c>
      <c r="I1844">
        <v>126.7313333</v>
      </c>
      <c r="J1844" s="3">
        <v>9.2650000000000006</v>
      </c>
    </row>
    <row r="1845" spans="1:10" x14ac:dyDescent="0.25">
      <c r="A1845">
        <v>33</v>
      </c>
      <c r="B1845" s="1">
        <v>40463</v>
      </c>
      <c r="C1845">
        <v>10</v>
      </c>
      <c r="D1845">
        <v>2010</v>
      </c>
      <c r="E1845" s="2">
        <v>253050.1</v>
      </c>
      <c r="F1845">
        <v>0</v>
      </c>
      <c r="G1845" s="3">
        <v>60.72</v>
      </c>
      <c r="H1845" s="2">
        <v>3.0910000000000002</v>
      </c>
      <c r="I1845">
        <v>126.79340000000001</v>
      </c>
      <c r="J1845" s="3">
        <v>9.2650000000000006</v>
      </c>
    </row>
    <row r="1846" spans="1:10" x14ac:dyDescent="0.25">
      <c r="A1846">
        <v>33</v>
      </c>
      <c r="B1846" s="1">
        <v>40725</v>
      </c>
      <c r="C1846">
        <v>7</v>
      </c>
      <c r="D1846">
        <v>2011</v>
      </c>
      <c r="E1846" s="2">
        <v>243948.82</v>
      </c>
      <c r="F1846">
        <v>0</v>
      </c>
      <c r="G1846" s="3">
        <v>46.25</v>
      </c>
      <c r="H1846" s="2">
        <v>3.2869999999999999</v>
      </c>
      <c r="I1846">
        <v>127.1917742</v>
      </c>
      <c r="J1846" s="3">
        <v>8.9510000000000005</v>
      </c>
    </row>
    <row r="1847" spans="1:10" x14ac:dyDescent="0.25">
      <c r="A1847">
        <v>33</v>
      </c>
      <c r="B1847" s="1">
        <v>40635</v>
      </c>
      <c r="C1847">
        <v>4</v>
      </c>
      <c r="D1847">
        <v>2011</v>
      </c>
      <c r="E1847" s="2">
        <v>234218.03</v>
      </c>
      <c r="F1847">
        <v>0</v>
      </c>
      <c r="G1847" s="3">
        <v>49.26</v>
      </c>
      <c r="H1847" s="2">
        <v>3.3479999999999999</v>
      </c>
      <c r="I1847">
        <v>127.7195806</v>
      </c>
      <c r="J1847" s="3">
        <v>8.9510000000000005</v>
      </c>
    </row>
    <row r="1848" spans="1:10" x14ac:dyDescent="0.25">
      <c r="A1848">
        <v>33</v>
      </c>
      <c r="B1848" s="1">
        <v>40849</v>
      </c>
      <c r="C1848">
        <v>11</v>
      </c>
      <c r="D1848">
        <v>2011</v>
      </c>
      <c r="E1848" s="2">
        <v>276198.74</v>
      </c>
      <c r="F1848">
        <v>1</v>
      </c>
      <c r="G1848" s="3">
        <v>53.35</v>
      </c>
      <c r="H1848" s="2">
        <v>3.3809999999999998</v>
      </c>
      <c r="I1848">
        <v>127.859129</v>
      </c>
      <c r="J1848" s="3">
        <v>8.9510000000000005</v>
      </c>
    </row>
    <row r="1849" spans="1:10" x14ac:dyDescent="0.25">
      <c r="A1849">
        <v>33</v>
      </c>
      <c r="B1849" s="1">
        <v>40636</v>
      </c>
      <c r="C1849">
        <v>4</v>
      </c>
      <c r="D1849">
        <v>2011</v>
      </c>
      <c r="E1849" s="2">
        <v>245435.8</v>
      </c>
      <c r="F1849">
        <v>0</v>
      </c>
      <c r="G1849" s="3">
        <v>59.51</v>
      </c>
      <c r="H1849" s="2">
        <v>3.6739999999999999</v>
      </c>
      <c r="I1849">
        <v>128.26474999999999</v>
      </c>
      <c r="J1849" s="3">
        <v>8.9510000000000005</v>
      </c>
    </row>
    <row r="1850" spans="1:10" x14ac:dyDescent="0.25">
      <c r="A1850">
        <v>33</v>
      </c>
      <c r="B1850" s="1">
        <v>40850</v>
      </c>
      <c r="C1850">
        <v>11</v>
      </c>
      <c r="D1850">
        <v>2011</v>
      </c>
      <c r="E1850" s="2">
        <v>270921.44</v>
      </c>
      <c r="F1850">
        <v>0</v>
      </c>
      <c r="G1850" s="3">
        <v>66.510000000000005</v>
      </c>
      <c r="H1850" s="2">
        <v>3.63</v>
      </c>
      <c r="I1850">
        <v>128.39949999999999</v>
      </c>
      <c r="J1850" s="3">
        <v>8.9510000000000005</v>
      </c>
    </row>
    <row r="1851" spans="1:10" x14ac:dyDescent="0.25">
      <c r="A1851">
        <v>33</v>
      </c>
      <c r="B1851" s="1">
        <v>40547</v>
      </c>
      <c r="C1851">
        <v>1</v>
      </c>
      <c r="D1851">
        <v>2011</v>
      </c>
      <c r="E1851" s="2">
        <v>232769.09</v>
      </c>
      <c r="F1851">
        <v>0</v>
      </c>
      <c r="G1851" s="3">
        <v>71.41</v>
      </c>
      <c r="H1851" s="2">
        <v>3.7719999999999998</v>
      </c>
      <c r="I1851">
        <v>128.71993549999999</v>
      </c>
      <c r="J1851" s="3">
        <v>8.6869999999999994</v>
      </c>
    </row>
    <row r="1852" spans="1:10" x14ac:dyDescent="0.25">
      <c r="A1852">
        <v>33</v>
      </c>
      <c r="B1852" s="1">
        <v>40759</v>
      </c>
      <c r="C1852">
        <v>8</v>
      </c>
      <c r="D1852">
        <v>2011</v>
      </c>
      <c r="E1852" s="2">
        <v>271924.73</v>
      </c>
      <c r="F1852">
        <v>0</v>
      </c>
      <c r="G1852" s="3">
        <v>75.11</v>
      </c>
      <c r="H1852" s="2">
        <v>3.8180000000000001</v>
      </c>
      <c r="I1852">
        <v>128.82380649999999</v>
      </c>
      <c r="J1852" s="3">
        <v>8.6869999999999994</v>
      </c>
    </row>
    <row r="1853" spans="1:10" x14ac:dyDescent="0.25">
      <c r="A1853">
        <v>33</v>
      </c>
      <c r="B1853" s="1">
        <v>40699</v>
      </c>
      <c r="C1853">
        <v>6</v>
      </c>
      <c r="D1853">
        <v>2011</v>
      </c>
      <c r="E1853" s="2">
        <v>257031.19</v>
      </c>
      <c r="F1853">
        <v>0</v>
      </c>
      <c r="G1853" s="3">
        <v>77.92</v>
      </c>
      <c r="H1853" s="2">
        <v>4.1929999999999996</v>
      </c>
      <c r="I1853">
        <v>129.04443330000001</v>
      </c>
      <c r="J1853" s="3">
        <v>8.6869999999999994</v>
      </c>
    </row>
    <row r="1854" spans="1:10" x14ac:dyDescent="0.25">
      <c r="A1854">
        <v>33</v>
      </c>
      <c r="B1854" s="1">
        <v>40608</v>
      </c>
      <c r="C1854">
        <v>3</v>
      </c>
      <c r="D1854">
        <v>2011</v>
      </c>
      <c r="E1854" s="2">
        <v>243477.03</v>
      </c>
      <c r="F1854">
        <v>0</v>
      </c>
      <c r="G1854" s="3">
        <v>82.93</v>
      </c>
      <c r="H1854" s="2">
        <v>3.8929999999999998</v>
      </c>
      <c r="I1854">
        <v>129.04903229999999</v>
      </c>
      <c r="J1854" s="3">
        <v>8.6869999999999994</v>
      </c>
    </row>
    <row r="1855" spans="1:10" x14ac:dyDescent="0.25">
      <c r="A1855">
        <v>33</v>
      </c>
      <c r="B1855" s="1">
        <v>40822</v>
      </c>
      <c r="C1855">
        <v>10</v>
      </c>
      <c r="D1855">
        <v>2011</v>
      </c>
      <c r="E1855" s="2">
        <v>258427.39</v>
      </c>
      <c r="F1855">
        <v>0</v>
      </c>
      <c r="G1855" s="3">
        <v>87.02</v>
      </c>
      <c r="H1855" s="2">
        <v>3.9809999999999999</v>
      </c>
      <c r="I1855">
        <v>129.03570970000001</v>
      </c>
      <c r="J1855" s="3">
        <v>8.6869999999999994</v>
      </c>
    </row>
    <row r="1856" spans="1:10" x14ac:dyDescent="0.25">
      <c r="A1856">
        <v>33</v>
      </c>
      <c r="B1856" s="1">
        <v>40550</v>
      </c>
      <c r="C1856">
        <v>1</v>
      </c>
      <c r="D1856">
        <v>2011</v>
      </c>
      <c r="E1856" s="2">
        <v>226702.36</v>
      </c>
      <c r="F1856">
        <v>0</v>
      </c>
      <c r="G1856" s="3">
        <v>98.43</v>
      </c>
      <c r="H1856" s="2">
        <v>3.8420000000000001</v>
      </c>
      <c r="I1856">
        <v>129.08940000000001</v>
      </c>
      <c r="J1856" s="3">
        <v>8.4420000000000002</v>
      </c>
    </row>
    <row r="1857" spans="1:10" x14ac:dyDescent="0.25">
      <c r="A1857">
        <v>33</v>
      </c>
      <c r="B1857" s="1">
        <v>40762</v>
      </c>
      <c r="C1857">
        <v>8</v>
      </c>
      <c r="D1857">
        <v>2011</v>
      </c>
      <c r="E1857" s="2">
        <v>262717.71000000002</v>
      </c>
      <c r="F1857">
        <v>0</v>
      </c>
      <c r="G1857" s="3">
        <v>96.44</v>
      </c>
      <c r="H1857" s="2">
        <v>3.7930000000000001</v>
      </c>
      <c r="I1857">
        <v>129.11250000000001</v>
      </c>
      <c r="J1857" s="3">
        <v>8.4420000000000002</v>
      </c>
    </row>
    <row r="1858" spans="1:10" x14ac:dyDescent="0.25">
      <c r="A1858">
        <v>33</v>
      </c>
      <c r="B1858" s="1">
        <v>40671</v>
      </c>
      <c r="C1858">
        <v>5</v>
      </c>
      <c r="D1858">
        <v>2011</v>
      </c>
      <c r="E1858" s="2">
        <v>242456.39</v>
      </c>
      <c r="F1858">
        <v>0</v>
      </c>
      <c r="G1858" s="3">
        <v>96.93</v>
      </c>
      <c r="H1858" s="2">
        <v>3.8029999999999999</v>
      </c>
      <c r="I1858">
        <v>129.18464520000001</v>
      </c>
      <c r="J1858" s="3">
        <v>8.4420000000000002</v>
      </c>
    </row>
    <row r="1859" spans="1:10" x14ac:dyDescent="0.25">
      <c r="A1859">
        <v>33</v>
      </c>
      <c r="B1859" s="1">
        <v>40885</v>
      </c>
      <c r="C1859">
        <v>12</v>
      </c>
      <c r="D1859">
        <v>2011</v>
      </c>
      <c r="E1859" s="2">
        <v>274721.84999999998</v>
      </c>
      <c r="F1859">
        <v>0</v>
      </c>
      <c r="G1859" s="3">
        <v>96</v>
      </c>
      <c r="H1859" s="2">
        <v>3.794</v>
      </c>
      <c r="I1859">
        <v>129.2015806</v>
      </c>
      <c r="J1859" s="3">
        <v>8.4420000000000002</v>
      </c>
    </row>
    <row r="1860" spans="1:10" x14ac:dyDescent="0.25">
      <c r="A1860">
        <v>33</v>
      </c>
      <c r="B1860" s="1">
        <v>40583</v>
      </c>
      <c r="C1860">
        <v>2</v>
      </c>
      <c r="D1860">
        <v>2011</v>
      </c>
      <c r="E1860" s="2">
        <v>239198.36</v>
      </c>
      <c r="F1860">
        <v>0</v>
      </c>
      <c r="G1860" s="3">
        <v>99.2</v>
      </c>
      <c r="H1860" s="2">
        <v>3.798</v>
      </c>
      <c r="I1860">
        <v>129.32593550000001</v>
      </c>
      <c r="J1860" s="3">
        <v>8.4420000000000002</v>
      </c>
    </row>
    <row r="1861" spans="1:10" x14ac:dyDescent="0.25">
      <c r="A1861">
        <v>33</v>
      </c>
      <c r="B1861" s="1">
        <v>40795</v>
      </c>
      <c r="C1861">
        <v>9</v>
      </c>
      <c r="D1861">
        <v>2011</v>
      </c>
      <c r="E1861" s="2">
        <v>281842.28000000003</v>
      </c>
      <c r="F1861">
        <v>1</v>
      </c>
      <c r="G1861" s="3">
        <v>96.22</v>
      </c>
      <c r="H1861" s="2">
        <v>3.7709999999999999</v>
      </c>
      <c r="I1861">
        <v>129.36861289999999</v>
      </c>
      <c r="J1861" s="3">
        <v>8.4420000000000002</v>
      </c>
    </row>
    <row r="1862" spans="1:10" x14ac:dyDescent="0.25">
      <c r="A1862">
        <v>33</v>
      </c>
      <c r="B1862" s="1">
        <v>40734</v>
      </c>
      <c r="C1862">
        <v>7</v>
      </c>
      <c r="D1862">
        <v>2011</v>
      </c>
      <c r="E1862" s="2">
        <v>262159.13</v>
      </c>
      <c r="F1862">
        <v>0</v>
      </c>
      <c r="G1862" s="3">
        <v>81.16</v>
      </c>
      <c r="H1862" s="2">
        <v>3.827</v>
      </c>
      <c r="I1862">
        <v>129.69380000000001</v>
      </c>
      <c r="J1862" s="3">
        <v>8.01</v>
      </c>
    </row>
    <row r="1863" spans="1:10" x14ac:dyDescent="0.25">
      <c r="A1863">
        <v>33</v>
      </c>
      <c r="B1863" s="1">
        <v>40644</v>
      </c>
      <c r="C1863">
        <v>4</v>
      </c>
      <c r="D1863">
        <v>2011</v>
      </c>
      <c r="E1863" s="2">
        <v>236157.12</v>
      </c>
      <c r="F1863">
        <v>0</v>
      </c>
      <c r="G1863" s="3">
        <v>71.91</v>
      </c>
      <c r="H1863" s="2">
        <v>3.8279999999999998</v>
      </c>
      <c r="I1863">
        <v>129.8051935</v>
      </c>
      <c r="J1863" s="3">
        <v>8.01</v>
      </c>
    </row>
    <row r="1864" spans="1:10" x14ac:dyDescent="0.25">
      <c r="A1864">
        <v>33</v>
      </c>
      <c r="B1864" s="1">
        <v>40858</v>
      </c>
      <c r="C1864">
        <v>11</v>
      </c>
      <c r="D1864">
        <v>2011</v>
      </c>
      <c r="E1864" s="2">
        <v>271961.03999999998</v>
      </c>
      <c r="F1864">
        <v>0</v>
      </c>
      <c r="G1864" s="3">
        <v>58.75</v>
      </c>
      <c r="H1864" s="2">
        <v>3.677</v>
      </c>
      <c r="I1864">
        <v>129.81670969999999</v>
      </c>
      <c r="J1864" s="3">
        <v>8.01</v>
      </c>
    </row>
    <row r="1865" spans="1:10" x14ac:dyDescent="0.25">
      <c r="A1865">
        <v>33</v>
      </c>
      <c r="B1865" s="1">
        <v>40586</v>
      </c>
      <c r="C1865">
        <v>2</v>
      </c>
      <c r="D1865">
        <v>2011</v>
      </c>
      <c r="E1865" s="2">
        <v>220060.35</v>
      </c>
      <c r="F1865">
        <v>0</v>
      </c>
      <c r="G1865" s="3">
        <v>59.12</v>
      </c>
      <c r="H1865" s="2">
        <v>3.7010000000000001</v>
      </c>
      <c r="I1865">
        <v>129.84596669999999</v>
      </c>
      <c r="J1865" s="3">
        <v>8.01</v>
      </c>
    </row>
    <row r="1866" spans="1:10" x14ac:dyDescent="0.25">
      <c r="A1866">
        <v>33</v>
      </c>
      <c r="B1866" s="1">
        <v>40798</v>
      </c>
      <c r="C1866">
        <v>9</v>
      </c>
      <c r="D1866">
        <v>2011</v>
      </c>
      <c r="E1866" s="2">
        <v>270373.05</v>
      </c>
      <c r="F1866">
        <v>0</v>
      </c>
      <c r="G1866" s="3">
        <v>47.7</v>
      </c>
      <c r="H1866" s="2">
        <v>3.6440000000000001</v>
      </c>
      <c r="I1866">
        <v>129.85553329999999</v>
      </c>
      <c r="J1866" s="3">
        <v>8.01</v>
      </c>
    </row>
    <row r="1867" spans="1:10" x14ac:dyDescent="0.25">
      <c r="A1867">
        <v>33</v>
      </c>
      <c r="B1867" s="1">
        <v>41061</v>
      </c>
      <c r="C1867">
        <v>6</v>
      </c>
      <c r="D1867">
        <v>2012</v>
      </c>
      <c r="E1867" s="2">
        <v>267058.08</v>
      </c>
      <c r="F1867">
        <v>0</v>
      </c>
      <c r="G1867" s="3">
        <v>60.92</v>
      </c>
      <c r="H1867" s="2">
        <v>3.4430000000000001</v>
      </c>
      <c r="I1867">
        <v>130.15751610000001</v>
      </c>
      <c r="J1867" s="3">
        <v>7.6029999999999998</v>
      </c>
    </row>
    <row r="1868" spans="1:10" x14ac:dyDescent="0.25">
      <c r="A1868">
        <v>33</v>
      </c>
      <c r="B1868" s="1">
        <v>40970</v>
      </c>
      <c r="C1868">
        <v>3</v>
      </c>
      <c r="D1868">
        <v>2012</v>
      </c>
      <c r="E1868" s="2">
        <v>256091.32</v>
      </c>
      <c r="F1868">
        <v>0</v>
      </c>
      <c r="G1868" s="3">
        <v>59.53</v>
      </c>
      <c r="H1868" s="2">
        <v>3.5430000000000001</v>
      </c>
      <c r="I1868">
        <v>130.34967739999999</v>
      </c>
      <c r="J1868" s="3">
        <v>7.6029999999999998</v>
      </c>
    </row>
    <row r="1869" spans="1:10" x14ac:dyDescent="0.25">
      <c r="A1869">
        <v>33</v>
      </c>
      <c r="B1869" s="1">
        <v>41184</v>
      </c>
      <c r="C1869">
        <v>10</v>
      </c>
      <c r="D1869">
        <v>2012</v>
      </c>
      <c r="E1869" s="2">
        <v>282552.58</v>
      </c>
      <c r="F1869">
        <v>1</v>
      </c>
      <c r="G1869" s="3">
        <v>59.94</v>
      </c>
      <c r="H1869" s="2">
        <v>3.722</v>
      </c>
      <c r="I1869">
        <v>130.3849032</v>
      </c>
      <c r="J1869" s="3">
        <v>7.6029999999999998</v>
      </c>
    </row>
    <row r="1870" spans="1:10" x14ac:dyDescent="0.25">
      <c r="A1870">
        <v>33</v>
      </c>
      <c r="B1870" s="1">
        <v>40942</v>
      </c>
      <c r="C1870">
        <v>2</v>
      </c>
      <c r="D1870">
        <v>2012</v>
      </c>
      <c r="E1870" s="2">
        <v>248051.53</v>
      </c>
      <c r="F1870">
        <v>0</v>
      </c>
      <c r="G1870" s="3">
        <v>60.91</v>
      </c>
      <c r="H1870" s="2">
        <v>3.8820000000000001</v>
      </c>
      <c r="I1870">
        <v>130.64579309999999</v>
      </c>
      <c r="J1870" s="3">
        <v>7.6029999999999998</v>
      </c>
    </row>
    <row r="1871" spans="1:10" x14ac:dyDescent="0.25">
      <c r="A1871">
        <v>33</v>
      </c>
      <c r="B1871" s="1">
        <v>41155</v>
      </c>
      <c r="C1871">
        <v>9</v>
      </c>
      <c r="D1871">
        <v>2012</v>
      </c>
      <c r="E1871" s="2">
        <v>287346.28999999998</v>
      </c>
      <c r="F1871">
        <v>0</v>
      </c>
      <c r="G1871" s="3">
        <v>62.2</v>
      </c>
      <c r="H1871" s="2">
        <v>3.9630000000000001</v>
      </c>
      <c r="I1871">
        <v>130.74137930000001</v>
      </c>
      <c r="J1871" s="3">
        <v>7.6029999999999998</v>
      </c>
    </row>
    <row r="1872" spans="1:10" x14ac:dyDescent="0.25">
      <c r="A1872">
        <v>33</v>
      </c>
      <c r="B1872" s="1">
        <v>41064</v>
      </c>
      <c r="C1872">
        <v>6</v>
      </c>
      <c r="D1872">
        <v>2012</v>
      </c>
      <c r="E1872" s="2">
        <v>275911.96999999997</v>
      </c>
      <c r="F1872">
        <v>0</v>
      </c>
      <c r="G1872" s="3">
        <v>70.75</v>
      </c>
      <c r="H1872" s="2">
        <v>4.282</v>
      </c>
      <c r="I1872">
        <v>131.03754839999999</v>
      </c>
      <c r="J1872" s="3">
        <v>7.3959999999999999</v>
      </c>
    </row>
    <row r="1873" spans="1:10" x14ac:dyDescent="0.25">
      <c r="A1873">
        <v>33</v>
      </c>
      <c r="B1873" s="1">
        <v>41004</v>
      </c>
      <c r="C1873">
        <v>4</v>
      </c>
      <c r="D1873">
        <v>2012</v>
      </c>
      <c r="E1873" s="2">
        <v>270497.51</v>
      </c>
      <c r="F1873">
        <v>0</v>
      </c>
      <c r="G1873" s="3">
        <v>82.43</v>
      </c>
      <c r="H1873" s="2">
        <v>4.0579999999999998</v>
      </c>
      <c r="I1873">
        <v>131.136</v>
      </c>
      <c r="J1873" s="3">
        <v>7.3959999999999999</v>
      </c>
    </row>
    <row r="1874" spans="1:10" x14ac:dyDescent="0.25">
      <c r="A1874">
        <v>33</v>
      </c>
      <c r="B1874" s="1">
        <v>41218</v>
      </c>
      <c r="C1874">
        <v>11</v>
      </c>
      <c r="D1874">
        <v>2012</v>
      </c>
      <c r="E1874" s="2">
        <v>295841.84000000003</v>
      </c>
      <c r="F1874">
        <v>0</v>
      </c>
      <c r="G1874" s="3">
        <v>81.02</v>
      </c>
      <c r="H1874" s="2">
        <v>4.1859999999999999</v>
      </c>
      <c r="I1874">
        <v>131.1453333</v>
      </c>
      <c r="J1874" s="3">
        <v>7.3959999999999999</v>
      </c>
    </row>
    <row r="1875" spans="1:10" x14ac:dyDescent="0.25">
      <c r="A1875">
        <v>33</v>
      </c>
      <c r="B1875" s="1">
        <v>40914</v>
      </c>
      <c r="C1875">
        <v>1</v>
      </c>
      <c r="D1875">
        <v>2012</v>
      </c>
      <c r="E1875" s="2">
        <v>261131.09</v>
      </c>
      <c r="F1875">
        <v>0</v>
      </c>
      <c r="G1875" s="3">
        <v>83.57</v>
      </c>
      <c r="H1875" s="2">
        <v>4.2770000000000001</v>
      </c>
      <c r="I1875">
        <v>130.95922580000001</v>
      </c>
      <c r="J1875" s="3">
        <v>7.3959999999999999</v>
      </c>
    </row>
    <row r="1876" spans="1:10" x14ac:dyDescent="0.25">
      <c r="A1876">
        <v>33</v>
      </c>
      <c r="B1876" s="1">
        <v>41127</v>
      </c>
      <c r="C1876">
        <v>8</v>
      </c>
      <c r="D1876">
        <v>2012</v>
      </c>
      <c r="E1876" s="2">
        <v>286082.76</v>
      </c>
      <c r="F1876">
        <v>0</v>
      </c>
      <c r="G1876" s="3">
        <v>90.94</v>
      </c>
      <c r="H1876" s="2">
        <v>4.1029999999999998</v>
      </c>
      <c r="I1876">
        <v>130.88967740000001</v>
      </c>
      <c r="J1876" s="3">
        <v>7.3959999999999999</v>
      </c>
    </row>
    <row r="1877" spans="1:10" x14ac:dyDescent="0.25">
      <c r="A1877">
        <v>33</v>
      </c>
      <c r="B1877" s="1">
        <v>41067</v>
      </c>
      <c r="C1877">
        <v>6</v>
      </c>
      <c r="D1877">
        <v>2012</v>
      </c>
      <c r="E1877" s="2">
        <v>273690.37</v>
      </c>
      <c r="F1877">
        <v>0</v>
      </c>
      <c r="G1877" s="3">
        <v>93.21</v>
      </c>
      <c r="H1877" s="2">
        <v>3.6659999999999999</v>
      </c>
      <c r="I1877">
        <v>130.7196333</v>
      </c>
      <c r="J1877" s="3">
        <v>7.1470000000000002</v>
      </c>
    </row>
    <row r="1878" spans="1:10" x14ac:dyDescent="0.25">
      <c r="A1878">
        <v>33</v>
      </c>
      <c r="B1878" s="1">
        <v>40976</v>
      </c>
      <c r="C1878">
        <v>3</v>
      </c>
      <c r="D1878">
        <v>2012</v>
      </c>
      <c r="E1878" s="2">
        <v>258533.12</v>
      </c>
      <c r="F1878">
        <v>0</v>
      </c>
      <c r="G1878" s="3">
        <v>92.13</v>
      </c>
      <c r="H1878" s="2">
        <v>3.5950000000000002</v>
      </c>
      <c r="I1878">
        <v>130.73787100000001</v>
      </c>
      <c r="J1878" s="3">
        <v>7.1470000000000002</v>
      </c>
    </row>
    <row r="1879" spans="1:10" x14ac:dyDescent="0.25">
      <c r="A1879">
        <v>33</v>
      </c>
      <c r="B1879" s="1">
        <v>41190</v>
      </c>
      <c r="C1879">
        <v>10</v>
      </c>
      <c r="D1879">
        <v>2012</v>
      </c>
      <c r="E1879" s="2">
        <v>297753.49</v>
      </c>
      <c r="F1879">
        <v>0</v>
      </c>
      <c r="G1879" s="3">
        <v>100.07</v>
      </c>
      <c r="H1879" s="2">
        <v>3.8109999999999999</v>
      </c>
      <c r="I1879">
        <v>130.7561613</v>
      </c>
      <c r="J1879" s="3">
        <v>7.1470000000000002</v>
      </c>
    </row>
    <row r="1880" spans="1:10" x14ac:dyDescent="0.25">
      <c r="A1880">
        <v>33</v>
      </c>
      <c r="B1880" s="1">
        <v>41099</v>
      </c>
      <c r="C1880">
        <v>7</v>
      </c>
      <c r="D1880">
        <v>2012</v>
      </c>
      <c r="E1880" s="2">
        <v>286428.78000000003</v>
      </c>
      <c r="F1880">
        <v>1</v>
      </c>
      <c r="G1880" s="3">
        <v>92.02</v>
      </c>
      <c r="H1880" s="2">
        <v>4.1239999999999997</v>
      </c>
      <c r="I1880">
        <v>130.9325484</v>
      </c>
      <c r="J1880" s="3">
        <v>7.1470000000000002</v>
      </c>
    </row>
    <row r="1881" spans="1:10" x14ac:dyDescent="0.25">
      <c r="A1881">
        <v>33</v>
      </c>
      <c r="B1881" s="1">
        <v>41039</v>
      </c>
      <c r="C1881">
        <v>5</v>
      </c>
      <c r="D1881">
        <v>2012</v>
      </c>
      <c r="E1881" s="2">
        <v>265444.90000000002</v>
      </c>
      <c r="F1881">
        <v>0</v>
      </c>
      <c r="G1881" s="3">
        <v>85.18</v>
      </c>
      <c r="H1881" s="2">
        <v>4.1319999999999997</v>
      </c>
      <c r="I1881">
        <v>131.0756667</v>
      </c>
      <c r="J1881" s="3">
        <v>6.8949999999999996</v>
      </c>
    </row>
    <row r="1882" spans="1:10" x14ac:dyDescent="0.25">
      <c r="A1882">
        <v>33</v>
      </c>
      <c r="B1882" s="1">
        <v>41253</v>
      </c>
      <c r="C1882">
        <v>12</v>
      </c>
      <c r="D1882">
        <v>2012</v>
      </c>
      <c r="E1882" s="2">
        <v>291781.15000000002</v>
      </c>
      <c r="F1882">
        <v>0</v>
      </c>
      <c r="G1882" s="3">
        <v>79.64</v>
      </c>
      <c r="H1882" s="2">
        <v>4.468</v>
      </c>
      <c r="I1882">
        <v>131.1083333</v>
      </c>
      <c r="J1882" s="3">
        <v>6.8949999999999996</v>
      </c>
    </row>
    <row r="1883" spans="1:10" x14ac:dyDescent="0.25">
      <c r="A1883">
        <v>34</v>
      </c>
      <c r="B1883" s="1">
        <v>40300</v>
      </c>
      <c r="C1883">
        <v>5</v>
      </c>
      <c r="D1883">
        <v>2010</v>
      </c>
      <c r="E1883" s="2">
        <v>956228.96</v>
      </c>
      <c r="F1883">
        <v>0</v>
      </c>
      <c r="G1883" s="3">
        <v>35.44</v>
      </c>
      <c r="H1883" s="2">
        <v>2.5979999999999999</v>
      </c>
      <c r="I1883">
        <v>126.4420645</v>
      </c>
      <c r="J1883" s="3">
        <v>9.5210000000000008</v>
      </c>
    </row>
    <row r="1884" spans="1:10" x14ac:dyDescent="0.25">
      <c r="A1884">
        <v>34</v>
      </c>
      <c r="B1884" s="1">
        <v>40514</v>
      </c>
      <c r="C1884">
        <v>12</v>
      </c>
      <c r="D1884">
        <v>2010</v>
      </c>
      <c r="E1884" s="2">
        <v>994610.99</v>
      </c>
      <c r="F1884">
        <v>1</v>
      </c>
      <c r="G1884" s="3">
        <v>36.130000000000003</v>
      </c>
      <c r="H1884" s="2">
        <v>2.573</v>
      </c>
      <c r="I1884">
        <v>126.49625810000001</v>
      </c>
      <c r="J1884" s="3">
        <v>9.5210000000000008</v>
      </c>
    </row>
    <row r="1885" spans="1:10" x14ac:dyDescent="0.25">
      <c r="A1885">
        <v>34</v>
      </c>
      <c r="B1885" s="1">
        <v>40301</v>
      </c>
      <c r="C1885">
        <v>5</v>
      </c>
      <c r="D1885">
        <v>2010</v>
      </c>
      <c r="E1885" s="2">
        <v>918295.79</v>
      </c>
      <c r="F1885">
        <v>0</v>
      </c>
      <c r="G1885" s="3">
        <v>42.65</v>
      </c>
      <c r="H1885" s="2">
        <v>2.6539999999999999</v>
      </c>
      <c r="I1885">
        <v>126.5782857</v>
      </c>
      <c r="J1885" s="3">
        <v>9.5210000000000008</v>
      </c>
    </row>
    <row r="1886" spans="1:10" x14ac:dyDescent="0.25">
      <c r="A1886">
        <v>34</v>
      </c>
      <c r="B1886" s="1">
        <v>40515</v>
      </c>
      <c r="C1886">
        <v>12</v>
      </c>
      <c r="D1886">
        <v>2010</v>
      </c>
      <c r="E1886" s="2">
        <v>921247.88</v>
      </c>
      <c r="F1886">
        <v>0</v>
      </c>
      <c r="G1886" s="3">
        <v>42.26</v>
      </c>
      <c r="H1886" s="2">
        <v>2.7040000000000002</v>
      </c>
      <c r="I1886">
        <v>126.60428570000001</v>
      </c>
      <c r="J1886" s="3">
        <v>9.5210000000000008</v>
      </c>
    </row>
    <row r="1887" spans="1:10" x14ac:dyDescent="0.25">
      <c r="A1887">
        <v>34</v>
      </c>
      <c r="B1887" s="1">
        <v>40213</v>
      </c>
      <c r="C1887">
        <v>2</v>
      </c>
      <c r="D1887">
        <v>2010</v>
      </c>
      <c r="E1887" s="2">
        <v>979428.66</v>
      </c>
      <c r="F1887">
        <v>0</v>
      </c>
      <c r="G1887" s="3">
        <v>50.07</v>
      </c>
      <c r="H1887" s="2">
        <v>2.74</v>
      </c>
      <c r="I1887">
        <v>126.6034839</v>
      </c>
      <c r="J1887" s="3">
        <v>9.593</v>
      </c>
    </row>
    <row r="1888" spans="1:10" x14ac:dyDescent="0.25">
      <c r="A1888">
        <v>34</v>
      </c>
      <c r="B1888" s="1">
        <v>40425</v>
      </c>
      <c r="C1888">
        <v>9</v>
      </c>
      <c r="D1888">
        <v>2010</v>
      </c>
      <c r="E1888" s="2">
        <v>950684.2</v>
      </c>
      <c r="F1888">
        <v>0</v>
      </c>
      <c r="G1888" s="3">
        <v>51.26</v>
      </c>
      <c r="H1888" s="2">
        <v>2.7730000000000001</v>
      </c>
      <c r="I1888">
        <v>126.6019032</v>
      </c>
      <c r="J1888" s="3">
        <v>9.593</v>
      </c>
    </row>
    <row r="1889" spans="1:10" x14ac:dyDescent="0.25">
      <c r="A1889">
        <v>34</v>
      </c>
      <c r="B1889" s="1">
        <v>40364</v>
      </c>
      <c r="C1889">
        <v>7</v>
      </c>
      <c r="D1889">
        <v>2010</v>
      </c>
      <c r="E1889" s="2">
        <v>953495.48</v>
      </c>
      <c r="F1889">
        <v>0</v>
      </c>
      <c r="G1889" s="3">
        <v>57.39</v>
      </c>
      <c r="H1889" s="2">
        <v>2.8359999999999999</v>
      </c>
      <c r="I1889">
        <v>126.2898</v>
      </c>
      <c r="J1889" s="3">
        <v>9.593</v>
      </c>
    </row>
    <row r="1890" spans="1:10" x14ac:dyDescent="0.25">
      <c r="A1890">
        <v>34</v>
      </c>
      <c r="B1890" s="1">
        <v>40274</v>
      </c>
      <c r="C1890">
        <v>4</v>
      </c>
      <c r="D1890">
        <v>2010</v>
      </c>
      <c r="E1890" s="2">
        <v>966187.51</v>
      </c>
      <c r="F1890">
        <v>0</v>
      </c>
      <c r="G1890" s="3">
        <v>72.17</v>
      </c>
      <c r="H1890" s="2">
        <v>2.7010000000000001</v>
      </c>
      <c r="I1890">
        <v>126.1360645</v>
      </c>
      <c r="J1890" s="3">
        <v>9.593</v>
      </c>
    </row>
    <row r="1891" spans="1:10" x14ac:dyDescent="0.25">
      <c r="A1891">
        <v>34</v>
      </c>
      <c r="B1891" s="1">
        <v>40488</v>
      </c>
      <c r="C1891">
        <v>11</v>
      </c>
      <c r="D1891">
        <v>2010</v>
      </c>
      <c r="E1891" s="2">
        <v>954681.56</v>
      </c>
      <c r="F1891">
        <v>0</v>
      </c>
      <c r="G1891" s="3">
        <v>80.84</v>
      </c>
      <c r="H1891" s="2">
        <v>2.6680000000000001</v>
      </c>
      <c r="I1891">
        <v>126.1119032</v>
      </c>
      <c r="J1891" s="3">
        <v>9.593</v>
      </c>
    </row>
    <row r="1892" spans="1:10" x14ac:dyDescent="0.25">
      <c r="A1892">
        <v>34</v>
      </c>
      <c r="B1892" s="1">
        <v>40216</v>
      </c>
      <c r="C1892">
        <v>2</v>
      </c>
      <c r="D1892">
        <v>2010</v>
      </c>
      <c r="E1892" s="2">
        <v>919229.36</v>
      </c>
      <c r="F1892">
        <v>0</v>
      </c>
      <c r="G1892" s="3">
        <v>73.66</v>
      </c>
      <c r="H1892" s="2">
        <v>2.6680000000000001</v>
      </c>
      <c r="I1892">
        <v>126.1392</v>
      </c>
      <c r="J1892" s="3">
        <v>9.8160000000000007</v>
      </c>
    </row>
    <row r="1893" spans="1:10" x14ac:dyDescent="0.25">
      <c r="A1893">
        <v>34</v>
      </c>
      <c r="B1893" s="1">
        <v>40428</v>
      </c>
      <c r="C1893">
        <v>9</v>
      </c>
      <c r="D1893">
        <v>2010</v>
      </c>
      <c r="E1893" s="2">
        <v>911210.81</v>
      </c>
      <c r="F1893">
        <v>0</v>
      </c>
      <c r="G1893" s="3">
        <v>75</v>
      </c>
      <c r="H1893" s="2">
        <v>2.637</v>
      </c>
      <c r="I1893">
        <v>126.15179999999999</v>
      </c>
      <c r="J1893" s="3">
        <v>9.8160000000000007</v>
      </c>
    </row>
    <row r="1894" spans="1:10" x14ac:dyDescent="0.25">
      <c r="A1894">
        <v>34</v>
      </c>
      <c r="B1894" s="1">
        <v>40337</v>
      </c>
      <c r="C1894">
        <v>6</v>
      </c>
      <c r="D1894">
        <v>2010</v>
      </c>
      <c r="E1894" s="2">
        <v>987435.35</v>
      </c>
      <c r="F1894">
        <v>0</v>
      </c>
      <c r="G1894" s="3">
        <v>73.8</v>
      </c>
      <c r="H1894" s="2">
        <v>2.64</v>
      </c>
      <c r="I1894">
        <v>126.0854516</v>
      </c>
      <c r="J1894" s="3">
        <v>9.8160000000000007</v>
      </c>
    </row>
    <row r="1895" spans="1:10" x14ac:dyDescent="0.25">
      <c r="A1895">
        <v>34</v>
      </c>
      <c r="B1895" s="1">
        <v>40246</v>
      </c>
      <c r="C1895">
        <v>3</v>
      </c>
      <c r="D1895">
        <v>2010</v>
      </c>
      <c r="E1895" s="2">
        <v>964356.74</v>
      </c>
      <c r="F1895">
        <v>0</v>
      </c>
      <c r="G1895" s="3">
        <v>72.59</v>
      </c>
      <c r="H1895" s="2">
        <v>2.5840000000000001</v>
      </c>
      <c r="I1895">
        <v>126.1019355</v>
      </c>
      <c r="J1895" s="3">
        <v>9.8160000000000007</v>
      </c>
    </row>
    <row r="1896" spans="1:10" x14ac:dyDescent="0.25">
      <c r="A1896">
        <v>34</v>
      </c>
      <c r="B1896" s="1">
        <v>40460</v>
      </c>
      <c r="C1896">
        <v>10</v>
      </c>
      <c r="D1896">
        <v>2010</v>
      </c>
      <c r="E1896" s="2">
        <v>932240.96</v>
      </c>
      <c r="F1896">
        <v>1</v>
      </c>
      <c r="G1896" s="3">
        <v>72.61</v>
      </c>
      <c r="H1896" s="2">
        <v>2.5739999999999998</v>
      </c>
      <c r="I1896">
        <v>126.1145806</v>
      </c>
      <c r="J1896" s="3">
        <v>9.8160000000000007</v>
      </c>
    </row>
    <row r="1897" spans="1:10" x14ac:dyDescent="0.25">
      <c r="A1897">
        <v>34</v>
      </c>
      <c r="B1897" s="1">
        <v>40188</v>
      </c>
      <c r="C1897">
        <v>1</v>
      </c>
      <c r="D1897">
        <v>2010</v>
      </c>
      <c r="E1897" s="2">
        <v>865709.11</v>
      </c>
      <c r="F1897">
        <v>0</v>
      </c>
      <c r="G1897" s="3">
        <v>70.13</v>
      </c>
      <c r="H1897" s="2">
        <v>2.6190000000000002</v>
      </c>
      <c r="I1897">
        <v>126.2346</v>
      </c>
      <c r="J1897" s="3">
        <v>10.210000000000001</v>
      </c>
    </row>
    <row r="1898" spans="1:10" x14ac:dyDescent="0.25">
      <c r="A1898">
        <v>34</v>
      </c>
      <c r="B1898" s="1">
        <v>40400</v>
      </c>
      <c r="C1898">
        <v>8</v>
      </c>
      <c r="D1898">
        <v>2010</v>
      </c>
      <c r="E1898" s="2">
        <v>931710.67</v>
      </c>
      <c r="F1898">
        <v>0</v>
      </c>
      <c r="G1898" s="3">
        <v>65.209999999999994</v>
      </c>
      <c r="H1898" s="2">
        <v>2.645</v>
      </c>
      <c r="I1898">
        <v>126.2791667</v>
      </c>
      <c r="J1898" s="3">
        <v>10.210000000000001</v>
      </c>
    </row>
    <row r="1899" spans="1:10" x14ac:dyDescent="0.25">
      <c r="A1899">
        <v>34</v>
      </c>
      <c r="B1899" s="1">
        <v>40309</v>
      </c>
      <c r="C1899">
        <v>5</v>
      </c>
      <c r="D1899">
        <v>2010</v>
      </c>
      <c r="E1899" s="2">
        <v>972292.31</v>
      </c>
      <c r="F1899">
        <v>0</v>
      </c>
      <c r="G1899" s="3">
        <v>52.43</v>
      </c>
      <c r="H1899" s="2">
        <v>2.6989999999999998</v>
      </c>
      <c r="I1899">
        <v>126.4912903</v>
      </c>
      <c r="J1899" s="3">
        <v>10.210000000000001</v>
      </c>
    </row>
    <row r="1900" spans="1:10" x14ac:dyDescent="0.25">
      <c r="A1900">
        <v>34</v>
      </c>
      <c r="B1900" s="1">
        <v>40523</v>
      </c>
      <c r="C1900">
        <v>12</v>
      </c>
      <c r="D1900">
        <v>2010</v>
      </c>
      <c r="E1900" s="2">
        <v>979730.78</v>
      </c>
      <c r="F1900">
        <v>0</v>
      </c>
      <c r="G1900" s="3">
        <v>47.2</v>
      </c>
      <c r="H1900" s="2">
        <v>2.7410000000000001</v>
      </c>
      <c r="I1900">
        <v>126.54616129999999</v>
      </c>
      <c r="J1900" s="3">
        <v>10.210000000000001</v>
      </c>
    </row>
    <row r="1901" spans="1:10" x14ac:dyDescent="0.25">
      <c r="A1901">
        <v>34</v>
      </c>
      <c r="B1901" s="1">
        <v>40249</v>
      </c>
      <c r="C1901">
        <v>3</v>
      </c>
      <c r="D1901">
        <v>2010</v>
      </c>
      <c r="E1901" s="2">
        <v>1001512.21</v>
      </c>
      <c r="F1901">
        <v>0</v>
      </c>
      <c r="G1901" s="3">
        <v>34.700000000000003</v>
      </c>
      <c r="H1901" s="2">
        <v>2.7269999999999999</v>
      </c>
      <c r="I1901">
        <v>126.7313333</v>
      </c>
      <c r="J1901" s="3">
        <v>10.210000000000001</v>
      </c>
    </row>
    <row r="1902" spans="1:10" x14ac:dyDescent="0.25">
      <c r="A1902">
        <v>34</v>
      </c>
      <c r="B1902" s="1">
        <v>40463</v>
      </c>
      <c r="C1902">
        <v>10</v>
      </c>
      <c r="D1902">
        <v>2010</v>
      </c>
      <c r="E1902" s="2">
        <v>1086661.02</v>
      </c>
      <c r="F1902">
        <v>0</v>
      </c>
      <c r="G1902" s="3">
        <v>41.93</v>
      </c>
      <c r="H1902" s="2">
        <v>2.86</v>
      </c>
      <c r="I1902">
        <v>126.79340000000001</v>
      </c>
      <c r="J1902" s="3">
        <v>10.210000000000001</v>
      </c>
    </row>
    <row r="1903" spans="1:10" x14ac:dyDescent="0.25">
      <c r="A1903">
        <v>34</v>
      </c>
      <c r="B1903" s="1">
        <v>40725</v>
      </c>
      <c r="C1903">
        <v>7</v>
      </c>
      <c r="D1903">
        <v>2011</v>
      </c>
      <c r="E1903" s="2">
        <v>900646.94</v>
      </c>
      <c r="F1903">
        <v>0</v>
      </c>
      <c r="G1903" s="3">
        <v>24.5</v>
      </c>
      <c r="H1903" s="2">
        <v>2.98</v>
      </c>
      <c r="I1903">
        <v>127.1917742</v>
      </c>
      <c r="J1903" s="3">
        <v>10.398</v>
      </c>
    </row>
    <row r="1904" spans="1:10" x14ac:dyDescent="0.25">
      <c r="A1904">
        <v>34</v>
      </c>
      <c r="B1904" s="1">
        <v>40635</v>
      </c>
      <c r="C1904">
        <v>4</v>
      </c>
      <c r="D1904">
        <v>2011</v>
      </c>
      <c r="E1904" s="2">
        <v>971932.87</v>
      </c>
      <c r="F1904">
        <v>0</v>
      </c>
      <c r="G1904" s="3">
        <v>23.82</v>
      </c>
      <c r="H1904" s="2">
        <v>2.996</v>
      </c>
      <c r="I1904">
        <v>127.7195806</v>
      </c>
      <c r="J1904" s="3">
        <v>10.398</v>
      </c>
    </row>
    <row r="1905" spans="1:10" x14ac:dyDescent="0.25">
      <c r="A1905">
        <v>34</v>
      </c>
      <c r="B1905" s="1">
        <v>40849</v>
      </c>
      <c r="C1905">
        <v>11</v>
      </c>
      <c r="D1905">
        <v>2011</v>
      </c>
      <c r="E1905" s="2">
        <v>1015654.6</v>
      </c>
      <c r="F1905">
        <v>1</v>
      </c>
      <c r="G1905" s="3">
        <v>28.66</v>
      </c>
      <c r="H1905" s="2">
        <v>3.0329999999999999</v>
      </c>
      <c r="I1905">
        <v>127.859129</v>
      </c>
      <c r="J1905" s="3">
        <v>10.398</v>
      </c>
    </row>
    <row r="1906" spans="1:10" x14ac:dyDescent="0.25">
      <c r="A1906">
        <v>34</v>
      </c>
      <c r="B1906" s="1">
        <v>40636</v>
      </c>
      <c r="C1906">
        <v>4</v>
      </c>
      <c r="D1906">
        <v>2011</v>
      </c>
      <c r="E1906" s="2">
        <v>963910.81</v>
      </c>
      <c r="F1906">
        <v>0</v>
      </c>
      <c r="G1906" s="3">
        <v>46.21</v>
      </c>
      <c r="H1906" s="2">
        <v>3.3050000000000002</v>
      </c>
      <c r="I1906">
        <v>128.26474999999999</v>
      </c>
      <c r="J1906" s="3">
        <v>10.398</v>
      </c>
    </row>
    <row r="1907" spans="1:10" x14ac:dyDescent="0.25">
      <c r="A1907">
        <v>34</v>
      </c>
      <c r="B1907" s="1">
        <v>40850</v>
      </c>
      <c r="C1907">
        <v>11</v>
      </c>
      <c r="D1907">
        <v>2011</v>
      </c>
      <c r="E1907" s="2">
        <v>943951.67</v>
      </c>
      <c r="F1907">
        <v>0</v>
      </c>
      <c r="G1907" s="3">
        <v>45.87</v>
      </c>
      <c r="H1907" s="2">
        <v>3.4609999999999999</v>
      </c>
      <c r="I1907">
        <v>128.39949999999999</v>
      </c>
      <c r="J1907" s="3">
        <v>10.398</v>
      </c>
    </row>
    <row r="1908" spans="1:10" x14ac:dyDescent="0.25">
      <c r="A1908">
        <v>34</v>
      </c>
      <c r="B1908" s="1">
        <v>40547</v>
      </c>
      <c r="C1908">
        <v>1</v>
      </c>
      <c r="D1908">
        <v>2011</v>
      </c>
      <c r="E1908" s="2">
        <v>884233.67</v>
      </c>
      <c r="F1908">
        <v>0</v>
      </c>
      <c r="G1908" s="3">
        <v>55.46</v>
      </c>
      <c r="H1908" s="2">
        <v>3.5209999999999999</v>
      </c>
      <c r="I1908">
        <v>128.71993549999999</v>
      </c>
      <c r="J1908" s="3">
        <v>10.581</v>
      </c>
    </row>
    <row r="1909" spans="1:10" x14ac:dyDescent="0.25">
      <c r="A1909">
        <v>34</v>
      </c>
      <c r="B1909" s="1">
        <v>40759</v>
      </c>
      <c r="C1909">
        <v>8</v>
      </c>
      <c r="D1909">
        <v>2011</v>
      </c>
      <c r="E1909" s="2">
        <v>975479.83</v>
      </c>
      <c r="F1909">
        <v>0</v>
      </c>
      <c r="G1909" s="3">
        <v>58.59</v>
      </c>
      <c r="H1909" s="2">
        <v>3.605</v>
      </c>
      <c r="I1909">
        <v>128.82380649999999</v>
      </c>
      <c r="J1909" s="3">
        <v>10.581</v>
      </c>
    </row>
    <row r="1910" spans="1:10" x14ac:dyDescent="0.25">
      <c r="A1910">
        <v>34</v>
      </c>
      <c r="B1910" s="1">
        <v>40699</v>
      </c>
      <c r="C1910">
        <v>6</v>
      </c>
      <c r="D1910">
        <v>2011</v>
      </c>
      <c r="E1910" s="2">
        <v>965853.58</v>
      </c>
      <c r="F1910">
        <v>0</v>
      </c>
      <c r="G1910" s="3">
        <v>54.4</v>
      </c>
      <c r="H1910" s="2">
        <v>3.8660000000000001</v>
      </c>
      <c r="I1910">
        <v>129.04443330000001</v>
      </c>
      <c r="J1910" s="3">
        <v>10.581</v>
      </c>
    </row>
    <row r="1911" spans="1:10" x14ac:dyDescent="0.25">
      <c r="A1911">
        <v>34</v>
      </c>
      <c r="B1911" s="1">
        <v>40608</v>
      </c>
      <c r="C1911">
        <v>3</v>
      </c>
      <c r="D1911">
        <v>2011</v>
      </c>
      <c r="E1911" s="2">
        <v>947229.24</v>
      </c>
      <c r="F1911">
        <v>0</v>
      </c>
      <c r="G1911" s="3">
        <v>74.64</v>
      </c>
      <c r="H1911" s="2">
        <v>3.6829999999999998</v>
      </c>
      <c r="I1911">
        <v>129.04903229999999</v>
      </c>
      <c r="J1911" s="3">
        <v>10.581</v>
      </c>
    </row>
    <row r="1912" spans="1:10" x14ac:dyDescent="0.25">
      <c r="A1912">
        <v>34</v>
      </c>
      <c r="B1912" s="1">
        <v>40822</v>
      </c>
      <c r="C1912">
        <v>10</v>
      </c>
      <c r="D1912">
        <v>2011</v>
      </c>
      <c r="E1912" s="2">
        <v>943912.77</v>
      </c>
      <c r="F1912">
        <v>0</v>
      </c>
      <c r="G1912" s="3">
        <v>74.569999999999993</v>
      </c>
      <c r="H1912" s="2">
        <v>3.64</v>
      </c>
      <c r="I1912">
        <v>129.03570970000001</v>
      </c>
      <c r="J1912" s="3">
        <v>10.581</v>
      </c>
    </row>
    <row r="1913" spans="1:10" x14ac:dyDescent="0.25">
      <c r="A1913">
        <v>34</v>
      </c>
      <c r="B1913" s="1">
        <v>40550</v>
      </c>
      <c r="C1913">
        <v>1</v>
      </c>
      <c r="D1913">
        <v>2011</v>
      </c>
      <c r="E1913" s="2">
        <v>911106.22</v>
      </c>
      <c r="F1913">
        <v>0</v>
      </c>
      <c r="G1913" s="3">
        <v>81.96</v>
      </c>
      <c r="H1913" s="2">
        <v>3.504</v>
      </c>
      <c r="I1913">
        <v>129.08940000000001</v>
      </c>
      <c r="J1913" s="3">
        <v>10.641</v>
      </c>
    </row>
    <row r="1914" spans="1:10" x14ac:dyDescent="0.25">
      <c r="A1914">
        <v>34</v>
      </c>
      <c r="B1914" s="1">
        <v>40762</v>
      </c>
      <c r="C1914">
        <v>8</v>
      </c>
      <c r="D1914">
        <v>2011</v>
      </c>
      <c r="E1914" s="2">
        <v>926934.57</v>
      </c>
      <c r="F1914">
        <v>0</v>
      </c>
      <c r="G1914" s="3">
        <v>80.84</v>
      </c>
      <c r="H1914" s="2">
        <v>3.4689999999999999</v>
      </c>
      <c r="I1914">
        <v>129.11250000000001</v>
      </c>
      <c r="J1914" s="3">
        <v>10.641</v>
      </c>
    </row>
    <row r="1915" spans="1:10" x14ac:dyDescent="0.25">
      <c r="A1915">
        <v>34</v>
      </c>
      <c r="B1915" s="1">
        <v>40671</v>
      </c>
      <c r="C1915">
        <v>5</v>
      </c>
      <c r="D1915">
        <v>2011</v>
      </c>
      <c r="E1915" s="2">
        <v>942236.45</v>
      </c>
      <c r="F1915">
        <v>0</v>
      </c>
      <c r="G1915" s="3">
        <v>76.709999999999994</v>
      </c>
      <c r="H1915" s="2">
        <v>3.6619999999999999</v>
      </c>
      <c r="I1915">
        <v>129.18464520000001</v>
      </c>
      <c r="J1915" s="3">
        <v>10.641</v>
      </c>
    </row>
    <row r="1916" spans="1:10" x14ac:dyDescent="0.25">
      <c r="A1916">
        <v>34</v>
      </c>
      <c r="B1916" s="1">
        <v>40885</v>
      </c>
      <c r="C1916">
        <v>12</v>
      </c>
      <c r="D1916">
        <v>2011</v>
      </c>
      <c r="E1916" s="2">
        <v>956251.18</v>
      </c>
      <c r="F1916">
        <v>0</v>
      </c>
      <c r="G1916" s="3">
        <v>80.23</v>
      </c>
      <c r="H1916" s="2">
        <v>3.617</v>
      </c>
      <c r="I1916">
        <v>129.2015806</v>
      </c>
      <c r="J1916" s="3">
        <v>10.641</v>
      </c>
    </row>
    <row r="1917" spans="1:10" x14ac:dyDescent="0.25">
      <c r="A1917">
        <v>34</v>
      </c>
      <c r="B1917" s="1">
        <v>40583</v>
      </c>
      <c r="C1917">
        <v>2</v>
      </c>
      <c r="D1917">
        <v>2011</v>
      </c>
      <c r="E1917" s="2">
        <v>926455.64</v>
      </c>
      <c r="F1917">
        <v>0</v>
      </c>
      <c r="G1917" s="3">
        <v>78.239999999999995</v>
      </c>
      <c r="H1917" s="2">
        <v>3.5329999999999999</v>
      </c>
      <c r="I1917">
        <v>129.32593550000001</v>
      </c>
      <c r="J1917" s="3">
        <v>10.641</v>
      </c>
    </row>
    <row r="1918" spans="1:10" x14ac:dyDescent="0.25">
      <c r="A1918">
        <v>34</v>
      </c>
      <c r="B1918" s="1">
        <v>40795</v>
      </c>
      <c r="C1918">
        <v>9</v>
      </c>
      <c r="D1918">
        <v>2011</v>
      </c>
      <c r="E1918" s="2">
        <v>930506.14</v>
      </c>
      <c r="F1918">
        <v>1</v>
      </c>
      <c r="G1918" s="3">
        <v>70.05</v>
      </c>
      <c r="H1918" s="2">
        <v>3.5539999999999998</v>
      </c>
      <c r="I1918">
        <v>129.36861289999999</v>
      </c>
      <c r="J1918" s="3">
        <v>10.641</v>
      </c>
    </row>
    <row r="1919" spans="1:10" x14ac:dyDescent="0.25">
      <c r="A1919">
        <v>34</v>
      </c>
      <c r="B1919" s="1">
        <v>40734</v>
      </c>
      <c r="C1919">
        <v>7</v>
      </c>
      <c r="D1919">
        <v>2011</v>
      </c>
      <c r="E1919" s="2">
        <v>954069.45</v>
      </c>
      <c r="F1919">
        <v>0</v>
      </c>
      <c r="G1919" s="3">
        <v>60.42</v>
      </c>
      <c r="H1919" s="2">
        <v>3.2989999999999999</v>
      </c>
      <c r="I1919">
        <v>129.69380000000001</v>
      </c>
      <c r="J1919" s="3">
        <v>10.148</v>
      </c>
    </row>
    <row r="1920" spans="1:10" x14ac:dyDescent="0.25">
      <c r="A1920">
        <v>34</v>
      </c>
      <c r="B1920" s="1">
        <v>40644</v>
      </c>
      <c r="C1920">
        <v>4</v>
      </c>
      <c r="D1920">
        <v>2011</v>
      </c>
      <c r="E1920" s="2">
        <v>992621.93</v>
      </c>
      <c r="F1920">
        <v>0</v>
      </c>
      <c r="G1920" s="3">
        <v>48.04</v>
      </c>
      <c r="H1920" s="2">
        <v>3.3220000000000001</v>
      </c>
      <c r="I1920">
        <v>129.8051935</v>
      </c>
      <c r="J1920" s="3">
        <v>10.148</v>
      </c>
    </row>
    <row r="1921" spans="1:10" x14ac:dyDescent="0.25">
      <c r="A1921">
        <v>34</v>
      </c>
      <c r="B1921" s="1">
        <v>40858</v>
      </c>
      <c r="C1921">
        <v>11</v>
      </c>
      <c r="D1921">
        <v>2011</v>
      </c>
      <c r="E1921" s="2">
        <v>991570.02</v>
      </c>
      <c r="F1921">
        <v>0</v>
      </c>
      <c r="G1921" s="3">
        <v>41.04</v>
      </c>
      <c r="H1921" s="2">
        <v>3.286</v>
      </c>
      <c r="I1921">
        <v>129.81670969999999</v>
      </c>
      <c r="J1921" s="3">
        <v>10.148</v>
      </c>
    </row>
    <row r="1922" spans="1:10" x14ac:dyDescent="0.25">
      <c r="A1922">
        <v>34</v>
      </c>
      <c r="B1922" s="1">
        <v>40586</v>
      </c>
      <c r="C1922">
        <v>2</v>
      </c>
      <c r="D1922">
        <v>2011</v>
      </c>
      <c r="E1922" s="2">
        <v>988742.08</v>
      </c>
      <c r="F1922">
        <v>0</v>
      </c>
      <c r="G1922" s="3">
        <v>39.75</v>
      </c>
      <c r="H1922" s="2">
        <v>3.1760000000000002</v>
      </c>
      <c r="I1922">
        <v>129.84596669999999</v>
      </c>
      <c r="J1922" s="3">
        <v>10.148</v>
      </c>
    </row>
    <row r="1923" spans="1:10" x14ac:dyDescent="0.25">
      <c r="A1923">
        <v>34</v>
      </c>
      <c r="B1923" s="1">
        <v>40798</v>
      </c>
      <c r="C1923">
        <v>9</v>
      </c>
      <c r="D1923">
        <v>2011</v>
      </c>
      <c r="E1923" s="2">
        <v>1084243.9099999999</v>
      </c>
      <c r="F1923">
        <v>0</v>
      </c>
      <c r="G1923" s="3">
        <v>24.69</v>
      </c>
      <c r="H1923" s="2">
        <v>3.153</v>
      </c>
      <c r="I1923">
        <v>129.85553329999999</v>
      </c>
      <c r="J1923" s="3">
        <v>10.148</v>
      </c>
    </row>
    <row r="1924" spans="1:10" x14ac:dyDescent="0.25">
      <c r="A1924">
        <v>34</v>
      </c>
      <c r="B1924" s="1">
        <v>41061</v>
      </c>
      <c r="C1924">
        <v>6</v>
      </c>
      <c r="D1924">
        <v>2012</v>
      </c>
      <c r="E1924" s="2">
        <v>953844.85</v>
      </c>
      <c r="F1924">
        <v>0</v>
      </c>
      <c r="G1924" s="3">
        <v>36.39</v>
      </c>
      <c r="H1924" s="2">
        <v>3.1579999999999999</v>
      </c>
      <c r="I1924">
        <v>130.15751610000001</v>
      </c>
      <c r="J1924" s="3">
        <v>9.6530000000000005</v>
      </c>
    </row>
    <row r="1925" spans="1:10" x14ac:dyDescent="0.25">
      <c r="A1925">
        <v>34</v>
      </c>
      <c r="B1925" s="1">
        <v>40970</v>
      </c>
      <c r="C1925">
        <v>3</v>
      </c>
      <c r="D1925">
        <v>2012</v>
      </c>
      <c r="E1925" s="2">
        <v>939367.14</v>
      </c>
      <c r="F1925">
        <v>0</v>
      </c>
      <c r="G1925" s="3">
        <v>38.64</v>
      </c>
      <c r="H1925" s="2">
        <v>3.3540000000000001</v>
      </c>
      <c r="I1925">
        <v>130.34967739999999</v>
      </c>
      <c r="J1925" s="3">
        <v>9.6530000000000005</v>
      </c>
    </row>
    <row r="1926" spans="1:10" x14ac:dyDescent="0.25">
      <c r="A1926">
        <v>34</v>
      </c>
      <c r="B1926" s="1">
        <v>41184</v>
      </c>
      <c r="C1926">
        <v>10</v>
      </c>
      <c r="D1926">
        <v>2012</v>
      </c>
      <c r="E1926" s="2">
        <v>1047658.09</v>
      </c>
      <c r="F1926">
        <v>1</v>
      </c>
      <c r="G1926" s="3">
        <v>36.700000000000003</v>
      </c>
      <c r="H1926" s="2">
        <v>3.411</v>
      </c>
      <c r="I1926">
        <v>130.3849032</v>
      </c>
      <c r="J1926" s="3">
        <v>9.6530000000000005</v>
      </c>
    </row>
    <row r="1927" spans="1:10" x14ac:dyDescent="0.25">
      <c r="A1927">
        <v>34</v>
      </c>
      <c r="B1927" s="1">
        <v>40942</v>
      </c>
      <c r="C1927">
        <v>2</v>
      </c>
      <c r="D1927">
        <v>2012</v>
      </c>
      <c r="E1927" s="2">
        <v>990263.7</v>
      </c>
      <c r="F1927">
        <v>0</v>
      </c>
      <c r="G1927" s="3">
        <v>42.74</v>
      </c>
      <c r="H1927" s="2">
        <v>3.6190000000000002</v>
      </c>
      <c r="I1927">
        <v>130.64579309999999</v>
      </c>
      <c r="J1927" s="3">
        <v>9.6530000000000005</v>
      </c>
    </row>
    <row r="1928" spans="1:10" x14ac:dyDescent="0.25">
      <c r="A1928">
        <v>34</v>
      </c>
      <c r="B1928" s="1">
        <v>41155</v>
      </c>
      <c r="C1928">
        <v>9</v>
      </c>
      <c r="D1928">
        <v>2012</v>
      </c>
      <c r="E1928" s="2">
        <v>976393.43</v>
      </c>
      <c r="F1928">
        <v>0</v>
      </c>
      <c r="G1928" s="3">
        <v>42.7</v>
      </c>
      <c r="H1928" s="2">
        <v>3.6669999999999998</v>
      </c>
      <c r="I1928">
        <v>130.74137930000001</v>
      </c>
      <c r="J1928" s="3">
        <v>9.6530000000000005</v>
      </c>
    </row>
    <row r="1929" spans="1:10" x14ac:dyDescent="0.25">
      <c r="A1929">
        <v>34</v>
      </c>
      <c r="B1929" s="1">
        <v>41064</v>
      </c>
      <c r="C1929">
        <v>6</v>
      </c>
      <c r="D1929">
        <v>2012</v>
      </c>
      <c r="E1929" s="2">
        <v>1091020.3700000001</v>
      </c>
      <c r="F1929">
        <v>0</v>
      </c>
      <c r="G1929" s="3">
        <v>54.42</v>
      </c>
      <c r="H1929" s="2">
        <v>3.8639999999999999</v>
      </c>
      <c r="I1929">
        <v>131.03754839999999</v>
      </c>
      <c r="J1929" s="3">
        <v>9.5749999999999993</v>
      </c>
    </row>
    <row r="1930" spans="1:10" x14ac:dyDescent="0.25">
      <c r="A1930">
        <v>34</v>
      </c>
      <c r="B1930" s="1">
        <v>41004</v>
      </c>
      <c r="C1930">
        <v>4</v>
      </c>
      <c r="D1930">
        <v>2012</v>
      </c>
      <c r="E1930" s="2">
        <v>991104.4</v>
      </c>
      <c r="F1930">
        <v>0</v>
      </c>
      <c r="G1930" s="3">
        <v>65.040000000000006</v>
      </c>
      <c r="H1930" s="2">
        <v>3.7469999999999999</v>
      </c>
      <c r="I1930">
        <v>131.136</v>
      </c>
      <c r="J1930" s="3">
        <v>9.5749999999999993</v>
      </c>
    </row>
    <row r="1931" spans="1:10" x14ac:dyDescent="0.25">
      <c r="A1931">
        <v>34</v>
      </c>
      <c r="B1931" s="1">
        <v>41218</v>
      </c>
      <c r="C1931">
        <v>11</v>
      </c>
      <c r="D1931">
        <v>2012</v>
      </c>
      <c r="E1931" s="2">
        <v>949625.52</v>
      </c>
      <c r="F1931">
        <v>0</v>
      </c>
      <c r="G1931" s="3">
        <v>61.92</v>
      </c>
      <c r="H1931" s="2">
        <v>3.6850000000000001</v>
      </c>
      <c r="I1931">
        <v>131.1453333</v>
      </c>
      <c r="J1931" s="3">
        <v>9.5749999999999993</v>
      </c>
    </row>
    <row r="1932" spans="1:10" x14ac:dyDescent="0.25">
      <c r="A1932">
        <v>34</v>
      </c>
      <c r="B1932" s="1">
        <v>40914</v>
      </c>
      <c r="C1932">
        <v>1</v>
      </c>
      <c r="D1932">
        <v>2012</v>
      </c>
      <c r="E1932" s="2">
        <v>977062.44</v>
      </c>
      <c r="F1932">
        <v>0</v>
      </c>
      <c r="G1932" s="3">
        <v>70.41</v>
      </c>
      <c r="H1932" s="2">
        <v>3.4830000000000001</v>
      </c>
      <c r="I1932">
        <v>130.95922580000001</v>
      </c>
      <c r="J1932" s="3">
        <v>9.5749999999999993</v>
      </c>
    </row>
    <row r="1933" spans="1:10" x14ac:dyDescent="0.25">
      <c r="A1933">
        <v>34</v>
      </c>
      <c r="B1933" s="1">
        <v>41127</v>
      </c>
      <c r="C1933">
        <v>8</v>
      </c>
      <c r="D1933">
        <v>2012</v>
      </c>
      <c r="E1933" s="2">
        <v>999511.29</v>
      </c>
      <c r="F1933">
        <v>0</v>
      </c>
      <c r="G1933" s="3">
        <v>75.349999999999994</v>
      </c>
      <c r="H1933" s="2">
        <v>3.4329999999999998</v>
      </c>
      <c r="I1933">
        <v>130.88967740000001</v>
      </c>
      <c r="J1933" s="3">
        <v>9.5749999999999993</v>
      </c>
    </row>
    <row r="1934" spans="1:10" x14ac:dyDescent="0.25">
      <c r="A1934">
        <v>34</v>
      </c>
      <c r="B1934" s="1">
        <v>41067</v>
      </c>
      <c r="C1934">
        <v>6</v>
      </c>
      <c r="D1934">
        <v>2012</v>
      </c>
      <c r="E1934" s="2">
        <v>1007867.68</v>
      </c>
      <c r="F1934">
        <v>0</v>
      </c>
      <c r="G1934" s="3">
        <v>77.95</v>
      </c>
      <c r="H1934" s="2">
        <v>3.1869999999999998</v>
      </c>
      <c r="I1934">
        <v>130.7196333</v>
      </c>
      <c r="J1934" s="3">
        <v>9.2850000000000001</v>
      </c>
    </row>
    <row r="1935" spans="1:10" x14ac:dyDescent="0.25">
      <c r="A1935">
        <v>34</v>
      </c>
      <c r="B1935" s="1">
        <v>40976</v>
      </c>
      <c r="C1935">
        <v>3</v>
      </c>
      <c r="D1935">
        <v>2012</v>
      </c>
      <c r="E1935" s="2">
        <v>973250.41</v>
      </c>
      <c r="F1935">
        <v>0</v>
      </c>
      <c r="G1935" s="3">
        <v>78.930000000000007</v>
      </c>
      <c r="H1935" s="2">
        <v>3.3740000000000001</v>
      </c>
      <c r="I1935">
        <v>130.73787100000001</v>
      </c>
      <c r="J1935" s="3">
        <v>9.2850000000000001</v>
      </c>
    </row>
    <row r="1936" spans="1:10" x14ac:dyDescent="0.25">
      <c r="A1936">
        <v>34</v>
      </c>
      <c r="B1936" s="1">
        <v>41190</v>
      </c>
      <c r="C1936">
        <v>10</v>
      </c>
      <c r="D1936">
        <v>2012</v>
      </c>
      <c r="E1936" s="2">
        <v>1004523.59</v>
      </c>
      <c r="F1936">
        <v>0</v>
      </c>
      <c r="G1936" s="3">
        <v>78.260000000000005</v>
      </c>
      <c r="H1936" s="2">
        <v>3.476</v>
      </c>
      <c r="I1936">
        <v>130.7561613</v>
      </c>
      <c r="J1936" s="3">
        <v>9.2850000000000001</v>
      </c>
    </row>
    <row r="1937" spans="1:10" x14ac:dyDescent="0.25">
      <c r="A1937">
        <v>34</v>
      </c>
      <c r="B1937" s="1">
        <v>41099</v>
      </c>
      <c r="C1937">
        <v>7</v>
      </c>
      <c r="D1937">
        <v>2012</v>
      </c>
      <c r="E1937" s="2">
        <v>976415.56</v>
      </c>
      <c r="F1937">
        <v>1</v>
      </c>
      <c r="G1937" s="3">
        <v>78.260000000000005</v>
      </c>
      <c r="H1937" s="2">
        <v>3.7090000000000001</v>
      </c>
      <c r="I1937">
        <v>130.9325484</v>
      </c>
      <c r="J1937" s="3">
        <v>9.2850000000000001</v>
      </c>
    </row>
    <row r="1938" spans="1:10" x14ac:dyDescent="0.25">
      <c r="A1938">
        <v>34</v>
      </c>
      <c r="B1938" s="1">
        <v>41039</v>
      </c>
      <c r="C1938">
        <v>5</v>
      </c>
      <c r="D1938">
        <v>2012</v>
      </c>
      <c r="E1938" s="2">
        <v>968896.68</v>
      </c>
      <c r="F1938">
        <v>0</v>
      </c>
      <c r="G1938" s="3">
        <v>65.41</v>
      </c>
      <c r="H1938" s="2">
        <v>3.62</v>
      </c>
      <c r="I1938">
        <v>131.0756667</v>
      </c>
      <c r="J1938" s="3">
        <v>8.8390000000000004</v>
      </c>
    </row>
    <row r="1939" spans="1:10" x14ac:dyDescent="0.25">
      <c r="A1939">
        <v>34</v>
      </c>
      <c r="B1939" s="1">
        <v>41253</v>
      </c>
      <c r="C1939">
        <v>12</v>
      </c>
      <c r="D1939">
        <v>2012</v>
      </c>
      <c r="E1939" s="2">
        <v>948613.39</v>
      </c>
      <c r="F1939">
        <v>0</v>
      </c>
      <c r="G1939" s="3">
        <v>59.94</v>
      </c>
      <c r="H1939" s="2">
        <v>3.6030000000000002</v>
      </c>
      <c r="I1939">
        <v>131.1083333</v>
      </c>
      <c r="J1939" s="3">
        <v>8.8390000000000004</v>
      </c>
    </row>
    <row r="1940" spans="1:10" x14ac:dyDescent="0.25">
      <c r="A1940">
        <v>35</v>
      </c>
      <c r="B1940" s="1">
        <v>40300</v>
      </c>
      <c r="C1940">
        <v>5</v>
      </c>
      <c r="D1940">
        <v>2010</v>
      </c>
      <c r="E1940" s="2">
        <v>1230613.5</v>
      </c>
      <c r="F1940">
        <v>0</v>
      </c>
      <c r="G1940" s="3">
        <v>27.19</v>
      </c>
      <c r="H1940" s="2">
        <v>2.7839999999999998</v>
      </c>
      <c r="I1940">
        <v>135.35246079999999</v>
      </c>
      <c r="J1940" s="3">
        <v>9.2620000000000005</v>
      </c>
    </row>
    <row r="1941" spans="1:10" x14ac:dyDescent="0.25">
      <c r="A1941">
        <v>35</v>
      </c>
      <c r="B1941" s="1">
        <v>40514</v>
      </c>
      <c r="C1941">
        <v>12</v>
      </c>
      <c r="D1941">
        <v>2010</v>
      </c>
      <c r="E1941" s="2">
        <v>1168815.31</v>
      </c>
      <c r="F1941">
        <v>1</v>
      </c>
      <c r="G1941" s="3">
        <v>29.81</v>
      </c>
      <c r="H1941" s="2">
        <v>2.7730000000000001</v>
      </c>
      <c r="I1941">
        <v>135.41130759999999</v>
      </c>
      <c r="J1941" s="3">
        <v>9.2620000000000005</v>
      </c>
    </row>
    <row r="1942" spans="1:10" x14ac:dyDescent="0.25">
      <c r="A1942">
        <v>35</v>
      </c>
      <c r="B1942" s="1">
        <v>40301</v>
      </c>
      <c r="C1942">
        <v>5</v>
      </c>
      <c r="D1942">
        <v>2010</v>
      </c>
      <c r="E1942" s="2">
        <v>1162610.27</v>
      </c>
      <c r="F1942">
        <v>0</v>
      </c>
      <c r="G1942" s="3">
        <v>38.07</v>
      </c>
      <c r="H1942" s="2">
        <v>2.7770000000000001</v>
      </c>
      <c r="I1942">
        <v>135.57326019999999</v>
      </c>
      <c r="J1942" s="3">
        <v>9.2620000000000005</v>
      </c>
    </row>
    <row r="1943" spans="1:10" x14ac:dyDescent="0.25">
      <c r="A1943">
        <v>35</v>
      </c>
      <c r="B1943" s="1">
        <v>40515</v>
      </c>
      <c r="C1943">
        <v>12</v>
      </c>
      <c r="D1943">
        <v>2010</v>
      </c>
      <c r="E1943" s="2">
        <v>1150344.3899999999</v>
      </c>
      <c r="F1943">
        <v>0</v>
      </c>
      <c r="G1943" s="3">
        <v>45.98</v>
      </c>
      <c r="H1943" s="2">
        <v>2.8180000000000001</v>
      </c>
      <c r="I1943">
        <v>135.62700129999999</v>
      </c>
      <c r="J1943" s="3">
        <v>9.2620000000000005</v>
      </c>
    </row>
    <row r="1944" spans="1:10" x14ac:dyDescent="0.25">
      <c r="A1944">
        <v>35</v>
      </c>
      <c r="B1944" s="1">
        <v>40213</v>
      </c>
      <c r="C1944">
        <v>2</v>
      </c>
      <c r="D1944">
        <v>2010</v>
      </c>
      <c r="E1944" s="2">
        <v>1189556.47</v>
      </c>
      <c r="F1944">
        <v>0</v>
      </c>
      <c r="G1944" s="3">
        <v>46.9</v>
      </c>
      <c r="H1944" s="2">
        <v>2.85</v>
      </c>
      <c r="I1944">
        <v>135.74649880000001</v>
      </c>
      <c r="J1944" s="3">
        <v>9.0510000000000002</v>
      </c>
    </row>
    <row r="1945" spans="1:10" x14ac:dyDescent="0.25">
      <c r="A1945">
        <v>35</v>
      </c>
      <c r="B1945" s="1">
        <v>40425</v>
      </c>
      <c r="C1945">
        <v>9</v>
      </c>
      <c r="D1945">
        <v>2010</v>
      </c>
      <c r="E1945" s="2">
        <v>1198014.97</v>
      </c>
      <c r="F1945">
        <v>0</v>
      </c>
      <c r="G1945" s="3">
        <v>62.62</v>
      </c>
      <c r="H1945" s="2">
        <v>2.8690000000000002</v>
      </c>
      <c r="I1945">
        <v>135.78563589999999</v>
      </c>
      <c r="J1945" s="3">
        <v>9.0510000000000002</v>
      </c>
    </row>
    <row r="1946" spans="1:10" x14ac:dyDescent="0.25">
      <c r="A1946">
        <v>35</v>
      </c>
      <c r="B1946" s="1">
        <v>40364</v>
      </c>
      <c r="C1946">
        <v>7</v>
      </c>
      <c r="D1946">
        <v>2010</v>
      </c>
      <c r="E1946" s="2">
        <v>1182099.8799999999</v>
      </c>
      <c r="F1946">
        <v>0</v>
      </c>
      <c r="G1946" s="3">
        <v>69.02</v>
      </c>
      <c r="H1946" s="2">
        <v>2.9660000000000002</v>
      </c>
      <c r="I1946">
        <v>135.96199999999999</v>
      </c>
      <c r="J1946" s="3">
        <v>9.0510000000000002</v>
      </c>
    </row>
    <row r="1947" spans="1:10" x14ac:dyDescent="0.25">
      <c r="A1947">
        <v>35</v>
      </c>
      <c r="B1947" s="1">
        <v>40274</v>
      </c>
      <c r="C1947">
        <v>4</v>
      </c>
      <c r="D1947">
        <v>2010</v>
      </c>
      <c r="E1947" s="2">
        <v>1282378.71</v>
      </c>
      <c r="F1947">
        <v>0</v>
      </c>
      <c r="G1947" s="3">
        <v>74.290000000000006</v>
      </c>
      <c r="H1947" s="2">
        <v>2.847</v>
      </c>
      <c r="I1947">
        <v>136.21816820000001</v>
      </c>
      <c r="J1947" s="3">
        <v>9.0510000000000002</v>
      </c>
    </row>
    <row r="1948" spans="1:10" x14ac:dyDescent="0.25">
      <c r="A1948">
        <v>35</v>
      </c>
      <c r="B1948" s="1">
        <v>40488</v>
      </c>
      <c r="C1948">
        <v>11</v>
      </c>
      <c r="D1948">
        <v>2010</v>
      </c>
      <c r="E1948" s="2">
        <v>1160412.71</v>
      </c>
      <c r="F1948">
        <v>0</v>
      </c>
      <c r="G1948" s="3">
        <v>68.900000000000006</v>
      </c>
      <c r="H1948" s="2">
        <v>2.8090000000000002</v>
      </c>
      <c r="I1948">
        <v>136.28742629999999</v>
      </c>
      <c r="J1948" s="3">
        <v>9.0510000000000002</v>
      </c>
    </row>
    <row r="1949" spans="1:10" x14ac:dyDescent="0.25">
      <c r="A1949">
        <v>35</v>
      </c>
      <c r="B1949" s="1">
        <v>40216</v>
      </c>
      <c r="C1949">
        <v>2</v>
      </c>
      <c r="D1949">
        <v>2010</v>
      </c>
      <c r="E1949" s="2">
        <v>1245827.08</v>
      </c>
      <c r="F1949">
        <v>0</v>
      </c>
      <c r="G1949" s="3">
        <v>76.25</v>
      </c>
      <c r="H1949" s="2">
        <v>2.8149999999999999</v>
      </c>
      <c r="I1949">
        <v>136.37228930000001</v>
      </c>
      <c r="J1949" s="3">
        <v>8.8610000000000007</v>
      </c>
    </row>
    <row r="1950" spans="1:10" x14ac:dyDescent="0.25">
      <c r="A1950">
        <v>35</v>
      </c>
      <c r="B1950" s="1">
        <v>40428</v>
      </c>
      <c r="C1950">
        <v>9</v>
      </c>
      <c r="D1950">
        <v>2010</v>
      </c>
      <c r="E1950" s="2">
        <v>1268766.76</v>
      </c>
      <c r="F1950">
        <v>0</v>
      </c>
      <c r="G1950" s="3">
        <v>82.69</v>
      </c>
      <c r="H1950" s="2">
        <v>2.7930000000000001</v>
      </c>
      <c r="I1950">
        <v>136.39626430000001</v>
      </c>
      <c r="J1950" s="3">
        <v>8.8610000000000007</v>
      </c>
    </row>
    <row r="1951" spans="1:10" x14ac:dyDescent="0.25">
      <c r="A1951">
        <v>35</v>
      </c>
      <c r="B1951" s="1">
        <v>40337</v>
      </c>
      <c r="C1951">
        <v>6</v>
      </c>
      <c r="D1951">
        <v>2010</v>
      </c>
      <c r="E1951" s="2">
        <v>1180183.3899999999</v>
      </c>
      <c r="F1951">
        <v>0</v>
      </c>
      <c r="G1951" s="3">
        <v>77.45</v>
      </c>
      <c r="H1951" s="2">
        <v>2.7839999999999998</v>
      </c>
      <c r="I1951">
        <v>136.4741118</v>
      </c>
      <c r="J1951" s="3">
        <v>8.8610000000000007</v>
      </c>
    </row>
    <row r="1952" spans="1:10" x14ac:dyDescent="0.25">
      <c r="A1952">
        <v>35</v>
      </c>
      <c r="B1952" s="1">
        <v>40246</v>
      </c>
      <c r="C1952">
        <v>3</v>
      </c>
      <c r="D1952">
        <v>2010</v>
      </c>
      <c r="E1952" s="2">
        <v>948660.79</v>
      </c>
      <c r="F1952">
        <v>0</v>
      </c>
      <c r="G1952" s="3">
        <v>78.52</v>
      </c>
      <c r="H1952" s="2">
        <v>2.7149999999999999</v>
      </c>
      <c r="I1952">
        <v>136.58911180000001</v>
      </c>
      <c r="J1952" s="3">
        <v>8.8610000000000007</v>
      </c>
    </row>
    <row r="1953" spans="1:10" x14ac:dyDescent="0.25">
      <c r="A1953">
        <v>35</v>
      </c>
      <c r="B1953" s="1">
        <v>40460</v>
      </c>
      <c r="C1953">
        <v>10</v>
      </c>
      <c r="D1953">
        <v>2010</v>
      </c>
      <c r="E1953" s="2">
        <v>961685.98</v>
      </c>
      <c r="F1953">
        <v>1</v>
      </c>
      <c r="G1953" s="3">
        <v>70.38</v>
      </c>
      <c r="H1953" s="2">
        <v>2.6989999999999998</v>
      </c>
      <c r="I1953">
        <v>136.62120849999999</v>
      </c>
      <c r="J1953" s="3">
        <v>8.8610000000000007</v>
      </c>
    </row>
    <row r="1954" spans="1:10" x14ac:dyDescent="0.25">
      <c r="A1954">
        <v>35</v>
      </c>
      <c r="B1954" s="1">
        <v>40188</v>
      </c>
      <c r="C1954">
        <v>1</v>
      </c>
      <c r="D1954">
        <v>2010</v>
      </c>
      <c r="E1954" s="2">
        <v>771065.21</v>
      </c>
      <c r="F1954">
        <v>0</v>
      </c>
      <c r="G1954" s="3">
        <v>70.19</v>
      </c>
      <c r="H1954" s="2">
        <v>2.7069999999999999</v>
      </c>
      <c r="I1954">
        <v>136.62975710000001</v>
      </c>
      <c r="J1954" s="3">
        <v>8.7629999999999999</v>
      </c>
    </row>
    <row r="1955" spans="1:10" x14ac:dyDescent="0.25">
      <c r="A1955">
        <v>35</v>
      </c>
      <c r="B1955" s="1">
        <v>40400</v>
      </c>
      <c r="C1955">
        <v>8</v>
      </c>
      <c r="D1955">
        <v>2010</v>
      </c>
      <c r="E1955" s="2">
        <v>874615.32</v>
      </c>
      <c r="F1955">
        <v>0</v>
      </c>
      <c r="G1955" s="3">
        <v>57.78</v>
      </c>
      <c r="H1955" s="2">
        <v>2.7639999999999998</v>
      </c>
      <c r="I1955">
        <v>136.6277321</v>
      </c>
      <c r="J1955" s="3">
        <v>8.7629999999999999</v>
      </c>
    </row>
    <row r="1956" spans="1:10" x14ac:dyDescent="0.25">
      <c r="A1956">
        <v>35</v>
      </c>
      <c r="B1956" s="1">
        <v>40309</v>
      </c>
      <c r="C1956">
        <v>5</v>
      </c>
      <c r="D1956">
        <v>2010</v>
      </c>
      <c r="E1956" s="2">
        <v>843755.12</v>
      </c>
      <c r="F1956">
        <v>0</v>
      </c>
      <c r="G1956" s="3">
        <v>45.91</v>
      </c>
      <c r="H1956" s="2">
        <v>2.9169999999999998</v>
      </c>
      <c r="I1956">
        <v>136.78622580000001</v>
      </c>
      <c r="J1956" s="3">
        <v>8.7629999999999999</v>
      </c>
    </row>
    <row r="1957" spans="1:10" x14ac:dyDescent="0.25">
      <c r="A1957">
        <v>35</v>
      </c>
      <c r="B1957" s="1">
        <v>40523</v>
      </c>
      <c r="C1957">
        <v>12</v>
      </c>
      <c r="D1957">
        <v>2010</v>
      </c>
      <c r="E1957" s="2">
        <v>870914.69</v>
      </c>
      <c r="F1957">
        <v>0</v>
      </c>
      <c r="G1957" s="3">
        <v>45.9</v>
      </c>
      <c r="H1957" s="2">
        <v>2.931</v>
      </c>
      <c r="I1957">
        <v>136.83490320000001</v>
      </c>
      <c r="J1957" s="3">
        <v>8.7629999999999999</v>
      </c>
    </row>
    <row r="1958" spans="1:10" x14ac:dyDescent="0.25">
      <c r="A1958">
        <v>35</v>
      </c>
      <c r="B1958" s="1">
        <v>40249</v>
      </c>
      <c r="C1958">
        <v>3</v>
      </c>
      <c r="D1958">
        <v>2010</v>
      </c>
      <c r="E1958" s="2">
        <v>982598.88</v>
      </c>
      <c r="F1958">
        <v>0</v>
      </c>
      <c r="G1958" s="3">
        <v>41.81</v>
      </c>
      <c r="H1958" s="2">
        <v>3.0459999999999998</v>
      </c>
      <c r="I1958">
        <v>136.60757140000001</v>
      </c>
      <c r="J1958" s="3">
        <v>8.7629999999999999</v>
      </c>
    </row>
    <row r="1959" spans="1:10" x14ac:dyDescent="0.25">
      <c r="A1959">
        <v>35</v>
      </c>
      <c r="B1959" s="1">
        <v>40463</v>
      </c>
      <c r="C1959">
        <v>10</v>
      </c>
      <c r="D1959">
        <v>2010</v>
      </c>
      <c r="E1959" s="2">
        <v>1108580.19</v>
      </c>
      <c r="F1959">
        <v>0</v>
      </c>
      <c r="G1959" s="3">
        <v>30.83</v>
      </c>
      <c r="H1959" s="2">
        <v>3.109</v>
      </c>
      <c r="I1959">
        <v>136.52557139999999</v>
      </c>
      <c r="J1959" s="3">
        <v>8.7629999999999999</v>
      </c>
    </row>
    <row r="1960" spans="1:10" x14ac:dyDescent="0.25">
      <c r="A1960">
        <v>35</v>
      </c>
      <c r="B1960" s="1">
        <v>40725</v>
      </c>
      <c r="C1960">
        <v>7</v>
      </c>
      <c r="D1960">
        <v>2011</v>
      </c>
      <c r="E1960" s="2">
        <v>649289.75</v>
      </c>
      <c r="F1960">
        <v>0</v>
      </c>
      <c r="G1960" s="3">
        <v>34.42</v>
      </c>
      <c r="H1960" s="2">
        <v>3.1930000000000001</v>
      </c>
      <c r="I1960">
        <v>136.73325689999999</v>
      </c>
      <c r="J1960" s="3">
        <v>8.5489999999999995</v>
      </c>
    </row>
    <row r="1961" spans="1:10" x14ac:dyDescent="0.25">
      <c r="A1961">
        <v>35</v>
      </c>
      <c r="B1961" s="1">
        <v>40635</v>
      </c>
      <c r="C1961">
        <v>4</v>
      </c>
      <c r="D1961">
        <v>2011</v>
      </c>
      <c r="E1961" s="2">
        <v>747577.05</v>
      </c>
      <c r="F1961">
        <v>0</v>
      </c>
      <c r="G1961" s="3">
        <v>28.7</v>
      </c>
      <c r="H1961" s="2">
        <v>3.2309999999999999</v>
      </c>
      <c r="I1961">
        <v>137.05424310000001</v>
      </c>
      <c r="J1961" s="3">
        <v>8.5489999999999995</v>
      </c>
    </row>
    <row r="1962" spans="1:10" x14ac:dyDescent="0.25">
      <c r="A1962">
        <v>35</v>
      </c>
      <c r="B1962" s="1">
        <v>40849</v>
      </c>
      <c r="C1962">
        <v>11</v>
      </c>
      <c r="D1962">
        <v>2011</v>
      </c>
      <c r="E1962" s="2">
        <v>859258.17</v>
      </c>
      <c r="F1962">
        <v>1</v>
      </c>
      <c r="G1962" s="3">
        <v>30.45</v>
      </c>
      <c r="H1962" s="2">
        <v>3.2389999999999999</v>
      </c>
      <c r="I1962">
        <v>137.13783179999999</v>
      </c>
      <c r="J1962" s="3">
        <v>8.5489999999999995</v>
      </c>
    </row>
    <row r="1963" spans="1:10" x14ac:dyDescent="0.25">
      <c r="A1963">
        <v>35</v>
      </c>
      <c r="B1963" s="1">
        <v>40636</v>
      </c>
      <c r="C1963">
        <v>4</v>
      </c>
      <c r="D1963">
        <v>2011</v>
      </c>
      <c r="E1963" s="2">
        <v>850448.54</v>
      </c>
      <c r="F1963">
        <v>0</v>
      </c>
      <c r="G1963" s="3">
        <v>36.99</v>
      </c>
      <c r="H1963" s="2">
        <v>3.4329999999999998</v>
      </c>
      <c r="I1963">
        <v>137.5017028</v>
      </c>
      <c r="J1963" s="3">
        <v>8.5489999999999995</v>
      </c>
    </row>
    <row r="1964" spans="1:10" x14ac:dyDescent="0.25">
      <c r="A1964">
        <v>35</v>
      </c>
      <c r="B1964" s="1">
        <v>40850</v>
      </c>
      <c r="C1964">
        <v>11</v>
      </c>
      <c r="D1964">
        <v>2011</v>
      </c>
      <c r="E1964" s="2">
        <v>830601.39</v>
      </c>
      <c r="F1964">
        <v>0</v>
      </c>
      <c r="G1964" s="3">
        <v>43.64</v>
      </c>
      <c r="H1964" s="2">
        <v>3.5819999999999999</v>
      </c>
      <c r="I1964">
        <v>137.62696170000001</v>
      </c>
      <c r="J1964" s="3">
        <v>8.5489999999999995</v>
      </c>
    </row>
    <row r="1965" spans="1:10" x14ac:dyDescent="0.25">
      <c r="A1965">
        <v>35</v>
      </c>
      <c r="B1965" s="1">
        <v>40547</v>
      </c>
      <c r="C1965">
        <v>1</v>
      </c>
      <c r="D1965">
        <v>2011</v>
      </c>
      <c r="E1965" s="2">
        <v>762620.94</v>
      </c>
      <c r="F1965">
        <v>0</v>
      </c>
      <c r="G1965" s="3">
        <v>37.270000000000003</v>
      </c>
      <c r="H1965" s="2">
        <v>3.6379999999999999</v>
      </c>
      <c r="I1965">
        <v>137.95589290000001</v>
      </c>
      <c r="J1965" s="3">
        <v>8.5120000000000005</v>
      </c>
    </row>
    <row r="1966" spans="1:10" x14ac:dyDescent="0.25">
      <c r="A1966">
        <v>35</v>
      </c>
      <c r="B1966" s="1">
        <v>40759</v>
      </c>
      <c r="C1966">
        <v>8</v>
      </c>
      <c r="D1966">
        <v>2011</v>
      </c>
      <c r="E1966" s="2">
        <v>813352.41</v>
      </c>
      <c r="F1966">
        <v>0</v>
      </c>
      <c r="G1966" s="3">
        <v>46.87</v>
      </c>
      <c r="H1966" s="2">
        <v>3.72</v>
      </c>
      <c r="I1966">
        <v>138.06389290000001</v>
      </c>
      <c r="J1966" s="3">
        <v>8.5120000000000005</v>
      </c>
    </row>
    <row r="1967" spans="1:10" x14ac:dyDescent="0.25">
      <c r="A1967">
        <v>35</v>
      </c>
      <c r="B1967" s="1">
        <v>40699</v>
      </c>
      <c r="C1967">
        <v>6</v>
      </c>
      <c r="D1967">
        <v>2011</v>
      </c>
      <c r="E1967" s="2">
        <v>835181.18</v>
      </c>
      <c r="F1967">
        <v>0</v>
      </c>
      <c r="G1967" s="3">
        <v>56.48</v>
      </c>
      <c r="H1967" s="2">
        <v>4.0460000000000003</v>
      </c>
      <c r="I1967">
        <v>138.41312020000001</v>
      </c>
      <c r="J1967" s="3">
        <v>8.5120000000000005</v>
      </c>
    </row>
    <row r="1968" spans="1:10" x14ac:dyDescent="0.25">
      <c r="A1968">
        <v>35</v>
      </c>
      <c r="B1968" s="1">
        <v>40608</v>
      </c>
      <c r="C1968">
        <v>3</v>
      </c>
      <c r="D1968">
        <v>2011</v>
      </c>
      <c r="E1968" s="2">
        <v>955466.84</v>
      </c>
      <c r="F1968">
        <v>0</v>
      </c>
      <c r="G1968" s="3">
        <v>74.17</v>
      </c>
      <c r="H1968" s="2">
        <v>3.9220000000000002</v>
      </c>
      <c r="I1968">
        <v>138.76946079999999</v>
      </c>
      <c r="J1968" s="3">
        <v>8.5120000000000005</v>
      </c>
    </row>
    <row r="1969" spans="1:10" x14ac:dyDescent="0.25">
      <c r="A1969">
        <v>35</v>
      </c>
      <c r="B1969" s="1">
        <v>40822</v>
      </c>
      <c r="C1969">
        <v>10</v>
      </c>
      <c r="D1969">
        <v>2011</v>
      </c>
      <c r="E1969" s="2">
        <v>855130.21</v>
      </c>
      <c r="F1969">
        <v>0</v>
      </c>
      <c r="G1969" s="3">
        <v>73.260000000000005</v>
      </c>
      <c r="H1969" s="2">
        <v>3.8809999999999998</v>
      </c>
      <c r="I1969">
        <v>138.86063820000001</v>
      </c>
      <c r="J1969" s="3">
        <v>8.5120000000000005</v>
      </c>
    </row>
    <row r="1970" spans="1:10" x14ac:dyDescent="0.25">
      <c r="A1970">
        <v>35</v>
      </c>
      <c r="B1970" s="1">
        <v>40550</v>
      </c>
      <c r="C1970">
        <v>1</v>
      </c>
      <c r="D1970">
        <v>2011</v>
      </c>
      <c r="E1970" s="2">
        <v>874453.88</v>
      </c>
      <c r="F1970">
        <v>0</v>
      </c>
      <c r="G1970" s="3">
        <v>73.760000000000005</v>
      </c>
      <c r="H1970" s="2">
        <v>3.7480000000000002</v>
      </c>
      <c r="I1970">
        <v>139.36375000000001</v>
      </c>
      <c r="J1970" s="3">
        <v>8.6839999999999993</v>
      </c>
    </row>
    <row r="1971" spans="1:10" x14ac:dyDescent="0.25">
      <c r="A1971">
        <v>35</v>
      </c>
      <c r="B1971" s="1">
        <v>40762</v>
      </c>
      <c r="C1971">
        <v>8</v>
      </c>
      <c r="D1971">
        <v>2011</v>
      </c>
      <c r="E1971" s="2">
        <v>827717.85</v>
      </c>
      <c r="F1971">
        <v>0</v>
      </c>
      <c r="G1971" s="3">
        <v>76.87</v>
      </c>
      <c r="H1971" s="2">
        <v>3.7109999999999999</v>
      </c>
      <c r="I1971">
        <v>139.54420830000001</v>
      </c>
      <c r="J1971" s="3">
        <v>8.6839999999999993</v>
      </c>
    </row>
    <row r="1972" spans="1:10" x14ac:dyDescent="0.25">
      <c r="A1972">
        <v>35</v>
      </c>
      <c r="B1972" s="1">
        <v>40671</v>
      </c>
      <c r="C1972">
        <v>5</v>
      </c>
      <c r="D1972">
        <v>2011</v>
      </c>
      <c r="E1972" s="2">
        <v>826820.71</v>
      </c>
      <c r="F1972">
        <v>0</v>
      </c>
      <c r="G1972" s="3">
        <v>78.14</v>
      </c>
      <c r="H1972" s="2">
        <v>3.8420000000000001</v>
      </c>
      <c r="I1972">
        <v>139.98964860000001</v>
      </c>
      <c r="J1972" s="3">
        <v>8.6839999999999993</v>
      </c>
    </row>
    <row r="1973" spans="1:10" x14ac:dyDescent="0.25">
      <c r="A1973">
        <v>35</v>
      </c>
      <c r="B1973" s="1">
        <v>40885</v>
      </c>
      <c r="C1973">
        <v>12</v>
      </c>
      <c r="D1973">
        <v>2011</v>
      </c>
      <c r="E1973" s="2">
        <v>819911.89</v>
      </c>
      <c r="F1973">
        <v>0</v>
      </c>
      <c r="G1973" s="3">
        <v>76.67</v>
      </c>
      <c r="H1973" s="2">
        <v>3.8119999999999998</v>
      </c>
      <c r="I1973">
        <v>140.0859873</v>
      </c>
      <c r="J1973" s="3">
        <v>8.6839999999999993</v>
      </c>
    </row>
    <row r="1974" spans="1:10" x14ac:dyDescent="0.25">
      <c r="A1974">
        <v>35</v>
      </c>
      <c r="B1974" s="1">
        <v>40583</v>
      </c>
      <c r="C1974">
        <v>2</v>
      </c>
      <c r="D1974">
        <v>2011</v>
      </c>
      <c r="E1974" s="2">
        <v>813486.55</v>
      </c>
      <c r="F1974">
        <v>0</v>
      </c>
      <c r="G1974" s="3">
        <v>71.44</v>
      </c>
      <c r="H1974" s="2">
        <v>3.7029999999999998</v>
      </c>
      <c r="I1974">
        <v>140.19698500000001</v>
      </c>
      <c r="J1974" s="3">
        <v>8.6839999999999993</v>
      </c>
    </row>
    <row r="1975" spans="1:10" x14ac:dyDescent="0.25">
      <c r="A1975">
        <v>35</v>
      </c>
      <c r="B1975" s="1">
        <v>40795</v>
      </c>
      <c r="C1975">
        <v>9</v>
      </c>
      <c r="D1975">
        <v>2011</v>
      </c>
      <c r="E1975" s="2">
        <v>922440.64</v>
      </c>
      <c r="F1975">
        <v>1</v>
      </c>
      <c r="G1975" s="3">
        <v>70.930000000000007</v>
      </c>
      <c r="H1975" s="2">
        <v>3.738</v>
      </c>
      <c r="I1975">
        <v>140.23101729999999</v>
      </c>
      <c r="J1975" s="3">
        <v>8.6839999999999993</v>
      </c>
    </row>
    <row r="1976" spans="1:10" x14ac:dyDescent="0.25">
      <c r="A1976">
        <v>35</v>
      </c>
      <c r="B1976" s="1">
        <v>40734</v>
      </c>
      <c r="C1976">
        <v>7</v>
      </c>
      <c r="D1976">
        <v>2011</v>
      </c>
      <c r="E1976" s="2">
        <v>791637.53</v>
      </c>
      <c r="F1976">
        <v>0</v>
      </c>
      <c r="G1976" s="3">
        <v>56.91</v>
      </c>
      <c r="H1976" s="2">
        <v>3.5830000000000002</v>
      </c>
      <c r="I1976">
        <v>140.43475000000001</v>
      </c>
      <c r="J1976" s="3">
        <v>8.7449999999999992</v>
      </c>
    </row>
    <row r="1977" spans="1:10" x14ac:dyDescent="0.25">
      <c r="A1977">
        <v>35</v>
      </c>
      <c r="B1977" s="1">
        <v>40644</v>
      </c>
      <c r="C1977">
        <v>4</v>
      </c>
      <c r="D1977">
        <v>2011</v>
      </c>
      <c r="E1977" s="2">
        <v>653468.75</v>
      </c>
      <c r="F1977">
        <v>0</v>
      </c>
      <c r="G1977" s="3">
        <v>44.46</v>
      </c>
      <c r="H1977" s="2">
        <v>3.5510000000000002</v>
      </c>
      <c r="I1977">
        <v>140.42797580000001</v>
      </c>
      <c r="J1977" s="3">
        <v>8.7449999999999992</v>
      </c>
    </row>
    <row r="1978" spans="1:10" x14ac:dyDescent="0.25">
      <c r="A1978">
        <v>35</v>
      </c>
      <c r="B1978" s="1">
        <v>40858</v>
      </c>
      <c r="C1978">
        <v>11</v>
      </c>
      <c r="D1978">
        <v>2011</v>
      </c>
      <c r="E1978" s="2">
        <v>880576.33</v>
      </c>
      <c r="F1978">
        <v>0</v>
      </c>
      <c r="G1978" s="3">
        <v>49.69</v>
      </c>
      <c r="H1978" s="2">
        <v>3.53</v>
      </c>
      <c r="I1978">
        <v>140.4111613</v>
      </c>
      <c r="J1978" s="3">
        <v>8.7449999999999992</v>
      </c>
    </row>
    <row r="1979" spans="1:10" x14ac:dyDescent="0.25">
      <c r="A1979">
        <v>35</v>
      </c>
      <c r="B1979" s="1">
        <v>40586</v>
      </c>
      <c r="C1979">
        <v>2</v>
      </c>
      <c r="D1979">
        <v>2011</v>
      </c>
      <c r="E1979" s="2">
        <v>903606.03</v>
      </c>
      <c r="F1979">
        <v>0</v>
      </c>
      <c r="G1979" s="3">
        <v>50.55</v>
      </c>
      <c r="H1979" s="2">
        <v>3.452</v>
      </c>
      <c r="I1979">
        <v>140.4307857</v>
      </c>
      <c r="J1979" s="3">
        <v>8.7449999999999992</v>
      </c>
    </row>
    <row r="1980" spans="1:10" x14ac:dyDescent="0.25">
      <c r="A1980">
        <v>35</v>
      </c>
      <c r="B1980" s="1">
        <v>40798</v>
      </c>
      <c r="C1980">
        <v>9</v>
      </c>
      <c r="D1980">
        <v>2011</v>
      </c>
      <c r="E1980" s="2">
        <v>948964.99</v>
      </c>
      <c r="F1980">
        <v>0</v>
      </c>
      <c r="G1980" s="3">
        <v>46.28</v>
      </c>
      <c r="H1980" s="2">
        <v>3.415</v>
      </c>
      <c r="I1980">
        <v>140.43978569999999</v>
      </c>
      <c r="J1980" s="3">
        <v>8.7449999999999992</v>
      </c>
    </row>
    <row r="1981" spans="1:10" x14ac:dyDescent="0.25">
      <c r="A1981">
        <v>35</v>
      </c>
      <c r="B1981" s="1">
        <v>41061</v>
      </c>
      <c r="C1981">
        <v>6</v>
      </c>
      <c r="D1981">
        <v>2012</v>
      </c>
      <c r="E1981" s="2">
        <v>671708.09</v>
      </c>
      <c r="F1981">
        <v>0</v>
      </c>
      <c r="G1981" s="3">
        <v>35.799999999999997</v>
      </c>
      <c r="H1981" s="2">
        <v>3.4220000000000002</v>
      </c>
      <c r="I1981">
        <v>140.64613589999999</v>
      </c>
      <c r="J1981" s="3">
        <v>8.7439999999999998</v>
      </c>
    </row>
    <row r="1982" spans="1:10" x14ac:dyDescent="0.25">
      <c r="A1982">
        <v>35</v>
      </c>
      <c r="B1982" s="1">
        <v>40970</v>
      </c>
      <c r="C1982">
        <v>3</v>
      </c>
      <c r="D1982">
        <v>2012</v>
      </c>
      <c r="E1982" s="2">
        <v>746901.03</v>
      </c>
      <c r="F1982">
        <v>0</v>
      </c>
      <c r="G1982" s="3">
        <v>42.52</v>
      </c>
      <c r="H1982" s="2">
        <v>3.617</v>
      </c>
      <c r="I1982">
        <v>141.01619239999999</v>
      </c>
      <c r="J1982" s="3">
        <v>8.7439999999999998</v>
      </c>
    </row>
    <row r="1983" spans="1:10" x14ac:dyDescent="0.25">
      <c r="A1983">
        <v>35</v>
      </c>
      <c r="B1983" s="1">
        <v>41184</v>
      </c>
      <c r="C1983">
        <v>10</v>
      </c>
      <c r="D1983">
        <v>2012</v>
      </c>
      <c r="E1983" s="2">
        <v>849779.14</v>
      </c>
      <c r="F1983">
        <v>1</v>
      </c>
      <c r="G1983" s="3">
        <v>37.86</v>
      </c>
      <c r="H1983" s="2">
        <v>3.64</v>
      </c>
      <c r="I1983">
        <v>141.11998270000001</v>
      </c>
      <c r="J1983" s="3">
        <v>8.7439999999999998</v>
      </c>
    </row>
    <row r="1984" spans="1:10" x14ac:dyDescent="0.25">
      <c r="A1984">
        <v>35</v>
      </c>
      <c r="B1984" s="1">
        <v>40942</v>
      </c>
      <c r="C1984">
        <v>2</v>
      </c>
      <c r="D1984">
        <v>2012</v>
      </c>
      <c r="E1984" s="2">
        <v>766571.1</v>
      </c>
      <c r="F1984">
        <v>0</v>
      </c>
      <c r="G1984" s="3">
        <v>40.07</v>
      </c>
      <c r="H1984" s="2">
        <v>3.8159999999999998</v>
      </c>
      <c r="I1984">
        <v>141.3875357</v>
      </c>
      <c r="J1984" s="3">
        <v>8.7439999999999998</v>
      </c>
    </row>
    <row r="1985" spans="1:10" x14ac:dyDescent="0.25">
      <c r="A1985">
        <v>35</v>
      </c>
      <c r="B1985" s="1">
        <v>41155</v>
      </c>
      <c r="C1985">
        <v>9</v>
      </c>
      <c r="D1985">
        <v>2012</v>
      </c>
      <c r="E1985" s="2">
        <v>796351.35</v>
      </c>
      <c r="F1985">
        <v>0</v>
      </c>
      <c r="G1985" s="3">
        <v>44.32</v>
      </c>
      <c r="H1985" s="2">
        <v>3.8479999999999999</v>
      </c>
      <c r="I1985">
        <v>141.4742857</v>
      </c>
      <c r="J1985" s="3">
        <v>8.7439999999999998</v>
      </c>
    </row>
    <row r="1986" spans="1:10" x14ac:dyDescent="0.25">
      <c r="A1986">
        <v>35</v>
      </c>
      <c r="B1986" s="1">
        <v>41064</v>
      </c>
      <c r="C1986">
        <v>6</v>
      </c>
      <c r="D1986">
        <v>2012</v>
      </c>
      <c r="E1986" s="2">
        <v>860293.46</v>
      </c>
      <c r="F1986">
        <v>0</v>
      </c>
      <c r="G1986" s="3">
        <v>48.73</v>
      </c>
      <c r="H1986" s="2">
        <v>3.996</v>
      </c>
      <c r="I1986">
        <v>141.7712396</v>
      </c>
      <c r="J1986" s="3">
        <v>8.8759999999999994</v>
      </c>
    </row>
    <row r="1987" spans="1:10" x14ac:dyDescent="0.25">
      <c r="A1987">
        <v>35</v>
      </c>
      <c r="B1987" s="1">
        <v>41004</v>
      </c>
      <c r="C1987">
        <v>4</v>
      </c>
      <c r="D1987">
        <v>2012</v>
      </c>
      <c r="E1987" s="2">
        <v>772036.6</v>
      </c>
      <c r="F1987">
        <v>0</v>
      </c>
      <c r="G1987" s="3">
        <v>53.68</v>
      </c>
      <c r="H1987" s="2">
        <v>3.9510000000000001</v>
      </c>
      <c r="I1987">
        <v>142.01779289999999</v>
      </c>
      <c r="J1987" s="3">
        <v>8.8759999999999994</v>
      </c>
    </row>
    <row r="1988" spans="1:10" x14ac:dyDescent="0.25">
      <c r="A1988">
        <v>35</v>
      </c>
      <c r="B1988" s="1">
        <v>41218</v>
      </c>
      <c r="C1988">
        <v>11</v>
      </c>
      <c r="D1988">
        <v>2012</v>
      </c>
      <c r="E1988" s="2">
        <v>802383.63</v>
      </c>
      <c r="F1988">
        <v>0</v>
      </c>
      <c r="G1988" s="3">
        <v>58.97</v>
      </c>
      <c r="H1988" s="2">
        <v>3.8889999999999998</v>
      </c>
      <c r="I1988">
        <v>142.0759262</v>
      </c>
      <c r="J1988" s="3">
        <v>8.8759999999999994</v>
      </c>
    </row>
    <row r="1989" spans="1:10" x14ac:dyDescent="0.25">
      <c r="A1989">
        <v>35</v>
      </c>
      <c r="B1989" s="1">
        <v>40914</v>
      </c>
      <c r="C1989">
        <v>1</v>
      </c>
      <c r="D1989">
        <v>2012</v>
      </c>
      <c r="E1989" s="2">
        <v>932195.52</v>
      </c>
      <c r="F1989">
        <v>0</v>
      </c>
      <c r="G1989" s="3">
        <v>73.400000000000006</v>
      </c>
      <c r="H1989" s="2">
        <v>3.742</v>
      </c>
      <c r="I1989">
        <v>142.10954380000001</v>
      </c>
      <c r="J1989" s="3">
        <v>8.8759999999999994</v>
      </c>
    </row>
    <row r="1990" spans="1:10" x14ac:dyDescent="0.25">
      <c r="A1990">
        <v>35</v>
      </c>
      <c r="B1990" s="1">
        <v>41127</v>
      </c>
      <c r="C1990">
        <v>8</v>
      </c>
      <c r="D1990">
        <v>2012</v>
      </c>
      <c r="E1990" s="2">
        <v>873415.01</v>
      </c>
      <c r="F1990">
        <v>0</v>
      </c>
      <c r="G1990" s="3">
        <v>64.05</v>
      </c>
      <c r="H1990" s="2">
        <v>3.6890000000000001</v>
      </c>
      <c r="I1990">
        <v>142.11580989999999</v>
      </c>
      <c r="J1990" s="3">
        <v>8.8759999999999994</v>
      </c>
    </row>
    <row r="1991" spans="1:10" x14ac:dyDescent="0.25">
      <c r="A1991">
        <v>35</v>
      </c>
      <c r="B1991" s="1">
        <v>41067</v>
      </c>
      <c r="C1991">
        <v>6</v>
      </c>
      <c r="D1991">
        <v>2012</v>
      </c>
      <c r="E1991" s="2">
        <v>985479.64</v>
      </c>
      <c r="F1991">
        <v>0</v>
      </c>
      <c r="G1991" s="3">
        <v>82.08</v>
      </c>
      <c r="H1991" s="2">
        <v>3.4750000000000001</v>
      </c>
      <c r="I1991">
        <v>142.22342979999999</v>
      </c>
      <c r="J1991" s="3">
        <v>8.8390000000000004</v>
      </c>
    </row>
    <row r="1992" spans="1:10" x14ac:dyDescent="0.25">
      <c r="A1992">
        <v>35</v>
      </c>
      <c r="B1992" s="1">
        <v>40976</v>
      </c>
      <c r="C1992">
        <v>3</v>
      </c>
      <c r="D1992">
        <v>2012</v>
      </c>
      <c r="E1992" s="2">
        <v>866216.36</v>
      </c>
      <c r="F1992">
        <v>0</v>
      </c>
      <c r="G1992" s="3">
        <v>75.22</v>
      </c>
      <c r="H1992" s="2">
        <v>3.6539999999999999</v>
      </c>
      <c r="I1992">
        <v>142.19162789999999</v>
      </c>
      <c r="J1992" s="3">
        <v>8.8390000000000004</v>
      </c>
    </row>
    <row r="1993" spans="1:10" x14ac:dyDescent="0.25">
      <c r="A1993">
        <v>35</v>
      </c>
      <c r="B1993" s="1">
        <v>41190</v>
      </c>
      <c r="C1993">
        <v>10</v>
      </c>
      <c r="D1993">
        <v>2012</v>
      </c>
      <c r="E1993" s="2">
        <v>888368.8</v>
      </c>
      <c r="F1993">
        <v>0</v>
      </c>
      <c r="G1993" s="3">
        <v>78.44</v>
      </c>
      <c r="H1993" s="2">
        <v>3.722</v>
      </c>
      <c r="I1993">
        <v>142.17056339999999</v>
      </c>
      <c r="J1993" s="3">
        <v>8.8390000000000004</v>
      </c>
    </row>
    <row r="1994" spans="1:10" x14ac:dyDescent="0.25">
      <c r="A1994">
        <v>35</v>
      </c>
      <c r="B1994" s="1">
        <v>41099</v>
      </c>
      <c r="C1994">
        <v>7</v>
      </c>
      <c r="D1994">
        <v>2012</v>
      </c>
      <c r="E1994" s="2">
        <v>984833.35</v>
      </c>
      <c r="F1994">
        <v>1</v>
      </c>
      <c r="G1994" s="3">
        <v>76</v>
      </c>
      <c r="H1994" s="2">
        <v>3.911</v>
      </c>
      <c r="I1994">
        <v>142.500303</v>
      </c>
      <c r="J1994" s="3">
        <v>8.8390000000000004</v>
      </c>
    </row>
    <row r="1995" spans="1:10" x14ac:dyDescent="0.25">
      <c r="A1995">
        <v>35</v>
      </c>
      <c r="B1995" s="1">
        <v>41039</v>
      </c>
      <c r="C1995">
        <v>5</v>
      </c>
      <c r="D1995">
        <v>2012</v>
      </c>
      <c r="E1995" s="2">
        <v>866064.4</v>
      </c>
      <c r="F1995">
        <v>0</v>
      </c>
      <c r="G1995" s="3">
        <v>64.5</v>
      </c>
      <c r="H1995" s="2">
        <v>3.9849999999999999</v>
      </c>
      <c r="I1995">
        <v>142.85168329999999</v>
      </c>
      <c r="J1995" s="3">
        <v>8.6649999999999991</v>
      </c>
    </row>
    <row r="1996" spans="1:10" x14ac:dyDescent="0.25">
      <c r="A1996">
        <v>35</v>
      </c>
      <c r="B1996" s="1">
        <v>41253</v>
      </c>
      <c r="C1996">
        <v>12</v>
      </c>
      <c r="D1996">
        <v>2012</v>
      </c>
      <c r="E1996" s="2">
        <v>873643.14</v>
      </c>
      <c r="F1996">
        <v>0</v>
      </c>
      <c r="G1996" s="3">
        <v>55.4</v>
      </c>
      <c r="H1996" s="2">
        <v>4</v>
      </c>
      <c r="I1996">
        <v>142.93761670000001</v>
      </c>
      <c r="J1996" s="3">
        <v>8.6649999999999991</v>
      </c>
    </row>
    <row r="1997" spans="1:10" x14ac:dyDescent="0.25">
      <c r="A1997">
        <v>36</v>
      </c>
      <c r="B1997" s="1">
        <v>40300</v>
      </c>
      <c r="C1997">
        <v>5</v>
      </c>
      <c r="D1997">
        <v>2010</v>
      </c>
      <c r="E1997" s="2">
        <v>467546.74</v>
      </c>
      <c r="F1997">
        <v>0</v>
      </c>
      <c r="G1997" s="3">
        <v>45.97</v>
      </c>
      <c r="H1997" s="2">
        <v>2.5449999999999999</v>
      </c>
      <c r="I1997">
        <v>209.85296629999999</v>
      </c>
      <c r="J1997" s="3">
        <v>8.5540000000000003</v>
      </c>
    </row>
    <row r="1998" spans="1:10" x14ac:dyDescent="0.25">
      <c r="A1998">
        <v>36</v>
      </c>
      <c r="B1998" s="1">
        <v>40514</v>
      </c>
      <c r="C1998">
        <v>12</v>
      </c>
      <c r="D1998">
        <v>2010</v>
      </c>
      <c r="E1998" s="2">
        <v>469563.7</v>
      </c>
      <c r="F1998">
        <v>1</v>
      </c>
      <c r="G1998" s="3">
        <v>46.11</v>
      </c>
      <c r="H1998" s="2">
        <v>2.5390000000000001</v>
      </c>
      <c r="I1998">
        <v>209.9970208</v>
      </c>
      <c r="J1998" s="3">
        <v>8.5540000000000003</v>
      </c>
    </row>
    <row r="1999" spans="1:10" x14ac:dyDescent="0.25">
      <c r="A1999">
        <v>36</v>
      </c>
      <c r="B1999" s="1">
        <v>40301</v>
      </c>
      <c r="C1999">
        <v>5</v>
      </c>
      <c r="D1999">
        <v>2010</v>
      </c>
      <c r="E1999" s="2">
        <v>480203.43</v>
      </c>
      <c r="F1999">
        <v>0</v>
      </c>
      <c r="G1999" s="3">
        <v>51.33</v>
      </c>
      <c r="H1999" s="2">
        <v>2.5739999999999998</v>
      </c>
      <c r="I1999">
        <v>210.10927459999999</v>
      </c>
      <c r="J1999" s="3">
        <v>8.5540000000000003</v>
      </c>
    </row>
    <row r="2000" spans="1:10" x14ac:dyDescent="0.25">
      <c r="A2000">
        <v>36</v>
      </c>
      <c r="B2000" s="1">
        <v>40515</v>
      </c>
      <c r="C2000">
        <v>12</v>
      </c>
      <c r="D2000">
        <v>2010</v>
      </c>
      <c r="E2000" s="2">
        <v>441434.2</v>
      </c>
      <c r="F2000">
        <v>0</v>
      </c>
      <c r="G2000" s="3">
        <v>61.96</v>
      </c>
      <c r="H2000" s="2">
        <v>2.6190000000000002</v>
      </c>
      <c r="I2000">
        <v>210.14136070000001</v>
      </c>
      <c r="J2000" s="3">
        <v>8.5540000000000003</v>
      </c>
    </row>
    <row r="2001" spans="1:10" x14ac:dyDescent="0.25">
      <c r="A2001">
        <v>36</v>
      </c>
      <c r="B2001" s="1">
        <v>40213</v>
      </c>
      <c r="C2001">
        <v>2</v>
      </c>
      <c r="D2001">
        <v>2010</v>
      </c>
      <c r="E2001" s="2">
        <v>435972.82</v>
      </c>
      <c r="F2001">
        <v>0</v>
      </c>
      <c r="G2001" s="3">
        <v>63.43</v>
      </c>
      <c r="H2001" s="2">
        <v>2.7080000000000002</v>
      </c>
      <c r="I2001">
        <v>209.59386559999999</v>
      </c>
      <c r="J2001" s="3">
        <v>8.4640000000000004</v>
      </c>
    </row>
    <row r="2002" spans="1:10" x14ac:dyDescent="0.25">
      <c r="A2002">
        <v>36</v>
      </c>
      <c r="B2002" s="1">
        <v>40425</v>
      </c>
      <c r="C2002">
        <v>9</v>
      </c>
      <c r="D2002">
        <v>2010</v>
      </c>
      <c r="E2002" s="2">
        <v>453016.91</v>
      </c>
      <c r="F2002">
        <v>0</v>
      </c>
      <c r="G2002" s="3">
        <v>68.540000000000006</v>
      </c>
      <c r="H2002" s="2">
        <v>2.7429999999999999</v>
      </c>
      <c r="I2002">
        <v>209.40063799999999</v>
      </c>
      <c r="J2002" s="3">
        <v>8.4640000000000004</v>
      </c>
    </row>
    <row r="2003" spans="1:10" x14ac:dyDescent="0.25">
      <c r="A2003">
        <v>36</v>
      </c>
      <c r="B2003" s="1">
        <v>40364</v>
      </c>
      <c r="C2003">
        <v>7</v>
      </c>
      <c r="D2003">
        <v>2010</v>
      </c>
      <c r="E2003" s="2">
        <v>489372.02</v>
      </c>
      <c r="F2003">
        <v>0</v>
      </c>
      <c r="G2003" s="3">
        <v>75.56</v>
      </c>
      <c r="H2003" s="2">
        <v>2.786</v>
      </c>
      <c r="I2003">
        <v>209.12158669999999</v>
      </c>
      <c r="J2003" s="3">
        <v>8.4640000000000004</v>
      </c>
    </row>
    <row r="2004" spans="1:10" x14ac:dyDescent="0.25">
      <c r="A2004">
        <v>36</v>
      </c>
      <c r="B2004" s="1">
        <v>40274</v>
      </c>
      <c r="C2004">
        <v>4</v>
      </c>
      <c r="D2004">
        <v>2010</v>
      </c>
      <c r="E2004" s="2">
        <v>471088.88</v>
      </c>
      <c r="F2004">
        <v>0</v>
      </c>
      <c r="G2004" s="3">
        <v>79.930000000000007</v>
      </c>
      <c r="H2004" s="2">
        <v>2.6640000000000001</v>
      </c>
      <c r="I2004">
        <v>209.93980909999999</v>
      </c>
      <c r="J2004" s="3">
        <v>8.4640000000000004</v>
      </c>
    </row>
    <row r="2005" spans="1:10" x14ac:dyDescent="0.25">
      <c r="A2005">
        <v>36</v>
      </c>
      <c r="B2005" s="1">
        <v>40488</v>
      </c>
      <c r="C2005">
        <v>11</v>
      </c>
      <c r="D2005">
        <v>2010</v>
      </c>
      <c r="E2005" s="2">
        <v>467711.18</v>
      </c>
      <c r="F2005">
        <v>0</v>
      </c>
      <c r="G2005" s="3">
        <v>82.3</v>
      </c>
      <c r="H2005" s="2">
        <v>2.6150000000000002</v>
      </c>
      <c r="I2005">
        <v>210.2135668</v>
      </c>
      <c r="J2005" s="3">
        <v>8.4640000000000004</v>
      </c>
    </row>
    <row r="2006" spans="1:10" x14ac:dyDescent="0.25">
      <c r="A2006">
        <v>36</v>
      </c>
      <c r="B2006" s="1">
        <v>40216</v>
      </c>
      <c r="C2006">
        <v>2</v>
      </c>
      <c r="D2006">
        <v>2010</v>
      </c>
      <c r="E2006" s="2">
        <v>434252.15</v>
      </c>
      <c r="F2006">
        <v>0</v>
      </c>
      <c r="G2006" s="3">
        <v>81.849999999999994</v>
      </c>
      <c r="H2006" s="2">
        <v>2.6059999999999999</v>
      </c>
      <c r="I2006">
        <v>209.984205</v>
      </c>
      <c r="J2006" s="3">
        <v>8.36</v>
      </c>
    </row>
    <row r="2007" spans="1:10" x14ac:dyDescent="0.25">
      <c r="A2007">
        <v>36</v>
      </c>
      <c r="B2007" s="1">
        <v>40428</v>
      </c>
      <c r="C2007">
        <v>9</v>
      </c>
      <c r="D2007">
        <v>2010</v>
      </c>
      <c r="E2007" s="2">
        <v>471713.59</v>
      </c>
      <c r="F2007">
        <v>0</v>
      </c>
      <c r="G2007" s="3">
        <v>81.739999999999995</v>
      </c>
      <c r="H2007" s="2">
        <v>2.5960000000000001</v>
      </c>
      <c r="I2007">
        <v>209.8708867</v>
      </c>
      <c r="J2007" s="3">
        <v>8.36</v>
      </c>
    </row>
    <row r="2008" spans="1:10" x14ac:dyDescent="0.25">
      <c r="A2008">
        <v>36</v>
      </c>
      <c r="B2008" s="1">
        <v>40337</v>
      </c>
      <c r="C2008">
        <v>6</v>
      </c>
      <c r="D2008">
        <v>2010</v>
      </c>
      <c r="E2008" s="2">
        <v>467442.94</v>
      </c>
      <c r="F2008">
        <v>0</v>
      </c>
      <c r="G2008" s="3">
        <v>85.49</v>
      </c>
      <c r="H2008" s="2">
        <v>2.573</v>
      </c>
      <c r="I2008">
        <v>210.2614925</v>
      </c>
      <c r="J2008" s="3">
        <v>8.36</v>
      </c>
    </row>
    <row r="2009" spans="1:10" x14ac:dyDescent="0.25">
      <c r="A2009">
        <v>36</v>
      </c>
      <c r="B2009" s="1">
        <v>40246</v>
      </c>
      <c r="C2009">
        <v>3</v>
      </c>
      <c r="D2009">
        <v>2010</v>
      </c>
      <c r="E2009" s="2">
        <v>431294.45</v>
      </c>
      <c r="F2009">
        <v>0</v>
      </c>
      <c r="G2009" s="3">
        <v>82.29</v>
      </c>
      <c r="H2009" s="2">
        <v>2.5329999999999999</v>
      </c>
      <c r="I2009">
        <v>210.29666309999999</v>
      </c>
      <c r="J2009" s="3">
        <v>8.36</v>
      </c>
    </row>
    <row r="2010" spans="1:10" x14ac:dyDescent="0.25">
      <c r="A2010">
        <v>36</v>
      </c>
      <c r="B2010" s="1">
        <v>40460</v>
      </c>
      <c r="C2010">
        <v>10</v>
      </c>
      <c r="D2010">
        <v>2010</v>
      </c>
      <c r="E2010" s="2">
        <v>434471.38</v>
      </c>
      <c r="F2010">
        <v>1</v>
      </c>
      <c r="G2010" s="3">
        <v>80.58</v>
      </c>
      <c r="H2010" s="2">
        <v>2.5129999999999999</v>
      </c>
      <c r="I2010">
        <v>210.2641156</v>
      </c>
      <c r="J2010" s="3">
        <v>8.36</v>
      </c>
    </row>
    <row r="2011" spans="1:10" x14ac:dyDescent="0.25">
      <c r="A2011">
        <v>36</v>
      </c>
      <c r="B2011" s="1">
        <v>40188</v>
      </c>
      <c r="C2011">
        <v>1</v>
      </c>
      <c r="D2011">
        <v>2010</v>
      </c>
      <c r="E2011" s="2">
        <v>422169.47</v>
      </c>
      <c r="F2011">
        <v>0</v>
      </c>
      <c r="G2011" s="3">
        <v>74.66</v>
      </c>
      <c r="H2011" s="2">
        <v>2.5670000000000002</v>
      </c>
      <c r="I2011">
        <v>210.4404433</v>
      </c>
      <c r="J2011" s="3">
        <v>8.4760000000000009</v>
      </c>
    </row>
    <row r="2012" spans="1:10" x14ac:dyDescent="0.25">
      <c r="A2012">
        <v>36</v>
      </c>
      <c r="B2012" s="1">
        <v>40400</v>
      </c>
      <c r="C2012">
        <v>8</v>
      </c>
      <c r="D2012">
        <v>2010</v>
      </c>
      <c r="E2012" s="2">
        <v>444351.61</v>
      </c>
      <c r="F2012">
        <v>0</v>
      </c>
      <c r="G2012" s="3">
        <v>66.34</v>
      </c>
      <c r="H2012" s="2">
        <v>2.5950000000000002</v>
      </c>
      <c r="I2012">
        <v>210.51443979999999</v>
      </c>
      <c r="J2012" s="3">
        <v>8.4760000000000009</v>
      </c>
    </row>
    <row r="2013" spans="1:10" x14ac:dyDescent="0.25">
      <c r="A2013">
        <v>36</v>
      </c>
      <c r="B2013" s="1">
        <v>40309</v>
      </c>
      <c r="C2013">
        <v>5</v>
      </c>
      <c r="D2013">
        <v>2010</v>
      </c>
      <c r="E2013" s="2">
        <v>405860.37</v>
      </c>
      <c r="F2013">
        <v>0</v>
      </c>
      <c r="G2013" s="3">
        <v>62.72</v>
      </c>
      <c r="H2013" s="2">
        <v>2.6549999999999998</v>
      </c>
      <c r="I2013">
        <v>210.72024440000001</v>
      </c>
      <c r="J2013" s="3">
        <v>8.4760000000000009</v>
      </c>
    </row>
    <row r="2014" spans="1:10" x14ac:dyDescent="0.25">
      <c r="A2014">
        <v>36</v>
      </c>
      <c r="B2014" s="1">
        <v>40523</v>
      </c>
      <c r="C2014">
        <v>12</v>
      </c>
      <c r="D2014">
        <v>2010</v>
      </c>
      <c r="E2014" s="2">
        <v>425804.79999999999</v>
      </c>
      <c r="F2014">
        <v>0</v>
      </c>
      <c r="G2014" s="3">
        <v>61.97</v>
      </c>
      <c r="H2014" s="2">
        <v>2.7050000000000001</v>
      </c>
      <c r="I2014">
        <v>210.76679440000001</v>
      </c>
      <c r="J2014" s="3">
        <v>8.4760000000000009</v>
      </c>
    </row>
    <row r="2015" spans="1:10" x14ac:dyDescent="0.25">
      <c r="A2015">
        <v>36</v>
      </c>
      <c r="B2015" s="1">
        <v>40249</v>
      </c>
      <c r="C2015">
        <v>3</v>
      </c>
      <c r="D2015">
        <v>2010</v>
      </c>
      <c r="E2015" s="2">
        <v>360266.09</v>
      </c>
      <c r="F2015">
        <v>0</v>
      </c>
      <c r="G2015" s="3">
        <v>54.44</v>
      </c>
      <c r="H2015" s="2">
        <v>2.694</v>
      </c>
      <c r="I2015">
        <v>210.37626299999999</v>
      </c>
      <c r="J2015" s="3">
        <v>8.4760000000000009</v>
      </c>
    </row>
    <row r="2016" spans="1:10" x14ac:dyDescent="0.25">
      <c r="A2016">
        <v>36</v>
      </c>
      <c r="B2016" s="1">
        <v>40463</v>
      </c>
      <c r="C2016">
        <v>10</v>
      </c>
      <c r="D2016">
        <v>2010</v>
      </c>
      <c r="E2016" s="2">
        <v>404545.03</v>
      </c>
      <c r="F2016">
        <v>0</v>
      </c>
      <c r="G2016" s="3">
        <v>51.83</v>
      </c>
      <c r="H2016" s="2">
        <v>2.8130000000000002</v>
      </c>
      <c r="I2016">
        <v>210.2372494</v>
      </c>
      <c r="J2016" s="3">
        <v>8.4760000000000009</v>
      </c>
    </row>
    <row r="2017" spans="1:10" x14ac:dyDescent="0.25">
      <c r="A2017">
        <v>36</v>
      </c>
      <c r="B2017" s="1">
        <v>40725</v>
      </c>
      <c r="C2017">
        <v>7</v>
      </c>
      <c r="D2017">
        <v>2011</v>
      </c>
      <c r="E2017" s="2">
        <v>384659.85</v>
      </c>
      <c r="F2017">
        <v>0</v>
      </c>
      <c r="G2017" s="3">
        <v>54.11</v>
      </c>
      <c r="H2017" s="2">
        <v>2.9420000000000002</v>
      </c>
      <c r="I2017">
        <v>210.18423580000001</v>
      </c>
      <c r="J2017" s="3">
        <v>8.3949999999999996</v>
      </c>
    </row>
    <row r="2018" spans="1:10" x14ac:dyDescent="0.25">
      <c r="A2018">
        <v>36</v>
      </c>
      <c r="B2018" s="1">
        <v>40635</v>
      </c>
      <c r="C2018">
        <v>4</v>
      </c>
      <c r="D2018">
        <v>2011</v>
      </c>
      <c r="E2018" s="2">
        <v>417521.7</v>
      </c>
      <c r="F2018">
        <v>0</v>
      </c>
      <c r="G2018" s="3">
        <v>46.68</v>
      </c>
      <c r="H2018" s="2">
        <v>2.98</v>
      </c>
      <c r="I2018">
        <v>211.3333753</v>
      </c>
      <c r="J2018" s="3">
        <v>8.3949999999999996</v>
      </c>
    </row>
    <row r="2019" spans="1:10" x14ac:dyDescent="0.25">
      <c r="A2019">
        <v>36</v>
      </c>
      <c r="B2019" s="1">
        <v>40849</v>
      </c>
      <c r="C2019">
        <v>11</v>
      </c>
      <c r="D2019">
        <v>2011</v>
      </c>
      <c r="E2019" s="2">
        <v>401501.2</v>
      </c>
      <c r="F2019">
        <v>1</v>
      </c>
      <c r="G2019" s="3">
        <v>41.16</v>
      </c>
      <c r="H2019" s="2">
        <v>3.0089999999999999</v>
      </c>
      <c r="I2019">
        <v>211.69850930000001</v>
      </c>
      <c r="J2019" s="3">
        <v>8.3949999999999996</v>
      </c>
    </row>
    <row r="2020" spans="1:10" x14ac:dyDescent="0.25">
      <c r="A2020">
        <v>36</v>
      </c>
      <c r="B2020" s="1">
        <v>40636</v>
      </c>
      <c r="C2020">
        <v>4</v>
      </c>
      <c r="D2020">
        <v>2011</v>
      </c>
      <c r="E2020" s="2">
        <v>402579.84</v>
      </c>
      <c r="F2020">
        <v>0</v>
      </c>
      <c r="G2020" s="3">
        <v>64.55</v>
      </c>
      <c r="H2020" s="2">
        <v>3.282</v>
      </c>
      <c r="I2020">
        <v>212.57620499999999</v>
      </c>
      <c r="J2020" s="3">
        <v>8.3949999999999996</v>
      </c>
    </row>
    <row r="2021" spans="1:10" x14ac:dyDescent="0.25">
      <c r="A2021">
        <v>36</v>
      </c>
      <c r="B2021" s="1">
        <v>40850</v>
      </c>
      <c r="C2021">
        <v>11</v>
      </c>
      <c r="D2021">
        <v>2011</v>
      </c>
      <c r="E2021" s="2">
        <v>407506.78</v>
      </c>
      <c r="F2021">
        <v>0</v>
      </c>
      <c r="G2021" s="3">
        <v>59.15</v>
      </c>
      <c r="H2021" s="2">
        <v>3.448</v>
      </c>
      <c r="I2021">
        <v>212.86113130000001</v>
      </c>
      <c r="J2021" s="3">
        <v>8.3949999999999996</v>
      </c>
    </row>
    <row r="2022" spans="1:10" x14ac:dyDescent="0.25">
      <c r="A2022">
        <v>36</v>
      </c>
      <c r="B2022" s="1">
        <v>40547</v>
      </c>
      <c r="C2022">
        <v>1</v>
      </c>
      <c r="D2022">
        <v>2011</v>
      </c>
      <c r="E2022" s="2">
        <v>385672.11</v>
      </c>
      <c r="F2022">
        <v>0</v>
      </c>
      <c r="G2022" s="3">
        <v>67.31</v>
      </c>
      <c r="H2022" s="2">
        <v>3.5289999999999999</v>
      </c>
      <c r="I2022">
        <v>213.57767010000001</v>
      </c>
      <c r="J2022" s="3">
        <v>8.3000000000000007</v>
      </c>
    </row>
    <row r="2023" spans="1:10" x14ac:dyDescent="0.25">
      <c r="A2023">
        <v>36</v>
      </c>
      <c r="B2023" s="1">
        <v>40759</v>
      </c>
      <c r="C2023">
        <v>8</v>
      </c>
      <c r="D2023">
        <v>2011</v>
      </c>
      <c r="E2023" s="2">
        <v>428727.61</v>
      </c>
      <c r="F2023">
        <v>0</v>
      </c>
      <c r="G2023" s="3">
        <v>69.39</v>
      </c>
      <c r="H2023" s="2">
        <v>3.645</v>
      </c>
      <c r="I2023">
        <v>213.81166579999999</v>
      </c>
      <c r="J2023" s="3">
        <v>8.3000000000000007</v>
      </c>
    </row>
    <row r="2024" spans="1:10" x14ac:dyDescent="0.25">
      <c r="A2024">
        <v>36</v>
      </c>
      <c r="B2024" s="1">
        <v>40699</v>
      </c>
      <c r="C2024">
        <v>6</v>
      </c>
      <c r="D2024">
        <v>2011</v>
      </c>
      <c r="E2024" s="2">
        <v>393401.4</v>
      </c>
      <c r="F2024">
        <v>0</v>
      </c>
      <c r="G2024" s="3">
        <v>69.56</v>
      </c>
      <c r="H2024" s="2">
        <v>3.9169999999999998</v>
      </c>
      <c r="I2024">
        <v>214.52403760000001</v>
      </c>
      <c r="J2024" s="3">
        <v>8.3000000000000007</v>
      </c>
    </row>
    <row r="2025" spans="1:10" x14ac:dyDescent="0.25">
      <c r="A2025">
        <v>36</v>
      </c>
      <c r="B2025" s="1">
        <v>40608</v>
      </c>
      <c r="C2025">
        <v>3</v>
      </c>
      <c r="D2025">
        <v>2011</v>
      </c>
      <c r="E2025" s="2">
        <v>373703.95</v>
      </c>
      <c r="F2025">
        <v>0</v>
      </c>
      <c r="G2025" s="3">
        <v>82.96</v>
      </c>
      <c r="H2025" s="2">
        <v>3.69</v>
      </c>
      <c r="I2025">
        <v>214.01628049999999</v>
      </c>
      <c r="J2025" s="3">
        <v>8.3000000000000007</v>
      </c>
    </row>
    <row r="2026" spans="1:10" x14ac:dyDescent="0.25">
      <c r="A2026">
        <v>36</v>
      </c>
      <c r="B2026" s="1">
        <v>40822</v>
      </c>
      <c r="C2026">
        <v>10</v>
      </c>
      <c r="D2026">
        <v>2011</v>
      </c>
      <c r="E2026" s="2">
        <v>374182.04</v>
      </c>
      <c r="F2026">
        <v>0</v>
      </c>
      <c r="G2026" s="3">
        <v>82.41</v>
      </c>
      <c r="H2026" s="2">
        <v>3.633</v>
      </c>
      <c r="I2026">
        <v>213.7917147</v>
      </c>
      <c r="J2026" s="3">
        <v>8.3000000000000007</v>
      </c>
    </row>
    <row r="2027" spans="1:10" x14ac:dyDescent="0.25">
      <c r="A2027">
        <v>36</v>
      </c>
      <c r="B2027" s="1">
        <v>40550</v>
      </c>
      <c r="C2027">
        <v>1</v>
      </c>
      <c r="D2027">
        <v>2011</v>
      </c>
      <c r="E2027" s="2">
        <v>354270.77</v>
      </c>
      <c r="F2027">
        <v>0</v>
      </c>
      <c r="G2027" s="3">
        <v>85.33</v>
      </c>
      <c r="H2027" s="2">
        <v>3.5019999999999998</v>
      </c>
      <c r="I2027">
        <v>213.93241219999999</v>
      </c>
      <c r="J2027" s="3">
        <v>8.1769999999999996</v>
      </c>
    </row>
    <row r="2028" spans="1:10" x14ac:dyDescent="0.25">
      <c r="A2028">
        <v>36</v>
      </c>
      <c r="B2028" s="1">
        <v>40762</v>
      </c>
      <c r="C2028">
        <v>8</v>
      </c>
      <c r="D2028">
        <v>2011</v>
      </c>
      <c r="E2028" s="2">
        <v>377464.62</v>
      </c>
      <c r="F2028">
        <v>0</v>
      </c>
      <c r="G2028" s="3">
        <v>84.71</v>
      </c>
      <c r="H2028" s="2">
        <v>3.44</v>
      </c>
      <c r="I2028">
        <v>214.02455560000001</v>
      </c>
      <c r="J2028" s="3">
        <v>8.1769999999999996</v>
      </c>
    </row>
    <row r="2029" spans="1:10" x14ac:dyDescent="0.25">
      <c r="A2029">
        <v>36</v>
      </c>
      <c r="B2029" s="1">
        <v>40671</v>
      </c>
      <c r="C2029">
        <v>5</v>
      </c>
      <c r="D2029">
        <v>2011</v>
      </c>
      <c r="E2029" s="2">
        <v>381017.75</v>
      </c>
      <c r="F2029">
        <v>0</v>
      </c>
      <c r="G2029" s="3">
        <v>86.71</v>
      </c>
      <c r="H2029" s="2">
        <v>3.6520000000000001</v>
      </c>
      <c r="I2029">
        <v>214.2972939</v>
      </c>
      <c r="J2029" s="3">
        <v>8.1769999999999996</v>
      </c>
    </row>
    <row r="2030" spans="1:10" x14ac:dyDescent="0.25">
      <c r="A2030">
        <v>36</v>
      </c>
      <c r="B2030" s="1">
        <v>40885</v>
      </c>
      <c r="C2030">
        <v>12</v>
      </c>
      <c r="D2030">
        <v>2011</v>
      </c>
      <c r="E2030" s="2">
        <v>380188.69</v>
      </c>
      <c r="F2030">
        <v>0</v>
      </c>
      <c r="G2030" s="3">
        <v>87.64</v>
      </c>
      <c r="H2030" s="2">
        <v>3.6080000000000001</v>
      </c>
      <c r="I2030">
        <v>214.36027010000001</v>
      </c>
      <c r="J2030" s="3">
        <v>8.1769999999999996</v>
      </c>
    </row>
    <row r="2031" spans="1:10" x14ac:dyDescent="0.25">
      <c r="A2031">
        <v>36</v>
      </c>
      <c r="B2031" s="1">
        <v>40583</v>
      </c>
      <c r="C2031">
        <v>2</v>
      </c>
      <c r="D2031">
        <v>2011</v>
      </c>
      <c r="E2031" s="2">
        <v>350276.29</v>
      </c>
      <c r="F2031">
        <v>0</v>
      </c>
      <c r="G2031" s="3">
        <v>87.5</v>
      </c>
      <c r="H2031" s="2">
        <v>3.4809999999999999</v>
      </c>
      <c r="I2031">
        <v>214.5516896</v>
      </c>
      <c r="J2031" s="3">
        <v>8.1769999999999996</v>
      </c>
    </row>
    <row r="2032" spans="1:10" x14ac:dyDescent="0.25">
      <c r="A2032">
        <v>36</v>
      </c>
      <c r="B2032" s="1">
        <v>40795</v>
      </c>
      <c r="C2032">
        <v>9</v>
      </c>
      <c r="D2032">
        <v>2011</v>
      </c>
      <c r="E2032" s="2">
        <v>352960.64</v>
      </c>
      <c r="F2032">
        <v>1</v>
      </c>
      <c r="G2032" s="3">
        <v>77.94</v>
      </c>
      <c r="H2032" s="2">
        <v>3.4990000000000001</v>
      </c>
      <c r="I2032">
        <v>214.61553760000001</v>
      </c>
      <c r="J2032" s="3">
        <v>8.1769999999999996</v>
      </c>
    </row>
    <row r="2033" spans="1:10" x14ac:dyDescent="0.25">
      <c r="A2033">
        <v>36</v>
      </c>
      <c r="B2033" s="1">
        <v>40734</v>
      </c>
      <c r="C2033">
        <v>7</v>
      </c>
      <c r="D2033">
        <v>2011</v>
      </c>
      <c r="E2033" s="2">
        <v>346137.87</v>
      </c>
      <c r="F2033">
        <v>0</v>
      </c>
      <c r="G2033" s="3">
        <v>71.2</v>
      </c>
      <c r="H2033" s="2">
        <v>3.262</v>
      </c>
      <c r="I2033">
        <v>215.7831333</v>
      </c>
      <c r="J2033" s="3">
        <v>7.7160000000000002</v>
      </c>
    </row>
    <row r="2034" spans="1:10" x14ac:dyDescent="0.25">
      <c r="A2034">
        <v>36</v>
      </c>
      <c r="B2034" s="1">
        <v>40644</v>
      </c>
      <c r="C2034">
        <v>4</v>
      </c>
      <c r="D2034">
        <v>2011</v>
      </c>
      <c r="E2034" s="2">
        <v>313387.11</v>
      </c>
      <c r="F2034">
        <v>0</v>
      </c>
      <c r="G2034" s="3">
        <v>58.97</v>
      </c>
      <c r="H2034" s="2">
        <v>3.2869999999999999</v>
      </c>
      <c r="I2034">
        <v>216.56343440000001</v>
      </c>
      <c r="J2034" s="3">
        <v>7.7160000000000002</v>
      </c>
    </row>
    <row r="2035" spans="1:10" x14ac:dyDescent="0.25">
      <c r="A2035">
        <v>36</v>
      </c>
      <c r="B2035" s="1">
        <v>40858</v>
      </c>
      <c r="C2035">
        <v>11</v>
      </c>
      <c r="D2035">
        <v>2011</v>
      </c>
      <c r="E2035" s="2">
        <v>328498.92</v>
      </c>
      <c r="F2035">
        <v>0</v>
      </c>
      <c r="G2035" s="3">
        <v>63.5</v>
      </c>
      <c r="H2035" s="2">
        <v>3.254</v>
      </c>
      <c r="I2035">
        <v>216.7217373</v>
      </c>
      <c r="J2035" s="3">
        <v>7.7160000000000002</v>
      </c>
    </row>
    <row r="2036" spans="1:10" x14ac:dyDescent="0.25">
      <c r="A2036">
        <v>36</v>
      </c>
      <c r="B2036" s="1">
        <v>40586</v>
      </c>
      <c r="C2036">
        <v>2</v>
      </c>
      <c r="D2036">
        <v>2011</v>
      </c>
      <c r="E2036" s="2">
        <v>293350.51</v>
      </c>
      <c r="F2036">
        <v>0</v>
      </c>
      <c r="G2036" s="3">
        <v>53.57</v>
      </c>
      <c r="H2036" s="2">
        <v>3.1640000000000001</v>
      </c>
      <c r="I2036">
        <v>217.4229206</v>
      </c>
      <c r="J2036" s="3">
        <v>7.7160000000000002</v>
      </c>
    </row>
    <row r="2037" spans="1:10" x14ac:dyDescent="0.25">
      <c r="A2037">
        <v>36</v>
      </c>
      <c r="B2037" s="1">
        <v>40798</v>
      </c>
      <c r="C2037">
        <v>9</v>
      </c>
      <c r="D2037">
        <v>2011</v>
      </c>
      <c r="E2037" s="2">
        <v>312298.37</v>
      </c>
      <c r="F2037">
        <v>0</v>
      </c>
      <c r="G2037" s="3">
        <v>50.64</v>
      </c>
      <c r="H2037" s="2">
        <v>3.1469999999999998</v>
      </c>
      <c r="I2037">
        <v>217.66458779999999</v>
      </c>
      <c r="J2037" s="3">
        <v>7.7160000000000002</v>
      </c>
    </row>
    <row r="2038" spans="1:10" x14ac:dyDescent="0.25">
      <c r="A2038">
        <v>36</v>
      </c>
      <c r="B2038" s="1">
        <v>41061</v>
      </c>
      <c r="C2038">
        <v>6</v>
      </c>
      <c r="D2038">
        <v>2012</v>
      </c>
      <c r="E2038" s="2">
        <v>329467.82</v>
      </c>
      <c r="F2038">
        <v>0</v>
      </c>
      <c r="G2038" s="3">
        <v>57.18</v>
      </c>
      <c r="H2038" s="2">
        <v>3.129</v>
      </c>
      <c r="I2038">
        <v>218.40628760000001</v>
      </c>
      <c r="J2038" s="3">
        <v>7.2439999999999998</v>
      </c>
    </row>
    <row r="2039" spans="1:10" x14ac:dyDescent="0.25">
      <c r="A2039">
        <v>36</v>
      </c>
      <c r="B2039" s="1">
        <v>40970</v>
      </c>
      <c r="C2039">
        <v>3</v>
      </c>
      <c r="D2039">
        <v>2012</v>
      </c>
      <c r="E2039" s="2">
        <v>310982.87</v>
      </c>
      <c r="F2039">
        <v>0</v>
      </c>
      <c r="G2039" s="3">
        <v>61.33</v>
      </c>
      <c r="H2039" s="2">
        <v>3.4209999999999998</v>
      </c>
      <c r="I2039">
        <v>218.8619099</v>
      </c>
      <c r="J2039" s="3">
        <v>7.2439999999999998</v>
      </c>
    </row>
    <row r="2040" spans="1:10" x14ac:dyDescent="0.25">
      <c r="A2040">
        <v>36</v>
      </c>
      <c r="B2040" s="1">
        <v>41184</v>
      </c>
      <c r="C2040">
        <v>10</v>
      </c>
      <c r="D2040">
        <v>2012</v>
      </c>
      <c r="E2040" s="2">
        <v>335741.9</v>
      </c>
      <c r="F2040">
        <v>1</v>
      </c>
      <c r="G2040" s="3">
        <v>54.49</v>
      </c>
      <c r="H2040" s="2">
        <v>3.4620000000000002</v>
      </c>
      <c r="I2040">
        <v>218.9551002</v>
      </c>
      <c r="J2040" s="3">
        <v>7.2439999999999998</v>
      </c>
    </row>
    <row r="2041" spans="1:10" x14ac:dyDescent="0.25">
      <c r="A2041">
        <v>36</v>
      </c>
      <c r="B2041" s="1">
        <v>40942</v>
      </c>
      <c r="C2041">
        <v>2</v>
      </c>
      <c r="D2041">
        <v>2012</v>
      </c>
      <c r="E2041" s="2">
        <v>315396.71999999997</v>
      </c>
      <c r="F2041">
        <v>0</v>
      </c>
      <c r="G2041" s="3">
        <v>64.540000000000006</v>
      </c>
      <c r="H2041" s="2">
        <v>3.6190000000000002</v>
      </c>
      <c r="I2041">
        <v>219.5340975</v>
      </c>
      <c r="J2041" s="3">
        <v>7.2439999999999998</v>
      </c>
    </row>
    <row r="2042" spans="1:10" x14ac:dyDescent="0.25">
      <c r="A2042">
        <v>36</v>
      </c>
      <c r="B2042" s="1">
        <v>41155</v>
      </c>
      <c r="C2042">
        <v>9</v>
      </c>
      <c r="D2042">
        <v>2012</v>
      </c>
      <c r="E2042" s="2">
        <v>318674.93</v>
      </c>
      <c r="F2042">
        <v>0</v>
      </c>
      <c r="G2042" s="3">
        <v>63.19</v>
      </c>
      <c r="H2042" s="2">
        <v>3.6469999999999998</v>
      </c>
      <c r="I2042">
        <v>219.7437314</v>
      </c>
      <c r="J2042" s="3">
        <v>7.2439999999999998</v>
      </c>
    </row>
    <row r="2043" spans="1:10" x14ac:dyDescent="0.25">
      <c r="A2043">
        <v>36</v>
      </c>
      <c r="B2043" s="1">
        <v>41064</v>
      </c>
      <c r="C2043">
        <v>6</v>
      </c>
      <c r="D2043">
        <v>2012</v>
      </c>
      <c r="E2043" s="2">
        <v>331026.11</v>
      </c>
      <c r="F2043">
        <v>0</v>
      </c>
      <c r="G2043" s="3">
        <v>73.95</v>
      </c>
      <c r="H2043" s="2">
        <v>3.9340000000000002</v>
      </c>
      <c r="I2043">
        <v>220.12041249999999</v>
      </c>
      <c r="J2043" s="3">
        <v>6.9889999999999999</v>
      </c>
    </row>
    <row r="2044" spans="1:10" x14ac:dyDescent="0.25">
      <c r="A2044">
        <v>36</v>
      </c>
      <c r="B2044" s="1">
        <v>41004</v>
      </c>
      <c r="C2044">
        <v>4</v>
      </c>
      <c r="D2044">
        <v>2012</v>
      </c>
      <c r="E2044" s="2">
        <v>312467.52</v>
      </c>
      <c r="F2044">
        <v>0</v>
      </c>
      <c r="G2044" s="3">
        <v>77.17</v>
      </c>
      <c r="H2044" s="2">
        <v>3.835</v>
      </c>
      <c r="I2044">
        <v>220.3545033</v>
      </c>
      <c r="J2044" s="3">
        <v>6.9889999999999999</v>
      </c>
    </row>
    <row r="2045" spans="1:10" x14ac:dyDescent="0.25">
      <c r="A2045">
        <v>36</v>
      </c>
      <c r="B2045" s="1">
        <v>41218</v>
      </c>
      <c r="C2045">
        <v>11</v>
      </c>
      <c r="D2045">
        <v>2012</v>
      </c>
      <c r="E2045" s="2">
        <v>330518.34000000003</v>
      </c>
      <c r="F2045">
        <v>0</v>
      </c>
      <c r="G2045" s="3">
        <v>76.55</v>
      </c>
      <c r="H2045" s="2">
        <v>3.7639999999999998</v>
      </c>
      <c r="I2045">
        <v>220.40755809999999</v>
      </c>
      <c r="J2045" s="3">
        <v>6.9889999999999999</v>
      </c>
    </row>
    <row r="2046" spans="1:10" x14ac:dyDescent="0.25">
      <c r="A2046">
        <v>36</v>
      </c>
      <c r="B2046" s="1">
        <v>40914</v>
      </c>
      <c r="C2046">
        <v>1</v>
      </c>
      <c r="D2046">
        <v>2012</v>
      </c>
      <c r="E2046" s="2">
        <v>306005.53000000003</v>
      </c>
      <c r="F2046">
        <v>0</v>
      </c>
      <c r="G2046" s="3">
        <v>80.739999999999995</v>
      </c>
      <c r="H2046" s="2">
        <v>3.5670000000000002</v>
      </c>
      <c r="I2046">
        <v>220.4322099</v>
      </c>
      <c r="J2046" s="3">
        <v>6.9889999999999999</v>
      </c>
    </row>
    <row r="2047" spans="1:10" x14ac:dyDescent="0.25">
      <c r="A2047">
        <v>36</v>
      </c>
      <c r="B2047" s="1">
        <v>41127</v>
      </c>
      <c r="C2047">
        <v>8</v>
      </c>
      <c r="D2047">
        <v>2012</v>
      </c>
      <c r="E2047" s="2">
        <v>338273.38</v>
      </c>
      <c r="F2047">
        <v>0</v>
      </c>
      <c r="G2047" s="3">
        <v>81.5</v>
      </c>
      <c r="H2047" s="2">
        <v>3.5129999999999999</v>
      </c>
      <c r="I2047">
        <v>220.43570729999999</v>
      </c>
      <c r="J2047" s="3">
        <v>6.9889999999999999</v>
      </c>
    </row>
    <row r="2048" spans="1:10" x14ac:dyDescent="0.25">
      <c r="A2048">
        <v>36</v>
      </c>
      <c r="B2048" s="1">
        <v>41067</v>
      </c>
      <c r="C2048">
        <v>6</v>
      </c>
      <c r="D2048">
        <v>2012</v>
      </c>
      <c r="E2048" s="2">
        <v>306578.89</v>
      </c>
      <c r="F2048">
        <v>0</v>
      </c>
      <c r="G2048" s="3">
        <v>81.52</v>
      </c>
      <c r="H2048" s="2">
        <v>3.2320000000000002</v>
      </c>
      <c r="I2048">
        <v>220.56711200000001</v>
      </c>
      <c r="J2048" s="3">
        <v>6.6230000000000002</v>
      </c>
    </row>
    <row r="2049" spans="1:10" x14ac:dyDescent="0.25">
      <c r="A2049">
        <v>36</v>
      </c>
      <c r="B2049" s="1">
        <v>40976</v>
      </c>
      <c r="C2049">
        <v>3</v>
      </c>
      <c r="D2049">
        <v>2012</v>
      </c>
      <c r="E2049" s="2">
        <v>304989.96999999997</v>
      </c>
      <c r="F2049">
        <v>0</v>
      </c>
      <c r="G2049" s="3">
        <v>85.56</v>
      </c>
      <c r="H2049" s="2">
        <v>3.4039999999999999</v>
      </c>
      <c r="I2049">
        <v>220.63193580000001</v>
      </c>
      <c r="J2049" s="3">
        <v>6.6230000000000002</v>
      </c>
    </row>
    <row r="2050" spans="1:10" x14ac:dyDescent="0.25">
      <c r="A2050">
        <v>36</v>
      </c>
      <c r="B2050" s="1">
        <v>41190</v>
      </c>
      <c r="C2050">
        <v>10</v>
      </c>
      <c r="D2050">
        <v>2012</v>
      </c>
      <c r="E2050" s="2">
        <v>298947.51</v>
      </c>
      <c r="F2050">
        <v>0</v>
      </c>
      <c r="G2050" s="3">
        <v>84.41</v>
      </c>
      <c r="H2050" s="2">
        <v>3.49</v>
      </c>
      <c r="I2050">
        <v>220.64046630000001</v>
      </c>
      <c r="J2050" s="3">
        <v>6.6230000000000002</v>
      </c>
    </row>
    <row r="2051" spans="1:10" x14ac:dyDescent="0.25">
      <c r="A2051">
        <v>36</v>
      </c>
      <c r="B2051" s="1">
        <v>41099</v>
      </c>
      <c r="C2051">
        <v>7</v>
      </c>
      <c r="D2051">
        <v>2012</v>
      </c>
      <c r="E2051" s="2">
        <v>293728.57</v>
      </c>
      <c r="F2051">
        <v>1</v>
      </c>
      <c r="G2051" s="3">
        <v>84.19</v>
      </c>
      <c r="H2051" s="2">
        <v>3.6970000000000001</v>
      </c>
      <c r="I2051">
        <v>221.11811420000001</v>
      </c>
      <c r="J2051" s="3">
        <v>6.6230000000000002</v>
      </c>
    </row>
    <row r="2052" spans="1:10" x14ac:dyDescent="0.25">
      <c r="A2052">
        <v>36</v>
      </c>
      <c r="B2052" s="1">
        <v>41039</v>
      </c>
      <c r="C2052">
        <v>5</v>
      </c>
      <c r="D2052">
        <v>2012</v>
      </c>
      <c r="E2052" s="2">
        <v>277137.86</v>
      </c>
      <c r="F2052">
        <v>0</v>
      </c>
      <c r="G2052" s="3">
        <v>73.569999999999993</v>
      </c>
      <c r="H2052" s="2">
        <v>3.6110000000000002</v>
      </c>
      <c r="I2052">
        <v>221.8533396</v>
      </c>
      <c r="J2052" s="3">
        <v>6.2279999999999998</v>
      </c>
    </row>
    <row r="2053" spans="1:10" x14ac:dyDescent="0.25">
      <c r="A2053">
        <v>36</v>
      </c>
      <c r="B2053" s="1">
        <v>41253</v>
      </c>
      <c r="C2053">
        <v>12</v>
      </c>
      <c r="D2053">
        <v>2012</v>
      </c>
      <c r="E2053" s="2">
        <v>300236.84999999998</v>
      </c>
      <c r="F2053">
        <v>0</v>
      </c>
      <c r="G2053" s="3">
        <v>71.28</v>
      </c>
      <c r="H2053" s="2">
        <v>3.5760000000000001</v>
      </c>
      <c r="I2053">
        <v>222.0510793</v>
      </c>
      <c r="J2053" s="3">
        <v>6.2279999999999998</v>
      </c>
    </row>
    <row r="2054" spans="1:10" x14ac:dyDescent="0.25">
      <c r="A2054">
        <v>37</v>
      </c>
      <c r="B2054" s="1">
        <v>40300</v>
      </c>
      <c r="C2054">
        <v>5</v>
      </c>
      <c r="D2054">
        <v>2010</v>
      </c>
      <c r="E2054" s="2">
        <v>536006.73</v>
      </c>
      <c r="F2054">
        <v>0</v>
      </c>
      <c r="G2054" s="3">
        <v>45.97</v>
      </c>
      <c r="H2054" s="2">
        <v>2.5720000000000001</v>
      </c>
      <c r="I2054">
        <v>209.85296629999999</v>
      </c>
      <c r="J2054" s="3">
        <v>8.5540000000000003</v>
      </c>
    </row>
    <row r="2055" spans="1:10" x14ac:dyDescent="0.25">
      <c r="A2055">
        <v>37</v>
      </c>
      <c r="B2055" s="1">
        <v>40514</v>
      </c>
      <c r="C2055">
        <v>12</v>
      </c>
      <c r="D2055">
        <v>2010</v>
      </c>
      <c r="E2055" s="2">
        <v>529852.69999999995</v>
      </c>
      <c r="F2055">
        <v>1</v>
      </c>
      <c r="G2055" s="3">
        <v>46.11</v>
      </c>
      <c r="H2055" s="2">
        <v>2.548</v>
      </c>
      <c r="I2055">
        <v>209.9970208</v>
      </c>
      <c r="J2055" s="3">
        <v>8.5540000000000003</v>
      </c>
    </row>
    <row r="2056" spans="1:10" x14ac:dyDescent="0.25">
      <c r="A2056">
        <v>37</v>
      </c>
      <c r="B2056" s="1">
        <v>40301</v>
      </c>
      <c r="C2056">
        <v>5</v>
      </c>
      <c r="D2056">
        <v>2010</v>
      </c>
      <c r="E2056" s="2">
        <v>519255.68</v>
      </c>
      <c r="F2056">
        <v>0</v>
      </c>
      <c r="G2056" s="3">
        <v>51.33</v>
      </c>
      <c r="H2056" s="2">
        <v>2.625</v>
      </c>
      <c r="I2056">
        <v>210.10927459999999</v>
      </c>
      <c r="J2056" s="3">
        <v>8.5540000000000003</v>
      </c>
    </row>
    <row r="2057" spans="1:10" x14ac:dyDescent="0.25">
      <c r="A2057">
        <v>37</v>
      </c>
      <c r="B2057" s="1">
        <v>40515</v>
      </c>
      <c r="C2057">
        <v>12</v>
      </c>
      <c r="D2057">
        <v>2010</v>
      </c>
      <c r="E2057" s="2">
        <v>513015.35</v>
      </c>
      <c r="F2057">
        <v>0</v>
      </c>
      <c r="G2057" s="3">
        <v>61.96</v>
      </c>
      <c r="H2057" s="2">
        <v>2.6669999999999998</v>
      </c>
      <c r="I2057">
        <v>210.14136070000001</v>
      </c>
      <c r="J2057" s="3">
        <v>8.5540000000000003</v>
      </c>
    </row>
    <row r="2058" spans="1:10" x14ac:dyDescent="0.25">
      <c r="A2058">
        <v>37</v>
      </c>
      <c r="B2058" s="1">
        <v>40213</v>
      </c>
      <c r="C2058">
        <v>2</v>
      </c>
      <c r="D2058">
        <v>2010</v>
      </c>
      <c r="E2058" s="2">
        <v>540189.69999999995</v>
      </c>
      <c r="F2058">
        <v>0</v>
      </c>
      <c r="G2058" s="3">
        <v>63.43</v>
      </c>
      <c r="H2058" s="2">
        <v>2.7189999999999999</v>
      </c>
      <c r="I2058">
        <v>209.59386559999999</v>
      </c>
      <c r="J2058" s="3">
        <v>8.4640000000000004</v>
      </c>
    </row>
    <row r="2059" spans="1:10" x14ac:dyDescent="0.25">
      <c r="A2059">
        <v>37</v>
      </c>
      <c r="B2059" s="1">
        <v>40425</v>
      </c>
      <c r="C2059">
        <v>9</v>
      </c>
      <c r="D2059">
        <v>2010</v>
      </c>
      <c r="E2059" s="2">
        <v>513327.55</v>
      </c>
      <c r="F2059">
        <v>0</v>
      </c>
      <c r="G2059" s="3">
        <v>68.540000000000006</v>
      </c>
      <c r="H2059" s="2">
        <v>2.77</v>
      </c>
      <c r="I2059">
        <v>209.40063799999999</v>
      </c>
      <c r="J2059" s="3">
        <v>8.4640000000000004</v>
      </c>
    </row>
    <row r="2060" spans="1:10" x14ac:dyDescent="0.25">
      <c r="A2060">
        <v>37</v>
      </c>
      <c r="B2060" s="1">
        <v>40364</v>
      </c>
      <c r="C2060">
        <v>7</v>
      </c>
      <c r="D2060">
        <v>2010</v>
      </c>
      <c r="E2060" s="2">
        <v>543234.77</v>
      </c>
      <c r="F2060">
        <v>0</v>
      </c>
      <c r="G2060" s="3">
        <v>75.56</v>
      </c>
      <c r="H2060" s="2">
        <v>2.835</v>
      </c>
      <c r="I2060">
        <v>209.12158669999999</v>
      </c>
      <c r="J2060" s="3">
        <v>8.4640000000000004</v>
      </c>
    </row>
    <row r="2061" spans="1:10" x14ac:dyDescent="0.25">
      <c r="A2061">
        <v>37</v>
      </c>
      <c r="B2061" s="1">
        <v>40274</v>
      </c>
      <c r="C2061">
        <v>4</v>
      </c>
      <c r="D2061">
        <v>2010</v>
      </c>
      <c r="E2061" s="2">
        <v>479195.02</v>
      </c>
      <c r="F2061">
        <v>0</v>
      </c>
      <c r="G2061" s="3">
        <v>79.930000000000007</v>
      </c>
      <c r="H2061" s="2">
        <v>2.7050000000000001</v>
      </c>
      <c r="I2061">
        <v>209.93980909999999</v>
      </c>
      <c r="J2061" s="3">
        <v>8.4640000000000004</v>
      </c>
    </row>
    <row r="2062" spans="1:10" x14ac:dyDescent="0.25">
      <c r="A2062">
        <v>37</v>
      </c>
      <c r="B2062" s="1">
        <v>40488</v>
      </c>
      <c r="C2062">
        <v>11</v>
      </c>
      <c r="D2062">
        <v>2010</v>
      </c>
      <c r="E2062" s="2">
        <v>481915.11</v>
      </c>
      <c r="F2062">
        <v>0</v>
      </c>
      <c r="G2062" s="3">
        <v>82.3</v>
      </c>
      <c r="H2062" s="2">
        <v>2.6680000000000001</v>
      </c>
      <c r="I2062">
        <v>210.2135668</v>
      </c>
      <c r="J2062" s="3">
        <v>8.4640000000000004</v>
      </c>
    </row>
    <row r="2063" spans="1:10" x14ac:dyDescent="0.25">
      <c r="A2063">
        <v>37</v>
      </c>
      <c r="B2063" s="1">
        <v>40216</v>
      </c>
      <c r="C2063">
        <v>2</v>
      </c>
      <c r="D2063">
        <v>2010</v>
      </c>
      <c r="E2063" s="2">
        <v>498292.53</v>
      </c>
      <c r="F2063">
        <v>0</v>
      </c>
      <c r="G2063" s="3">
        <v>81.849999999999994</v>
      </c>
      <c r="H2063" s="2">
        <v>2.669</v>
      </c>
      <c r="I2063">
        <v>209.984205</v>
      </c>
      <c r="J2063" s="3">
        <v>8.36</v>
      </c>
    </row>
    <row r="2064" spans="1:10" x14ac:dyDescent="0.25">
      <c r="A2064">
        <v>37</v>
      </c>
      <c r="B2064" s="1">
        <v>40428</v>
      </c>
      <c r="C2064">
        <v>9</v>
      </c>
      <c r="D2064">
        <v>2010</v>
      </c>
      <c r="E2064" s="2">
        <v>502456.04</v>
      </c>
      <c r="F2064">
        <v>0</v>
      </c>
      <c r="G2064" s="3">
        <v>81.739999999999995</v>
      </c>
      <c r="H2064" s="2">
        <v>2.6419999999999999</v>
      </c>
      <c r="I2064">
        <v>209.8708867</v>
      </c>
      <c r="J2064" s="3">
        <v>8.36</v>
      </c>
    </row>
    <row r="2065" spans="1:10" x14ac:dyDescent="0.25">
      <c r="A2065">
        <v>37</v>
      </c>
      <c r="B2065" s="1">
        <v>40337</v>
      </c>
      <c r="C2065">
        <v>6</v>
      </c>
      <c r="D2065">
        <v>2010</v>
      </c>
      <c r="E2065" s="2">
        <v>508576.62</v>
      </c>
      <c r="F2065">
        <v>0</v>
      </c>
      <c r="G2065" s="3">
        <v>85.49</v>
      </c>
      <c r="H2065" s="2">
        <v>2.6269999999999998</v>
      </c>
      <c r="I2065">
        <v>210.2614925</v>
      </c>
      <c r="J2065" s="3">
        <v>8.36</v>
      </c>
    </row>
    <row r="2066" spans="1:10" x14ac:dyDescent="0.25">
      <c r="A2066">
        <v>37</v>
      </c>
      <c r="B2066" s="1">
        <v>40246</v>
      </c>
      <c r="C2066">
        <v>3</v>
      </c>
      <c r="D2066">
        <v>2010</v>
      </c>
      <c r="E2066" s="2">
        <v>510427.53</v>
      </c>
      <c r="F2066">
        <v>0</v>
      </c>
      <c r="G2066" s="3">
        <v>82.29</v>
      </c>
      <c r="H2066" s="2">
        <v>2.577</v>
      </c>
      <c r="I2066">
        <v>210.29666309999999</v>
      </c>
      <c r="J2066" s="3">
        <v>8.36</v>
      </c>
    </row>
    <row r="2067" spans="1:10" x14ac:dyDescent="0.25">
      <c r="A2067">
        <v>37</v>
      </c>
      <c r="B2067" s="1">
        <v>40460</v>
      </c>
      <c r="C2067">
        <v>10</v>
      </c>
      <c r="D2067">
        <v>2010</v>
      </c>
      <c r="E2067" s="2">
        <v>510296.07</v>
      </c>
      <c r="F2067">
        <v>1</v>
      </c>
      <c r="G2067" s="3">
        <v>80.58</v>
      </c>
      <c r="H2067" s="2">
        <v>2.5649999999999999</v>
      </c>
      <c r="I2067">
        <v>210.2641156</v>
      </c>
      <c r="J2067" s="3">
        <v>8.36</v>
      </c>
    </row>
    <row r="2068" spans="1:10" x14ac:dyDescent="0.25">
      <c r="A2068">
        <v>37</v>
      </c>
      <c r="B2068" s="1">
        <v>40188</v>
      </c>
      <c r="C2068">
        <v>1</v>
      </c>
      <c r="D2068">
        <v>2010</v>
      </c>
      <c r="E2068" s="2">
        <v>529877.93000000005</v>
      </c>
      <c r="F2068">
        <v>0</v>
      </c>
      <c r="G2068" s="3">
        <v>74.66</v>
      </c>
      <c r="H2068" s="2">
        <v>2.6030000000000002</v>
      </c>
      <c r="I2068">
        <v>210.4404433</v>
      </c>
      <c r="J2068" s="3">
        <v>8.4760000000000009</v>
      </c>
    </row>
    <row r="2069" spans="1:10" x14ac:dyDescent="0.25">
      <c r="A2069">
        <v>37</v>
      </c>
      <c r="B2069" s="1">
        <v>40400</v>
      </c>
      <c r="C2069">
        <v>8</v>
      </c>
      <c r="D2069">
        <v>2010</v>
      </c>
      <c r="E2069" s="2">
        <v>524483.65</v>
      </c>
      <c r="F2069">
        <v>0</v>
      </c>
      <c r="G2069" s="3">
        <v>66.34</v>
      </c>
      <c r="H2069" s="2">
        <v>2.633</v>
      </c>
      <c r="I2069">
        <v>210.51443979999999</v>
      </c>
      <c r="J2069" s="3">
        <v>8.4760000000000009</v>
      </c>
    </row>
    <row r="2070" spans="1:10" x14ac:dyDescent="0.25">
      <c r="A2070">
        <v>37</v>
      </c>
      <c r="B2070" s="1">
        <v>40309</v>
      </c>
      <c r="C2070">
        <v>5</v>
      </c>
      <c r="D2070">
        <v>2010</v>
      </c>
      <c r="E2070" s="2">
        <v>539683.42000000004</v>
      </c>
      <c r="F2070">
        <v>0</v>
      </c>
      <c r="G2070" s="3">
        <v>62.72</v>
      </c>
      <c r="H2070" s="2">
        <v>2.6890000000000001</v>
      </c>
      <c r="I2070">
        <v>210.72024440000001</v>
      </c>
      <c r="J2070" s="3">
        <v>8.4760000000000009</v>
      </c>
    </row>
    <row r="2071" spans="1:10" x14ac:dyDescent="0.25">
      <c r="A2071">
        <v>37</v>
      </c>
      <c r="B2071" s="1">
        <v>40523</v>
      </c>
      <c r="C2071">
        <v>12</v>
      </c>
      <c r="D2071">
        <v>2010</v>
      </c>
      <c r="E2071" s="2">
        <v>517546.69</v>
      </c>
      <c r="F2071">
        <v>0</v>
      </c>
      <c r="G2071" s="3">
        <v>61.97</v>
      </c>
      <c r="H2071" s="2">
        <v>2.7280000000000002</v>
      </c>
      <c r="I2071">
        <v>210.76679440000001</v>
      </c>
      <c r="J2071" s="3">
        <v>8.4760000000000009</v>
      </c>
    </row>
    <row r="2072" spans="1:10" x14ac:dyDescent="0.25">
      <c r="A2072">
        <v>37</v>
      </c>
      <c r="B2072" s="1">
        <v>40249</v>
      </c>
      <c r="C2072">
        <v>3</v>
      </c>
      <c r="D2072">
        <v>2010</v>
      </c>
      <c r="E2072" s="2">
        <v>508213.14</v>
      </c>
      <c r="F2072">
        <v>0</v>
      </c>
      <c r="G2072" s="3">
        <v>54.44</v>
      </c>
      <c r="H2072" s="2">
        <v>2.7080000000000002</v>
      </c>
      <c r="I2072">
        <v>210.37626299999999</v>
      </c>
      <c r="J2072" s="3">
        <v>8.4760000000000009</v>
      </c>
    </row>
    <row r="2073" spans="1:10" x14ac:dyDescent="0.25">
      <c r="A2073">
        <v>37</v>
      </c>
      <c r="B2073" s="1">
        <v>40463</v>
      </c>
      <c r="C2073">
        <v>10</v>
      </c>
      <c r="D2073">
        <v>2010</v>
      </c>
      <c r="E2073" s="2">
        <v>511207.52</v>
      </c>
      <c r="F2073">
        <v>0</v>
      </c>
      <c r="G2073" s="3">
        <v>51.83</v>
      </c>
      <c r="H2073" s="2">
        <v>2.843</v>
      </c>
      <c r="I2073">
        <v>210.2372494</v>
      </c>
      <c r="J2073" s="3">
        <v>8.4760000000000009</v>
      </c>
    </row>
    <row r="2074" spans="1:10" x14ac:dyDescent="0.25">
      <c r="A2074">
        <v>37</v>
      </c>
      <c r="B2074" s="1">
        <v>40725</v>
      </c>
      <c r="C2074">
        <v>7</v>
      </c>
      <c r="D2074">
        <v>2011</v>
      </c>
      <c r="E2074" s="2">
        <v>542464.02</v>
      </c>
      <c r="F2074">
        <v>0</v>
      </c>
      <c r="G2074" s="3">
        <v>54.11</v>
      </c>
      <c r="H2074" s="2">
        <v>2.976</v>
      </c>
      <c r="I2074">
        <v>210.18423580000001</v>
      </c>
      <c r="J2074" s="3">
        <v>8.3949999999999996</v>
      </c>
    </row>
    <row r="2075" spans="1:10" x14ac:dyDescent="0.25">
      <c r="A2075">
        <v>37</v>
      </c>
      <c r="B2075" s="1">
        <v>40635</v>
      </c>
      <c r="C2075">
        <v>4</v>
      </c>
      <c r="D2075">
        <v>2011</v>
      </c>
      <c r="E2075" s="2">
        <v>583835.18000000005</v>
      </c>
      <c r="F2075">
        <v>0</v>
      </c>
      <c r="G2075" s="3">
        <v>46.68</v>
      </c>
      <c r="H2075" s="2">
        <v>2.9889999999999999</v>
      </c>
      <c r="I2075">
        <v>211.3333753</v>
      </c>
      <c r="J2075" s="3">
        <v>8.3949999999999996</v>
      </c>
    </row>
    <row r="2076" spans="1:10" x14ac:dyDescent="0.25">
      <c r="A2076">
        <v>37</v>
      </c>
      <c r="B2076" s="1">
        <v>40849</v>
      </c>
      <c r="C2076">
        <v>11</v>
      </c>
      <c r="D2076">
        <v>2011</v>
      </c>
      <c r="E2076" s="2">
        <v>522514.32</v>
      </c>
      <c r="F2076">
        <v>1</v>
      </c>
      <c r="G2076" s="3">
        <v>41.16</v>
      </c>
      <c r="H2076" s="2">
        <v>3.0219999999999998</v>
      </c>
      <c r="I2076">
        <v>211.69850930000001</v>
      </c>
      <c r="J2076" s="3">
        <v>8.3949999999999996</v>
      </c>
    </row>
    <row r="2077" spans="1:10" x14ac:dyDescent="0.25">
      <c r="A2077">
        <v>37</v>
      </c>
      <c r="B2077" s="1">
        <v>40636</v>
      </c>
      <c r="C2077">
        <v>4</v>
      </c>
      <c r="D2077">
        <v>2011</v>
      </c>
      <c r="E2077" s="2">
        <v>527572.25</v>
      </c>
      <c r="F2077">
        <v>0</v>
      </c>
      <c r="G2077" s="3">
        <v>64.55</v>
      </c>
      <c r="H2077" s="2">
        <v>3.2879999999999998</v>
      </c>
      <c r="I2077">
        <v>212.57620499999999</v>
      </c>
      <c r="J2077" s="3">
        <v>8.3949999999999996</v>
      </c>
    </row>
    <row r="2078" spans="1:10" x14ac:dyDescent="0.25">
      <c r="A2078">
        <v>37</v>
      </c>
      <c r="B2078" s="1">
        <v>40850</v>
      </c>
      <c r="C2078">
        <v>11</v>
      </c>
      <c r="D2078">
        <v>2011</v>
      </c>
      <c r="E2078" s="2">
        <v>505610.4</v>
      </c>
      <c r="F2078">
        <v>0</v>
      </c>
      <c r="G2078" s="3">
        <v>59.15</v>
      </c>
      <c r="H2078" s="2">
        <v>3.4590000000000001</v>
      </c>
      <c r="I2078">
        <v>212.86113130000001</v>
      </c>
      <c r="J2078" s="3">
        <v>8.3949999999999996</v>
      </c>
    </row>
    <row r="2079" spans="1:10" x14ac:dyDescent="0.25">
      <c r="A2079">
        <v>37</v>
      </c>
      <c r="B2079" s="1">
        <v>40547</v>
      </c>
      <c r="C2079">
        <v>1</v>
      </c>
      <c r="D2079">
        <v>2011</v>
      </c>
      <c r="E2079" s="2">
        <v>534578.78</v>
      </c>
      <c r="F2079">
        <v>0</v>
      </c>
      <c r="G2079" s="3">
        <v>67.31</v>
      </c>
      <c r="H2079" s="2">
        <v>3.524</v>
      </c>
      <c r="I2079">
        <v>213.57767010000001</v>
      </c>
      <c r="J2079" s="3">
        <v>8.3000000000000007</v>
      </c>
    </row>
    <row r="2080" spans="1:10" x14ac:dyDescent="0.25">
      <c r="A2080">
        <v>37</v>
      </c>
      <c r="B2080" s="1">
        <v>40759</v>
      </c>
      <c r="C2080">
        <v>8</v>
      </c>
      <c r="D2080">
        <v>2011</v>
      </c>
      <c r="E2080" s="2">
        <v>543703.16</v>
      </c>
      <c r="F2080">
        <v>0</v>
      </c>
      <c r="G2080" s="3">
        <v>69.39</v>
      </c>
      <c r="H2080" s="2">
        <v>3.6219999999999999</v>
      </c>
      <c r="I2080">
        <v>213.81166579999999</v>
      </c>
      <c r="J2080" s="3">
        <v>8.3000000000000007</v>
      </c>
    </row>
    <row r="2081" spans="1:10" x14ac:dyDescent="0.25">
      <c r="A2081">
        <v>37</v>
      </c>
      <c r="B2081" s="1">
        <v>40699</v>
      </c>
      <c r="C2081">
        <v>6</v>
      </c>
      <c r="D2081">
        <v>2011</v>
      </c>
      <c r="E2081" s="2">
        <v>547513.30000000005</v>
      </c>
      <c r="F2081">
        <v>0</v>
      </c>
      <c r="G2081" s="3">
        <v>69.56</v>
      </c>
      <c r="H2081" s="2">
        <v>3.9060000000000001</v>
      </c>
      <c r="I2081">
        <v>214.52403760000001</v>
      </c>
      <c r="J2081" s="3">
        <v>8.3000000000000007</v>
      </c>
    </row>
    <row r="2082" spans="1:10" x14ac:dyDescent="0.25">
      <c r="A2082">
        <v>37</v>
      </c>
      <c r="B2082" s="1">
        <v>40608</v>
      </c>
      <c r="C2082">
        <v>3</v>
      </c>
      <c r="D2082">
        <v>2011</v>
      </c>
      <c r="E2082" s="2">
        <v>500381.23</v>
      </c>
      <c r="F2082">
        <v>0</v>
      </c>
      <c r="G2082" s="3">
        <v>82.96</v>
      </c>
      <c r="H2082" s="2">
        <v>3.6989999999999998</v>
      </c>
      <c r="I2082">
        <v>214.01628049999999</v>
      </c>
      <c r="J2082" s="3">
        <v>8.3000000000000007</v>
      </c>
    </row>
    <row r="2083" spans="1:10" x14ac:dyDescent="0.25">
      <c r="A2083">
        <v>37</v>
      </c>
      <c r="B2083" s="1">
        <v>40822</v>
      </c>
      <c r="C2083">
        <v>10</v>
      </c>
      <c r="D2083">
        <v>2011</v>
      </c>
      <c r="E2083" s="2">
        <v>509647.25</v>
      </c>
      <c r="F2083">
        <v>0</v>
      </c>
      <c r="G2083" s="3">
        <v>82.41</v>
      </c>
      <c r="H2083" s="2">
        <v>3.6480000000000001</v>
      </c>
      <c r="I2083">
        <v>213.7917147</v>
      </c>
      <c r="J2083" s="3">
        <v>8.3000000000000007</v>
      </c>
    </row>
    <row r="2084" spans="1:10" x14ac:dyDescent="0.25">
      <c r="A2084">
        <v>37</v>
      </c>
      <c r="B2084" s="1">
        <v>40550</v>
      </c>
      <c r="C2084">
        <v>1</v>
      </c>
      <c r="D2084">
        <v>2011</v>
      </c>
      <c r="E2084" s="2">
        <v>517021.3</v>
      </c>
      <c r="F2084">
        <v>0</v>
      </c>
      <c r="G2084" s="3">
        <v>85.33</v>
      </c>
      <c r="H2084" s="2">
        <v>3.524</v>
      </c>
      <c r="I2084">
        <v>213.93241219999999</v>
      </c>
      <c r="J2084" s="3">
        <v>8.1769999999999996</v>
      </c>
    </row>
    <row r="2085" spans="1:10" x14ac:dyDescent="0.25">
      <c r="A2085">
        <v>37</v>
      </c>
      <c r="B2085" s="1">
        <v>40762</v>
      </c>
      <c r="C2085">
        <v>8</v>
      </c>
      <c r="D2085">
        <v>2011</v>
      </c>
      <c r="E2085" s="2">
        <v>489059.93</v>
      </c>
      <c r="F2085">
        <v>0</v>
      </c>
      <c r="G2085" s="3">
        <v>84.71</v>
      </c>
      <c r="H2085" s="2">
        <v>3.48</v>
      </c>
      <c r="I2085">
        <v>214.02455560000001</v>
      </c>
      <c r="J2085" s="3">
        <v>8.1769999999999996</v>
      </c>
    </row>
    <row r="2086" spans="1:10" x14ac:dyDescent="0.25">
      <c r="A2086">
        <v>37</v>
      </c>
      <c r="B2086" s="1">
        <v>40671</v>
      </c>
      <c r="C2086">
        <v>5</v>
      </c>
      <c r="D2086">
        <v>2011</v>
      </c>
      <c r="E2086" s="2">
        <v>510787.46</v>
      </c>
      <c r="F2086">
        <v>0</v>
      </c>
      <c r="G2086" s="3">
        <v>86.71</v>
      </c>
      <c r="H2086" s="2">
        <v>3.6840000000000002</v>
      </c>
      <c r="I2086">
        <v>214.2972939</v>
      </c>
      <c r="J2086" s="3">
        <v>8.1769999999999996</v>
      </c>
    </row>
    <row r="2087" spans="1:10" x14ac:dyDescent="0.25">
      <c r="A2087">
        <v>37</v>
      </c>
      <c r="B2087" s="1">
        <v>40885</v>
      </c>
      <c r="C2087">
        <v>12</v>
      </c>
      <c r="D2087">
        <v>2011</v>
      </c>
      <c r="E2087" s="2">
        <v>502504.39</v>
      </c>
      <c r="F2087">
        <v>0</v>
      </c>
      <c r="G2087" s="3">
        <v>87.64</v>
      </c>
      <c r="H2087" s="2">
        <v>3.6379999999999999</v>
      </c>
      <c r="I2087">
        <v>214.36027010000001</v>
      </c>
      <c r="J2087" s="3">
        <v>8.1769999999999996</v>
      </c>
    </row>
    <row r="2088" spans="1:10" x14ac:dyDescent="0.25">
      <c r="A2088">
        <v>37</v>
      </c>
      <c r="B2088" s="1">
        <v>40583</v>
      </c>
      <c r="C2088">
        <v>2</v>
      </c>
      <c r="D2088">
        <v>2011</v>
      </c>
      <c r="E2088" s="2">
        <v>530367.82999999996</v>
      </c>
      <c r="F2088">
        <v>0</v>
      </c>
      <c r="G2088" s="3">
        <v>87.5</v>
      </c>
      <c r="H2088" s="2">
        <v>3.5329999999999999</v>
      </c>
      <c r="I2088">
        <v>214.5516896</v>
      </c>
      <c r="J2088" s="3">
        <v>8.1769999999999996</v>
      </c>
    </row>
    <row r="2089" spans="1:10" x14ac:dyDescent="0.25">
      <c r="A2089">
        <v>37</v>
      </c>
      <c r="B2089" s="1">
        <v>40795</v>
      </c>
      <c r="C2089">
        <v>9</v>
      </c>
      <c r="D2089">
        <v>2011</v>
      </c>
      <c r="E2089" s="2">
        <v>506273.74</v>
      </c>
      <c r="F2089">
        <v>1</v>
      </c>
      <c r="G2089" s="3">
        <v>77.94</v>
      </c>
      <c r="H2089" s="2">
        <v>3.5459999999999998</v>
      </c>
      <c r="I2089">
        <v>214.61553760000001</v>
      </c>
      <c r="J2089" s="3">
        <v>8.1769999999999996</v>
      </c>
    </row>
    <row r="2090" spans="1:10" x14ac:dyDescent="0.25">
      <c r="A2090">
        <v>37</v>
      </c>
      <c r="B2090" s="1">
        <v>40734</v>
      </c>
      <c r="C2090">
        <v>7</v>
      </c>
      <c r="D2090">
        <v>2011</v>
      </c>
      <c r="E2090" s="2">
        <v>522816.85</v>
      </c>
      <c r="F2090">
        <v>0</v>
      </c>
      <c r="G2090" s="3">
        <v>71.2</v>
      </c>
      <c r="H2090" s="2">
        <v>3.2850000000000001</v>
      </c>
      <c r="I2090">
        <v>215.7831333</v>
      </c>
      <c r="J2090" s="3">
        <v>7.7160000000000002</v>
      </c>
    </row>
    <row r="2091" spans="1:10" x14ac:dyDescent="0.25">
      <c r="A2091">
        <v>37</v>
      </c>
      <c r="B2091" s="1">
        <v>40644</v>
      </c>
      <c r="C2091">
        <v>4</v>
      </c>
      <c r="D2091">
        <v>2011</v>
      </c>
      <c r="E2091" s="2">
        <v>555925.6</v>
      </c>
      <c r="F2091">
        <v>0</v>
      </c>
      <c r="G2091" s="3">
        <v>58.97</v>
      </c>
      <c r="H2091" s="2">
        <v>3.3319999999999999</v>
      </c>
      <c r="I2091">
        <v>216.56343440000001</v>
      </c>
      <c r="J2091" s="3">
        <v>7.7160000000000002</v>
      </c>
    </row>
    <row r="2092" spans="1:10" x14ac:dyDescent="0.25">
      <c r="A2092">
        <v>37</v>
      </c>
      <c r="B2092" s="1">
        <v>40858</v>
      </c>
      <c r="C2092">
        <v>11</v>
      </c>
      <c r="D2092">
        <v>2011</v>
      </c>
      <c r="E2092" s="2">
        <v>501268.78</v>
      </c>
      <c r="F2092">
        <v>0</v>
      </c>
      <c r="G2092" s="3">
        <v>63.5</v>
      </c>
      <c r="H2092" s="2">
        <v>3.2970000000000002</v>
      </c>
      <c r="I2092">
        <v>216.7217373</v>
      </c>
      <c r="J2092" s="3">
        <v>7.7160000000000002</v>
      </c>
    </row>
    <row r="2093" spans="1:10" x14ac:dyDescent="0.25">
      <c r="A2093">
        <v>37</v>
      </c>
      <c r="B2093" s="1">
        <v>40586</v>
      </c>
      <c r="C2093">
        <v>2</v>
      </c>
      <c r="D2093">
        <v>2011</v>
      </c>
      <c r="E2093" s="2">
        <v>527117.81000000006</v>
      </c>
      <c r="F2093">
        <v>0</v>
      </c>
      <c r="G2093" s="3">
        <v>53.57</v>
      </c>
      <c r="H2093" s="2">
        <v>3.1720000000000002</v>
      </c>
      <c r="I2093">
        <v>217.4229206</v>
      </c>
      <c r="J2093" s="3">
        <v>7.7160000000000002</v>
      </c>
    </row>
    <row r="2094" spans="1:10" x14ac:dyDescent="0.25">
      <c r="A2094">
        <v>37</v>
      </c>
      <c r="B2094" s="1">
        <v>40798</v>
      </c>
      <c r="C2094">
        <v>9</v>
      </c>
      <c r="D2094">
        <v>2011</v>
      </c>
      <c r="E2094" s="2">
        <v>537224.52</v>
      </c>
      <c r="F2094">
        <v>0</v>
      </c>
      <c r="G2094" s="3">
        <v>50.64</v>
      </c>
      <c r="H2094" s="2">
        <v>3.1579999999999999</v>
      </c>
      <c r="I2094">
        <v>217.66458779999999</v>
      </c>
      <c r="J2094" s="3">
        <v>7.7160000000000002</v>
      </c>
    </row>
    <row r="2095" spans="1:10" x14ac:dyDescent="0.25">
      <c r="A2095">
        <v>37</v>
      </c>
      <c r="B2095" s="1">
        <v>41061</v>
      </c>
      <c r="C2095">
        <v>6</v>
      </c>
      <c r="D2095">
        <v>2012</v>
      </c>
      <c r="E2095" s="2">
        <v>558343.56999999995</v>
      </c>
      <c r="F2095">
        <v>0</v>
      </c>
      <c r="G2095" s="3">
        <v>57.18</v>
      </c>
      <c r="H2095" s="2">
        <v>3.157</v>
      </c>
      <c r="I2095">
        <v>218.40628760000001</v>
      </c>
      <c r="J2095" s="3">
        <v>7.2439999999999998</v>
      </c>
    </row>
    <row r="2096" spans="1:10" x14ac:dyDescent="0.25">
      <c r="A2096">
        <v>37</v>
      </c>
      <c r="B2096" s="1">
        <v>40970</v>
      </c>
      <c r="C2096">
        <v>3</v>
      </c>
      <c r="D2096">
        <v>2012</v>
      </c>
      <c r="E2096" s="2">
        <v>555424.24</v>
      </c>
      <c r="F2096">
        <v>0</v>
      </c>
      <c r="G2096" s="3">
        <v>61.33</v>
      </c>
      <c r="H2096" s="2">
        <v>3.36</v>
      </c>
      <c r="I2096">
        <v>218.8619099</v>
      </c>
      <c r="J2096" s="3">
        <v>7.2439999999999998</v>
      </c>
    </row>
    <row r="2097" spans="1:10" x14ac:dyDescent="0.25">
      <c r="A2097">
        <v>37</v>
      </c>
      <c r="B2097" s="1">
        <v>41184</v>
      </c>
      <c r="C2097">
        <v>10</v>
      </c>
      <c r="D2097">
        <v>2012</v>
      </c>
      <c r="E2097" s="2">
        <v>527041.46</v>
      </c>
      <c r="F2097">
        <v>1</v>
      </c>
      <c r="G2097" s="3">
        <v>54.49</v>
      </c>
      <c r="H2097" s="2">
        <v>3.4089999999999998</v>
      </c>
      <c r="I2097">
        <v>218.9551002</v>
      </c>
      <c r="J2097" s="3">
        <v>7.2439999999999998</v>
      </c>
    </row>
    <row r="2098" spans="1:10" x14ac:dyDescent="0.25">
      <c r="A2098">
        <v>37</v>
      </c>
      <c r="B2098" s="1">
        <v>40942</v>
      </c>
      <c r="C2098">
        <v>2</v>
      </c>
      <c r="D2098">
        <v>2012</v>
      </c>
      <c r="E2098" s="2">
        <v>525559.17000000004</v>
      </c>
      <c r="F2098">
        <v>0</v>
      </c>
      <c r="G2098" s="3">
        <v>64.540000000000006</v>
      </c>
      <c r="H2098" s="2">
        <v>3.63</v>
      </c>
      <c r="I2098">
        <v>219.5340975</v>
      </c>
      <c r="J2098" s="3">
        <v>7.2439999999999998</v>
      </c>
    </row>
    <row r="2099" spans="1:10" x14ac:dyDescent="0.25">
      <c r="A2099">
        <v>37</v>
      </c>
      <c r="B2099" s="1">
        <v>41155</v>
      </c>
      <c r="C2099">
        <v>9</v>
      </c>
      <c r="D2099">
        <v>2012</v>
      </c>
      <c r="E2099" s="2">
        <v>535937.25</v>
      </c>
      <c r="F2099">
        <v>0</v>
      </c>
      <c r="G2099" s="3">
        <v>63.19</v>
      </c>
      <c r="H2099" s="2">
        <v>3.669</v>
      </c>
      <c r="I2099">
        <v>219.7437314</v>
      </c>
      <c r="J2099" s="3">
        <v>7.2439999999999998</v>
      </c>
    </row>
    <row r="2100" spans="1:10" x14ac:dyDescent="0.25">
      <c r="A2100">
        <v>37</v>
      </c>
      <c r="B2100" s="1">
        <v>41064</v>
      </c>
      <c r="C2100">
        <v>6</v>
      </c>
      <c r="D2100">
        <v>2012</v>
      </c>
      <c r="E2100" s="2">
        <v>564848.78</v>
      </c>
      <c r="F2100">
        <v>0</v>
      </c>
      <c r="G2100" s="3">
        <v>73.95</v>
      </c>
      <c r="H2100" s="2">
        <v>3.891</v>
      </c>
      <c r="I2100">
        <v>220.12041249999999</v>
      </c>
      <c r="J2100" s="3">
        <v>6.9889999999999999</v>
      </c>
    </row>
    <row r="2101" spans="1:10" x14ac:dyDescent="0.25">
      <c r="A2101">
        <v>37</v>
      </c>
      <c r="B2101" s="1">
        <v>41004</v>
      </c>
      <c r="C2101">
        <v>4</v>
      </c>
      <c r="D2101">
        <v>2012</v>
      </c>
      <c r="E2101" s="2">
        <v>535311.64</v>
      </c>
      <c r="F2101">
        <v>0</v>
      </c>
      <c r="G2101" s="3">
        <v>77.17</v>
      </c>
      <c r="H2101" s="2">
        <v>3.7490000000000001</v>
      </c>
      <c r="I2101">
        <v>220.3545033</v>
      </c>
      <c r="J2101" s="3">
        <v>6.9889999999999999</v>
      </c>
    </row>
    <row r="2102" spans="1:10" x14ac:dyDescent="0.25">
      <c r="A2102">
        <v>37</v>
      </c>
      <c r="B2102" s="1">
        <v>41218</v>
      </c>
      <c r="C2102">
        <v>11</v>
      </c>
      <c r="D2102">
        <v>2012</v>
      </c>
      <c r="E2102" s="2">
        <v>527983.04</v>
      </c>
      <c r="F2102">
        <v>0</v>
      </c>
      <c r="G2102" s="3">
        <v>76.55</v>
      </c>
      <c r="H2102" s="2">
        <v>3.6880000000000002</v>
      </c>
      <c r="I2102">
        <v>220.40755809999999</v>
      </c>
      <c r="J2102" s="3">
        <v>6.9889999999999999</v>
      </c>
    </row>
    <row r="2103" spans="1:10" x14ac:dyDescent="0.25">
      <c r="A2103">
        <v>37</v>
      </c>
      <c r="B2103" s="1">
        <v>40914</v>
      </c>
      <c r="C2103">
        <v>1</v>
      </c>
      <c r="D2103">
        <v>2012</v>
      </c>
      <c r="E2103" s="2">
        <v>531811.85</v>
      </c>
      <c r="F2103">
        <v>0</v>
      </c>
      <c r="G2103" s="3">
        <v>80.739999999999995</v>
      </c>
      <c r="H2103" s="2">
        <v>3.5009999999999999</v>
      </c>
      <c r="I2103">
        <v>220.4322099</v>
      </c>
      <c r="J2103" s="3">
        <v>6.9889999999999999</v>
      </c>
    </row>
    <row r="2104" spans="1:10" x14ac:dyDescent="0.25">
      <c r="A2104">
        <v>37</v>
      </c>
      <c r="B2104" s="1">
        <v>41127</v>
      </c>
      <c r="C2104">
        <v>8</v>
      </c>
      <c r="D2104">
        <v>2012</v>
      </c>
      <c r="E2104" s="2">
        <v>528940.78</v>
      </c>
      <c r="F2104">
        <v>0</v>
      </c>
      <c r="G2104" s="3">
        <v>81.5</v>
      </c>
      <c r="H2104" s="2">
        <v>3.452</v>
      </c>
      <c r="I2104">
        <v>220.43570729999999</v>
      </c>
      <c r="J2104" s="3">
        <v>6.9889999999999999</v>
      </c>
    </row>
    <row r="2105" spans="1:10" x14ac:dyDescent="0.25">
      <c r="A2105">
        <v>37</v>
      </c>
      <c r="B2105" s="1">
        <v>41067</v>
      </c>
      <c r="C2105">
        <v>6</v>
      </c>
      <c r="D2105">
        <v>2012</v>
      </c>
      <c r="E2105" s="2">
        <v>519498.32</v>
      </c>
      <c r="F2105">
        <v>0</v>
      </c>
      <c r="G2105" s="3">
        <v>81.52</v>
      </c>
      <c r="H2105" s="2">
        <v>3.2269999999999999</v>
      </c>
      <c r="I2105">
        <v>220.56711200000001</v>
      </c>
      <c r="J2105" s="3">
        <v>6.6230000000000002</v>
      </c>
    </row>
    <row r="2106" spans="1:10" x14ac:dyDescent="0.25">
      <c r="A2106">
        <v>37</v>
      </c>
      <c r="B2106" s="1">
        <v>40976</v>
      </c>
      <c r="C2106">
        <v>3</v>
      </c>
      <c r="D2106">
        <v>2012</v>
      </c>
      <c r="E2106" s="2">
        <v>521959.28</v>
      </c>
      <c r="F2106">
        <v>0</v>
      </c>
      <c r="G2106" s="3">
        <v>85.56</v>
      </c>
      <c r="H2106" s="2">
        <v>3.4169999999999998</v>
      </c>
      <c r="I2106">
        <v>220.63193580000001</v>
      </c>
      <c r="J2106" s="3">
        <v>6.6230000000000002</v>
      </c>
    </row>
    <row r="2107" spans="1:10" x14ac:dyDescent="0.25">
      <c r="A2107">
        <v>37</v>
      </c>
      <c r="B2107" s="1">
        <v>41190</v>
      </c>
      <c r="C2107">
        <v>10</v>
      </c>
      <c r="D2107">
        <v>2012</v>
      </c>
      <c r="E2107" s="2">
        <v>500964.59</v>
      </c>
      <c r="F2107">
        <v>0</v>
      </c>
      <c r="G2107" s="3">
        <v>84.41</v>
      </c>
      <c r="H2107" s="2">
        <v>3.4940000000000002</v>
      </c>
      <c r="I2107">
        <v>220.64046630000001</v>
      </c>
      <c r="J2107" s="3">
        <v>6.6230000000000002</v>
      </c>
    </row>
    <row r="2108" spans="1:10" x14ac:dyDescent="0.25">
      <c r="A2108">
        <v>37</v>
      </c>
      <c r="B2108" s="1">
        <v>41099</v>
      </c>
      <c r="C2108">
        <v>7</v>
      </c>
      <c r="D2108">
        <v>2012</v>
      </c>
      <c r="E2108" s="2">
        <v>526838.14</v>
      </c>
      <c r="F2108">
        <v>1</v>
      </c>
      <c r="G2108" s="3">
        <v>84.19</v>
      </c>
      <c r="H2108" s="2">
        <v>3.73</v>
      </c>
      <c r="I2108">
        <v>221.11811420000001</v>
      </c>
      <c r="J2108" s="3">
        <v>6.6230000000000002</v>
      </c>
    </row>
    <row r="2109" spans="1:10" x14ac:dyDescent="0.25">
      <c r="A2109">
        <v>37</v>
      </c>
      <c r="B2109" s="1">
        <v>41039</v>
      </c>
      <c r="C2109">
        <v>5</v>
      </c>
      <c r="D2109">
        <v>2012</v>
      </c>
      <c r="E2109" s="2">
        <v>546122.37</v>
      </c>
      <c r="F2109">
        <v>0</v>
      </c>
      <c r="G2109" s="3">
        <v>73.569999999999993</v>
      </c>
      <c r="H2109" s="2">
        <v>3.617</v>
      </c>
      <c r="I2109">
        <v>221.8533396</v>
      </c>
      <c r="J2109" s="3">
        <v>6.2279999999999998</v>
      </c>
    </row>
    <row r="2110" spans="1:10" x14ac:dyDescent="0.25">
      <c r="A2110">
        <v>37</v>
      </c>
      <c r="B2110" s="1">
        <v>41253</v>
      </c>
      <c r="C2110">
        <v>12</v>
      </c>
      <c r="D2110">
        <v>2012</v>
      </c>
      <c r="E2110" s="2">
        <v>521810.75</v>
      </c>
      <c r="F2110">
        <v>0</v>
      </c>
      <c r="G2110" s="3">
        <v>71.28</v>
      </c>
      <c r="H2110" s="2">
        <v>3.601</v>
      </c>
      <c r="I2110">
        <v>222.0510793</v>
      </c>
      <c r="J2110" s="3">
        <v>6.2279999999999998</v>
      </c>
    </row>
    <row r="2111" spans="1:10" x14ac:dyDescent="0.25">
      <c r="A2111">
        <v>38</v>
      </c>
      <c r="B2111" s="1">
        <v>40300</v>
      </c>
      <c r="C2111">
        <v>5</v>
      </c>
      <c r="D2111">
        <v>2010</v>
      </c>
      <c r="E2111" s="2">
        <v>358496.14</v>
      </c>
      <c r="F2111">
        <v>0</v>
      </c>
      <c r="G2111" s="3">
        <v>49.47</v>
      </c>
      <c r="H2111" s="2">
        <v>2.9620000000000002</v>
      </c>
      <c r="I2111">
        <v>126.4420645</v>
      </c>
      <c r="J2111" s="3">
        <v>13.975</v>
      </c>
    </row>
    <row r="2112" spans="1:10" x14ac:dyDescent="0.25">
      <c r="A2112">
        <v>38</v>
      </c>
      <c r="B2112" s="1">
        <v>40514</v>
      </c>
      <c r="C2112">
        <v>12</v>
      </c>
      <c r="D2112">
        <v>2010</v>
      </c>
      <c r="E2112" s="2">
        <v>342214.9</v>
      </c>
      <c r="F2112">
        <v>1</v>
      </c>
      <c r="G2112" s="3">
        <v>47.87</v>
      </c>
      <c r="H2112" s="2">
        <v>2.9460000000000002</v>
      </c>
      <c r="I2112">
        <v>126.49625810000001</v>
      </c>
      <c r="J2112" s="3">
        <v>13.975</v>
      </c>
    </row>
    <row r="2113" spans="1:10" x14ac:dyDescent="0.25">
      <c r="A2113">
        <v>38</v>
      </c>
      <c r="B2113" s="1">
        <v>40301</v>
      </c>
      <c r="C2113">
        <v>5</v>
      </c>
      <c r="D2113">
        <v>2010</v>
      </c>
      <c r="E2113" s="2">
        <v>372239.89</v>
      </c>
      <c r="F2113">
        <v>0</v>
      </c>
      <c r="G2113" s="3">
        <v>53.77</v>
      </c>
      <c r="H2113" s="2">
        <v>2.9870000000000001</v>
      </c>
      <c r="I2113">
        <v>126.5782857</v>
      </c>
      <c r="J2113" s="3">
        <v>13.975</v>
      </c>
    </row>
    <row r="2114" spans="1:10" x14ac:dyDescent="0.25">
      <c r="A2114">
        <v>38</v>
      </c>
      <c r="B2114" s="1">
        <v>40515</v>
      </c>
      <c r="C2114">
        <v>12</v>
      </c>
      <c r="D2114">
        <v>2010</v>
      </c>
      <c r="E2114" s="2">
        <v>342023.92</v>
      </c>
      <c r="F2114">
        <v>0</v>
      </c>
      <c r="G2114" s="3">
        <v>50.11</v>
      </c>
      <c r="H2114" s="2">
        <v>2.9249999999999998</v>
      </c>
      <c r="I2114">
        <v>126.60428570000001</v>
      </c>
      <c r="J2114" s="3">
        <v>13.975</v>
      </c>
    </row>
    <row r="2115" spans="1:10" x14ac:dyDescent="0.25">
      <c r="A2115">
        <v>38</v>
      </c>
      <c r="B2115" s="1">
        <v>40213</v>
      </c>
      <c r="C2115">
        <v>2</v>
      </c>
      <c r="D2115">
        <v>2010</v>
      </c>
      <c r="E2115" s="2">
        <v>368929.55</v>
      </c>
      <c r="F2115">
        <v>0</v>
      </c>
      <c r="G2115" s="3">
        <v>59.84</v>
      </c>
      <c r="H2115" s="2">
        <v>3.0859999999999999</v>
      </c>
      <c r="I2115">
        <v>126.6034839</v>
      </c>
      <c r="J2115" s="3">
        <v>14.099</v>
      </c>
    </row>
    <row r="2116" spans="1:10" x14ac:dyDescent="0.25">
      <c r="A2116">
        <v>38</v>
      </c>
      <c r="B2116" s="1">
        <v>40425</v>
      </c>
      <c r="C2116">
        <v>9</v>
      </c>
      <c r="D2116">
        <v>2010</v>
      </c>
      <c r="E2116" s="2">
        <v>341630.46</v>
      </c>
      <c r="F2116">
        <v>0</v>
      </c>
      <c r="G2116" s="3">
        <v>59.25</v>
      </c>
      <c r="H2116" s="2">
        <v>3.09</v>
      </c>
      <c r="I2116">
        <v>126.6019032</v>
      </c>
      <c r="J2116" s="3">
        <v>14.099</v>
      </c>
    </row>
    <row r="2117" spans="1:10" x14ac:dyDescent="0.25">
      <c r="A2117">
        <v>38</v>
      </c>
      <c r="B2117" s="1">
        <v>40364</v>
      </c>
      <c r="C2117">
        <v>7</v>
      </c>
      <c r="D2117">
        <v>2010</v>
      </c>
      <c r="E2117" s="2">
        <v>383657.44</v>
      </c>
      <c r="F2117">
        <v>0</v>
      </c>
      <c r="G2117" s="3">
        <v>70.150000000000006</v>
      </c>
      <c r="H2117" s="2">
        <v>3.1269999999999998</v>
      </c>
      <c r="I2117">
        <v>126.2898</v>
      </c>
      <c r="J2117" s="3">
        <v>14.099</v>
      </c>
    </row>
    <row r="2118" spans="1:10" x14ac:dyDescent="0.25">
      <c r="A2118">
        <v>38</v>
      </c>
      <c r="B2118" s="1">
        <v>40274</v>
      </c>
      <c r="C2118">
        <v>4</v>
      </c>
      <c r="D2118">
        <v>2010</v>
      </c>
      <c r="E2118" s="2">
        <v>376184.88</v>
      </c>
      <c r="F2118">
        <v>0</v>
      </c>
      <c r="G2118" s="3">
        <v>81.39</v>
      </c>
      <c r="H2118" s="2">
        <v>2.9409999999999998</v>
      </c>
      <c r="I2118">
        <v>126.1360645</v>
      </c>
      <c r="J2118" s="3">
        <v>14.099</v>
      </c>
    </row>
    <row r="2119" spans="1:10" x14ac:dyDescent="0.25">
      <c r="A2119">
        <v>38</v>
      </c>
      <c r="B2119" s="1">
        <v>40488</v>
      </c>
      <c r="C2119">
        <v>11</v>
      </c>
      <c r="D2119">
        <v>2010</v>
      </c>
      <c r="E2119" s="2">
        <v>354828.65</v>
      </c>
      <c r="F2119">
        <v>0</v>
      </c>
      <c r="G2119" s="3">
        <v>90.84</v>
      </c>
      <c r="H2119" s="2">
        <v>2.9489999999999998</v>
      </c>
      <c r="I2119">
        <v>126.1119032</v>
      </c>
      <c r="J2119" s="3">
        <v>14.099</v>
      </c>
    </row>
    <row r="2120" spans="1:10" x14ac:dyDescent="0.25">
      <c r="A2120">
        <v>38</v>
      </c>
      <c r="B2120" s="1">
        <v>40216</v>
      </c>
      <c r="C2120">
        <v>2</v>
      </c>
      <c r="D2120">
        <v>2010</v>
      </c>
      <c r="E2120" s="2">
        <v>361181.48</v>
      </c>
      <c r="F2120">
        <v>0</v>
      </c>
      <c r="G2120" s="3">
        <v>91.98</v>
      </c>
      <c r="H2120" s="2">
        <v>3.105</v>
      </c>
      <c r="I2120">
        <v>126.1392</v>
      </c>
      <c r="J2120" s="3">
        <v>14.18</v>
      </c>
    </row>
    <row r="2121" spans="1:10" x14ac:dyDescent="0.25">
      <c r="A2121">
        <v>38</v>
      </c>
      <c r="B2121" s="1">
        <v>40428</v>
      </c>
      <c r="C2121">
        <v>9</v>
      </c>
      <c r="D2121">
        <v>2010</v>
      </c>
      <c r="E2121" s="2">
        <v>343850.34</v>
      </c>
      <c r="F2121">
        <v>0</v>
      </c>
      <c r="G2121" s="3">
        <v>90.37</v>
      </c>
      <c r="H2121" s="2">
        <v>3.1</v>
      </c>
      <c r="I2121">
        <v>126.15179999999999</v>
      </c>
      <c r="J2121" s="3">
        <v>14.18</v>
      </c>
    </row>
    <row r="2122" spans="1:10" x14ac:dyDescent="0.25">
      <c r="A2122">
        <v>38</v>
      </c>
      <c r="B2122" s="1">
        <v>40337</v>
      </c>
      <c r="C2122">
        <v>6</v>
      </c>
      <c r="D2122">
        <v>2010</v>
      </c>
      <c r="E2122" s="2">
        <v>378574.44</v>
      </c>
      <c r="F2122">
        <v>0</v>
      </c>
      <c r="G2122" s="3">
        <v>92.95</v>
      </c>
      <c r="H2122" s="2">
        <v>3.1230000000000002</v>
      </c>
      <c r="I2122">
        <v>126.0854516</v>
      </c>
      <c r="J2122" s="3">
        <v>14.18</v>
      </c>
    </row>
    <row r="2123" spans="1:10" x14ac:dyDescent="0.25">
      <c r="A2123">
        <v>38</v>
      </c>
      <c r="B2123" s="1">
        <v>40246</v>
      </c>
      <c r="C2123">
        <v>3</v>
      </c>
      <c r="D2123">
        <v>2010</v>
      </c>
      <c r="E2123" s="2">
        <v>377096.55</v>
      </c>
      <c r="F2123">
        <v>0</v>
      </c>
      <c r="G2123" s="3">
        <v>83.12</v>
      </c>
      <c r="H2123" s="2">
        <v>3.0870000000000002</v>
      </c>
      <c r="I2123">
        <v>126.1019355</v>
      </c>
      <c r="J2123" s="3">
        <v>14.18</v>
      </c>
    </row>
    <row r="2124" spans="1:10" x14ac:dyDescent="0.25">
      <c r="A2124">
        <v>38</v>
      </c>
      <c r="B2124" s="1">
        <v>40460</v>
      </c>
      <c r="C2124">
        <v>10</v>
      </c>
      <c r="D2124">
        <v>2010</v>
      </c>
      <c r="E2124" s="2">
        <v>336227.69</v>
      </c>
      <c r="F2124">
        <v>1</v>
      </c>
      <c r="G2124" s="3">
        <v>83.63</v>
      </c>
      <c r="H2124" s="2">
        <v>3.044</v>
      </c>
      <c r="I2124">
        <v>126.1145806</v>
      </c>
      <c r="J2124" s="3">
        <v>14.18</v>
      </c>
    </row>
    <row r="2125" spans="1:10" x14ac:dyDescent="0.25">
      <c r="A2125">
        <v>38</v>
      </c>
      <c r="B2125" s="1">
        <v>40188</v>
      </c>
      <c r="C2125">
        <v>1</v>
      </c>
      <c r="D2125">
        <v>2010</v>
      </c>
      <c r="E2125" s="2">
        <v>360256.58</v>
      </c>
      <c r="F2125">
        <v>0</v>
      </c>
      <c r="G2125" s="3">
        <v>85.2</v>
      </c>
      <c r="H2125" s="2">
        <v>3.0009999999999999</v>
      </c>
      <c r="I2125">
        <v>126.2346</v>
      </c>
      <c r="J2125" s="3">
        <v>14.313000000000001</v>
      </c>
    </row>
    <row r="2126" spans="1:10" x14ac:dyDescent="0.25">
      <c r="A2126">
        <v>38</v>
      </c>
      <c r="B2126" s="1">
        <v>40400</v>
      </c>
      <c r="C2126">
        <v>8</v>
      </c>
      <c r="D2126">
        <v>2010</v>
      </c>
      <c r="E2126" s="2">
        <v>351271.36</v>
      </c>
      <c r="F2126">
        <v>0</v>
      </c>
      <c r="G2126" s="3">
        <v>71.819999999999993</v>
      </c>
      <c r="H2126" s="2">
        <v>3.0129999999999999</v>
      </c>
      <c r="I2126">
        <v>126.2791667</v>
      </c>
      <c r="J2126" s="3">
        <v>14.313000000000001</v>
      </c>
    </row>
    <row r="2127" spans="1:10" x14ac:dyDescent="0.25">
      <c r="A2127">
        <v>38</v>
      </c>
      <c r="B2127" s="1">
        <v>40309</v>
      </c>
      <c r="C2127">
        <v>5</v>
      </c>
      <c r="D2127">
        <v>2010</v>
      </c>
      <c r="E2127" s="2">
        <v>380870.09</v>
      </c>
      <c r="F2127">
        <v>0</v>
      </c>
      <c r="G2127" s="3">
        <v>65.489999999999995</v>
      </c>
      <c r="H2127" s="2">
        <v>3.129</v>
      </c>
      <c r="I2127">
        <v>126.4912903</v>
      </c>
      <c r="J2127" s="3">
        <v>14.313000000000001</v>
      </c>
    </row>
    <row r="2128" spans="1:10" x14ac:dyDescent="0.25">
      <c r="A2128">
        <v>38</v>
      </c>
      <c r="B2128" s="1">
        <v>40523</v>
      </c>
      <c r="C2128">
        <v>12</v>
      </c>
      <c r="D2128">
        <v>2010</v>
      </c>
      <c r="E2128" s="2">
        <v>340147.20000000001</v>
      </c>
      <c r="F2128">
        <v>0</v>
      </c>
      <c r="G2128" s="3">
        <v>57.79</v>
      </c>
      <c r="H2128" s="2">
        <v>3.13</v>
      </c>
      <c r="I2128">
        <v>126.54616129999999</v>
      </c>
      <c r="J2128" s="3">
        <v>14.313000000000001</v>
      </c>
    </row>
    <row r="2129" spans="1:10" x14ac:dyDescent="0.25">
      <c r="A2129">
        <v>38</v>
      </c>
      <c r="B2129" s="1">
        <v>40249</v>
      </c>
      <c r="C2129">
        <v>3</v>
      </c>
      <c r="D2129">
        <v>2010</v>
      </c>
      <c r="E2129" s="2">
        <v>351925.36</v>
      </c>
      <c r="F2129">
        <v>0</v>
      </c>
      <c r="G2129" s="3">
        <v>43.33</v>
      </c>
      <c r="H2129" s="2">
        <v>3.0409999999999999</v>
      </c>
      <c r="I2129">
        <v>126.7313333</v>
      </c>
      <c r="J2129" s="3">
        <v>14.313000000000001</v>
      </c>
    </row>
    <row r="2130" spans="1:10" x14ac:dyDescent="0.25">
      <c r="A2130">
        <v>38</v>
      </c>
      <c r="B2130" s="1">
        <v>40463</v>
      </c>
      <c r="C2130">
        <v>10</v>
      </c>
      <c r="D2130">
        <v>2010</v>
      </c>
      <c r="E2130" s="2">
        <v>355965.23</v>
      </c>
      <c r="F2130">
        <v>0</v>
      </c>
      <c r="G2130" s="3">
        <v>50.01</v>
      </c>
      <c r="H2130" s="2">
        <v>3.2029999999999998</v>
      </c>
      <c r="I2130">
        <v>126.79340000000001</v>
      </c>
      <c r="J2130" s="3">
        <v>14.313000000000001</v>
      </c>
    </row>
    <row r="2131" spans="1:10" x14ac:dyDescent="0.25">
      <c r="A2131">
        <v>38</v>
      </c>
      <c r="B2131" s="1">
        <v>40725</v>
      </c>
      <c r="C2131">
        <v>7</v>
      </c>
      <c r="D2131">
        <v>2011</v>
      </c>
      <c r="E2131" s="2">
        <v>386344.54</v>
      </c>
      <c r="F2131">
        <v>0</v>
      </c>
      <c r="G2131" s="3">
        <v>37.64</v>
      </c>
      <c r="H2131" s="2">
        <v>3.2869999999999999</v>
      </c>
      <c r="I2131">
        <v>127.1917742</v>
      </c>
      <c r="J2131" s="3">
        <v>14.021000000000001</v>
      </c>
    </row>
    <row r="2132" spans="1:10" x14ac:dyDescent="0.25">
      <c r="A2132">
        <v>38</v>
      </c>
      <c r="B2132" s="1">
        <v>40635</v>
      </c>
      <c r="C2132">
        <v>4</v>
      </c>
      <c r="D2132">
        <v>2011</v>
      </c>
      <c r="E2132" s="2">
        <v>402341.76</v>
      </c>
      <c r="F2132">
        <v>0</v>
      </c>
      <c r="G2132" s="3">
        <v>45.14</v>
      </c>
      <c r="H2132" s="2">
        <v>3.3479999999999999</v>
      </c>
      <c r="I2132">
        <v>127.7195806</v>
      </c>
      <c r="J2132" s="3">
        <v>14.021000000000001</v>
      </c>
    </row>
    <row r="2133" spans="1:10" x14ac:dyDescent="0.25">
      <c r="A2133">
        <v>38</v>
      </c>
      <c r="B2133" s="1">
        <v>40849</v>
      </c>
      <c r="C2133">
        <v>11</v>
      </c>
      <c r="D2133">
        <v>2011</v>
      </c>
      <c r="E2133" s="2">
        <v>377672.46</v>
      </c>
      <c r="F2133">
        <v>1</v>
      </c>
      <c r="G2133" s="3">
        <v>51.3</v>
      </c>
      <c r="H2133" s="2">
        <v>3.3809999999999998</v>
      </c>
      <c r="I2133">
        <v>127.859129</v>
      </c>
      <c r="J2133" s="3">
        <v>14.021000000000001</v>
      </c>
    </row>
    <row r="2134" spans="1:10" x14ac:dyDescent="0.25">
      <c r="A2134">
        <v>38</v>
      </c>
      <c r="B2134" s="1">
        <v>40636</v>
      </c>
      <c r="C2134">
        <v>4</v>
      </c>
      <c r="D2134">
        <v>2011</v>
      </c>
      <c r="E2134" s="2">
        <v>405429.43</v>
      </c>
      <c r="F2134">
        <v>0</v>
      </c>
      <c r="G2134" s="3">
        <v>51.72</v>
      </c>
      <c r="H2134" s="2">
        <v>3.6739999999999999</v>
      </c>
      <c r="I2134">
        <v>128.26474999999999</v>
      </c>
      <c r="J2134" s="3">
        <v>14.021000000000001</v>
      </c>
    </row>
    <row r="2135" spans="1:10" x14ac:dyDescent="0.25">
      <c r="A2135">
        <v>38</v>
      </c>
      <c r="B2135" s="1">
        <v>40850</v>
      </c>
      <c r="C2135">
        <v>11</v>
      </c>
      <c r="D2135">
        <v>2011</v>
      </c>
      <c r="E2135" s="2">
        <v>357897.18</v>
      </c>
      <c r="F2135">
        <v>0</v>
      </c>
      <c r="G2135" s="3">
        <v>57.75</v>
      </c>
      <c r="H2135" s="2">
        <v>3.8180000000000001</v>
      </c>
      <c r="I2135">
        <v>128.39949999999999</v>
      </c>
      <c r="J2135" s="3">
        <v>14.021000000000001</v>
      </c>
    </row>
    <row r="2136" spans="1:10" x14ac:dyDescent="0.25">
      <c r="A2136">
        <v>38</v>
      </c>
      <c r="B2136" s="1">
        <v>40547</v>
      </c>
      <c r="C2136">
        <v>1</v>
      </c>
      <c r="D2136">
        <v>2011</v>
      </c>
      <c r="E2136" s="2">
        <v>382098.13</v>
      </c>
      <c r="F2136">
        <v>0</v>
      </c>
      <c r="G2136" s="3">
        <v>63.63</v>
      </c>
      <c r="H2136" s="2">
        <v>3.7719999999999998</v>
      </c>
      <c r="I2136">
        <v>128.71993549999999</v>
      </c>
      <c r="J2136" s="3">
        <v>13.736000000000001</v>
      </c>
    </row>
    <row r="2137" spans="1:10" x14ac:dyDescent="0.25">
      <c r="A2137">
        <v>38</v>
      </c>
      <c r="B2137" s="1">
        <v>40759</v>
      </c>
      <c r="C2137">
        <v>8</v>
      </c>
      <c r="D2137">
        <v>2011</v>
      </c>
      <c r="E2137" s="2">
        <v>392152.3</v>
      </c>
      <c r="F2137">
        <v>0</v>
      </c>
      <c r="G2137" s="3">
        <v>64.47</v>
      </c>
      <c r="H2137" s="2">
        <v>4.0030000000000001</v>
      </c>
      <c r="I2137">
        <v>128.82380649999999</v>
      </c>
      <c r="J2137" s="3">
        <v>13.736000000000001</v>
      </c>
    </row>
    <row r="2138" spans="1:10" x14ac:dyDescent="0.25">
      <c r="A2138">
        <v>38</v>
      </c>
      <c r="B2138" s="1">
        <v>40699</v>
      </c>
      <c r="C2138">
        <v>6</v>
      </c>
      <c r="D2138">
        <v>2011</v>
      </c>
      <c r="E2138" s="2">
        <v>422186.65</v>
      </c>
      <c r="F2138">
        <v>0</v>
      </c>
      <c r="G2138" s="3">
        <v>68.400000000000006</v>
      </c>
      <c r="H2138" s="2">
        <v>4.1929999999999996</v>
      </c>
      <c r="I2138">
        <v>129.04443330000001</v>
      </c>
      <c r="J2138" s="3">
        <v>13.736000000000001</v>
      </c>
    </row>
    <row r="2139" spans="1:10" x14ac:dyDescent="0.25">
      <c r="A2139">
        <v>38</v>
      </c>
      <c r="B2139" s="1">
        <v>40608</v>
      </c>
      <c r="C2139">
        <v>3</v>
      </c>
      <c r="D2139">
        <v>2011</v>
      </c>
      <c r="E2139" s="2">
        <v>396826.06</v>
      </c>
      <c r="F2139">
        <v>0</v>
      </c>
      <c r="G2139" s="3">
        <v>71.81</v>
      </c>
      <c r="H2139" s="2">
        <v>4.0309999999999997</v>
      </c>
      <c r="I2139">
        <v>129.04903229999999</v>
      </c>
      <c r="J2139" s="3">
        <v>13.736000000000001</v>
      </c>
    </row>
    <row r="2140" spans="1:10" x14ac:dyDescent="0.25">
      <c r="A2140">
        <v>38</v>
      </c>
      <c r="B2140" s="1">
        <v>40822</v>
      </c>
      <c r="C2140">
        <v>10</v>
      </c>
      <c r="D2140">
        <v>2011</v>
      </c>
      <c r="E2140" s="2">
        <v>381763.02</v>
      </c>
      <c r="F2140">
        <v>0</v>
      </c>
      <c r="G2140" s="3">
        <v>78.72</v>
      </c>
      <c r="H2140" s="2">
        <v>3.9809999999999999</v>
      </c>
      <c r="I2140">
        <v>129.03570970000001</v>
      </c>
      <c r="J2140" s="3">
        <v>13.736000000000001</v>
      </c>
    </row>
    <row r="2141" spans="1:10" x14ac:dyDescent="0.25">
      <c r="A2141">
        <v>38</v>
      </c>
      <c r="B2141" s="1">
        <v>40550</v>
      </c>
      <c r="C2141">
        <v>1</v>
      </c>
      <c r="D2141">
        <v>2011</v>
      </c>
      <c r="E2141" s="2">
        <v>387334.04</v>
      </c>
      <c r="F2141">
        <v>0</v>
      </c>
      <c r="G2141" s="3">
        <v>89.85</v>
      </c>
      <c r="H2141" s="2">
        <v>3.8420000000000001</v>
      </c>
      <c r="I2141">
        <v>129.08940000000001</v>
      </c>
      <c r="J2141" s="3">
        <v>13.503</v>
      </c>
    </row>
    <row r="2142" spans="1:10" x14ac:dyDescent="0.25">
      <c r="A2142">
        <v>38</v>
      </c>
      <c r="B2142" s="1">
        <v>40762</v>
      </c>
      <c r="C2142">
        <v>8</v>
      </c>
      <c r="D2142">
        <v>2011</v>
      </c>
      <c r="E2142" s="2">
        <v>399699.17</v>
      </c>
      <c r="F2142">
        <v>0</v>
      </c>
      <c r="G2142" s="3">
        <v>89.9</v>
      </c>
      <c r="H2142" s="2">
        <v>3.7050000000000001</v>
      </c>
      <c r="I2142">
        <v>129.11250000000001</v>
      </c>
      <c r="J2142" s="3">
        <v>13.503</v>
      </c>
    </row>
    <row r="2143" spans="1:10" x14ac:dyDescent="0.25">
      <c r="A2143">
        <v>38</v>
      </c>
      <c r="B2143" s="1">
        <v>40671</v>
      </c>
      <c r="C2143">
        <v>5</v>
      </c>
      <c r="D2143">
        <v>2011</v>
      </c>
      <c r="E2143" s="2">
        <v>437631.44</v>
      </c>
      <c r="F2143">
        <v>0</v>
      </c>
      <c r="G2143" s="3">
        <v>90.61</v>
      </c>
      <c r="H2143" s="2">
        <v>3.8029999999999999</v>
      </c>
      <c r="I2143">
        <v>129.18464520000001</v>
      </c>
      <c r="J2143" s="3">
        <v>13.503</v>
      </c>
    </row>
    <row r="2144" spans="1:10" x14ac:dyDescent="0.25">
      <c r="A2144">
        <v>38</v>
      </c>
      <c r="B2144" s="1">
        <v>40885</v>
      </c>
      <c r="C2144">
        <v>12</v>
      </c>
      <c r="D2144">
        <v>2011</v>
      </c>
      <c r="E2144" s="2">
        <v>387844.05</v>
      </c>
      <c r="F2144">
        <v>0</v>
      </c>
      <c r="G2144" s="3">
        <v>91.04</v>
      </c>
      <c r="H2144" s="2">
        <v>3.7010000000000001</v>
      </c>
      <c r="I2144">
        <v>129.2015806</v>
      </c>
      <c r="J2144" s="3">
        <v>13.503</v>
      </c>
    </row>
    <row r="2145" spans="1:10" x14ac:dyDescent="0.25">
      <c r="A2145">
        <v>38</v>
      </c>
      <c r="B2145" s="1">
        <v>40583</v>
      </c>
      <c r="C2145">
        <v>2</v>
      </c>
      <c r="D2145">
        <v>2011</v>
      </c>
      <c r="E2145" s="2">
        <v>416953.51</v>
      </c>
      <c r="F2145">
        <v>0</v>
      </c>
      <c r="G2145" s="3">
        <v>93.66</v>
      </c>
      <c r="H2145" s="2">
        <v>3.798</v>
      </c>
      <c r="I2145">
        <v>129.32593550000001</v>
      </c>
      <c r="J2145" s="3">
        <v>13.503</v>
      </c>
    </row>
    <row r="2146" spans="1:10" x14ac:dyDescent="0.25">
      <c r="A2146">
        <v>38</v>
      </c>
      <c r="B2146" s="1">
        <v>40795</v>
      </c>
      <c r="C2146">
        <v>9</v>
      </c>
      <c r="D2146">
        <v>2011</v>
      </c>
      <c r="E2146" s="2">
        <v>397771.68</v>
      </c>
      <c r="F2146">
        <v>1</v>
      </c>
      <c r="G2146" s="3">
        <v>88</v>
      </c>
      <c r="H2146" s="2">
        <v>3.9129999999999998</v>
      </c>
      <c r="I2146">
        <v>129.36861289999999</v>
      </c>
      <c r="J2146" s="3">
        <v>13.503</v>
      </c>
    </row>
    <row r="2147" spans="1:10" x14ac:dyDescent="0.25">
      <c r="A2147">
        <v>38</v>
      </c>
      <c r="B2147" s="1">
        <v>40734</v>
      </c>
      <c r="C2147">
        <v>7</v>
      </c>
      <c r="D2147">
        <v>2011</v>
      </c>
      <c r="E2147" s="2">
        <v>449516.29</v>
      </c>
      <c r="F2147">
        <v>0</v>
      </c>
      <c r="G2147" s="3">
        <v>70.44</v>
      </c>
      <c r="H2147" s="2">
        <v>3.827</v>
      </c>
      <c r="I2147">
        <v>129.69380000000001</v>
      </c>
      <c r="J2147" s="3">
        <v>12.89</v>
      </c>
    </row>
    <row r="2148" spans="1:10" x14ac:dyDescent="0.25">
      <c r="A2148">
        <v>38</v>
      </c>
      <c r="B2148" s="1">
        <v>40644</v>
      </c>
      <c r="C2148">
        <v>4</v>
      </c>
      <c r="D2148">
        <v>2011</v>
      </c>
      <c r="E2148" s="2">
        <v>436970.1</v>
      </c>
      <c r="F2148">
        <v>0</v>
      </c>
      <c r="G2148" s="3">
        <v>59.77</v>
      </c>
      <c r="H2148" s="2">
        <v>3.8279999999999998</v>
      </c>
      <c r="I2148">
        <v>129.8051935</v>
      </c>
      <c r="J2148" s="3">
        <v>12.89</v>
      </c>
    </row>
    <row r="2149" spans="1:10" x14ac:dyDescent="0.25">
      <c r="A2149">
        <v>38</v>
      </c>
      <c r="B2149" s="1">
        <v>40858</v>
      </c>
      <c r="C2149">
        <v>11</v>
      </c>
      <c r="D2149">
        <v>2011</v>
      </c>
      <c r="E2149" s="2">
        <v>411116.95</v>
      </c>
      <c r="F2149">
        <v>0</v>
      </c>
      <c r="G2149" s="3">
        <v>48.76</v>
      </c>
      <c r="H2149" s="2">
        <v>3.8239999999999998</v>
      </c>
      <c r="I2149">
        <v>129.81670969999999</v>
      </c>
      <c r="J2149" s="3">
        <v>12.89</v>
      </c>
    </row>
    <row r="2150" spans="1:10" x14ac:dyDescent="0.25">
      <c r="A2150">
        <v>38</v>
      </c>
      <c r="B2150" s="1">
        <v>40586</v>
      </c>
      <c r="C2150">
        <v>2</v>
      </c>
      <c r="D2150">
        <v>2011</v>
      </c>
      <c r="E2150" s="2">
        <v>411252.02</v>
      </c>
      <c r="F2150">
        <v>0</v>
      </c>
      <c r="G2150" s="3">
        <v>52.5</v>
      </c>
      <c r="H2150" s="2">
        <v>3.7010000000000001</v>
      </c>
      <c r="I2150">
        <v>129.84596669999999</v>
      </c>
      <c r="J2150" s="3">
        <v>12.89</v>
      </c>
    </row>
    <row r="2151" spans="1:10" x14ac:dyDescent="0.25">
      <c r="A2151">
        <v>38</v>
      </c>
      <c r="B2151" s="1">
        <v>40798</v>
      </c>
      <c r="C2151">
        <v>9</v>
      </c>
      <c r="D2151">
        <v>2011</v>
      </c>
      <c r="E2151" s="2">
        <v>435401.64</v>
      </c>
      <c r="F2151">
        <v>0</v>
      </c>
      <c r="G2151" s="3">
        <v>42.17</v>
      </c>
      <c r="H2151" s="2">
        <v>3.6440000000000001</v>
      </c>
      <c r="I2151">
        <v>129.85553329999999</v>
      </c>
      <c r="J2151" s="3">
        <v>12.89</v>
      </c>
    </row>
    <row r="2152" spans="1:10" x14ac:dyDescent="0.25">
      <c r="A2152">
        <v>38</v>
      </c>
      <c r="B2152" s="1">
        <v>41061</v>
      </c>
      <c r="C2152">
        <v>6</v>
      </c>
      <c r="D2152">
        <v>2012</v>
      </c>
      <c r="E2152" s="2">
        <v>478483.20000000001</v>
      </c>
      <c r="F2152">
        <v>0</v>
      </c>
      <c r="G2152" s="3">
        <v>50.43</v>
      </c>
      <c r="H2152" s="2">
        <v>3.5990000000000002</v>
      </c>
      <c r="I2152">
        <v>130.15751610000001</v>
      </c>
      <c r="J2152" s="3">
        <v>12.186999999999999</v>
      </c>
    </row>
    <row r="2153" spans="1:10" x14ac:dyDescent="0.25">
      <c r="A2153">
        <v>38</v>
      </c>
      <c r="B2153" s="1">
        <v>40970</v>
      </c>
      <c r="C2153">
        <v>3</v>
      </c>
      <c r="D2153">
        <v>2012</v>
      </c>
      <c r="E2153" s="2">
        <v>457711.68</v>
      </c>
      <c r="F2153">
        <v>0</v>
      </c>
      <c r="G2153" s="3">
        <v>50.58</v>
      </c>
      <c r="H2153" s="2">
        <v>3.702</v>
      </c>
      <c r="I2153">
        <v>130.34967739999999</v>
      </c>
      <c r="J2153" s="3">
        <v>12.186999999999999</v>
      </c>
    </row>
    <row r="2154" spans="1:10" x14ac:dyDescent="0.25">
      <c r="A2154">
        <v>38</v>
      </c>
      <c r="B2154" s="1">
        <v>41184</v>
      </c>
      <c r="C2154">
        <v>10</v>
      </c>
      <c r="D2154">
        <v>2012</v>
      </c>
      <c r="E2154" s="2">
        <v>469787.38</v>
      </c>
      <c r="F2154">
        <v>1</v>
      </c>
      <c r="G2154" s="3">
        <v>52.27</v>
      </c>
      <c r="H2154" s="2">
        <v>3.722</v>
      </c>
      <c r="I2154">
        <v>130.3849032</v>
      </c>
      <c r="J2154" s="3">
        <v>12.186999999999999</v>
      </c>
    </row>
    <row r="2155" spans="1:10" x14ac:dyDescent="0.25">
      <c r="A2155">
        <v>38</v>
      </c>
      <c r="B2155" s="1">
        <v>40942</v>
      </c>
      <c r="C2155">
        <v>2</v>
      </c>
      <c r="D2155">
        <v>2012</v>
      </c>
      <c r="E2155" s="2">
        <v>471115.38</v>
      </c>
      <c r="F2155">
        <v>0</v>
      </c>
      <c r="G2155" s="3">
        <v>52.27</v>
      </c>
      <c r="H2155" s="2">
        <v>4.1779999999999999</v>
      </c>
      <c r="I2155">
        <v>130.64579309999999</v>
      </c>
      <c r="J2155" s="3">
        <v>12.186999999999999</v>
      </c>
    </row>
    <row r="2156" spans="1:10" x14ac:dyDescent="0.25">
      <c r="A2156">
        <v>38</v>
      </c>
      <c r="B2156" s="1">
        <v>41155</v>
      </c>
      <c r="C2156">
        <v>9</v>
      </c>
      <c r="D2156">
        <v>2012</v>
      </c>
      <c r="E2156" s="2">
        <v>452792.53</v>
      </c>
      <c r="F2156">
        <v>0</v>
      </c>
      <c r="G2156" s="3">
        <v>54.54</v>
      </c>
      <c r="H2156" s="2">
        <v>4.25</v>
      </c>
      <c r="I2156">
        <v>130.74137930000001</v>
      </c>
      <c r="J2156" s="3">
        <v>12.186999999999999</v>
      </c>
    </row>
    <row r="2157" spans="1:10" x14ac:dyDescent="0.25">
      <c r="A2157">
        <v>38</v>
      </c>
      <c r="B2157" s="1">
        <v>41064</v>
      </c>
      <c r="C2157">
        <v>6</v>
      </c>
      <c r="D2157">
        <v>2012</v>
      </c>
      <c r="E2157" s="2">
        <v>499267.66</v>
      </c>
      <c r="F2157">
        <v>0</v>
      </c>
      <c r="G2157" s="3">
        <v>64.05</v>
      </c>
      <c r="H2157" s="2">
        <v>4.1210000000000004</v>
      </c>
      <c r="I2157">
        <v>131.03754839999999</v>
      </c>
      <c r="J2157" s="3">
        <v>11.627000000000001</v>
      </c>
    </row>
    <row r="2158" spans="1:10" x14ac:dyDescent="0.25">
      <c r="A2158">
        <v>38</v>
      </c>
      <c r="B2158" s="1">
        <v>41004</v>
      </c>
      <c r="C2158">
        <v>4</v>
      </c>
      <c r="D2158">
        <v>2012</v>
      </c>
      <c r="E2158" s="2">
        <v>491755.69</v>
      </c>
      <c r="F2158">
        <v>0</v>
      </c>
      <c r="G2158" s="3">
        <v>76.03</v>
      </c>
      <c r="H2158" s="2">
        <v>4.1710000000000003</v>
      </c>
      <c r="I2158">
        <v>131.136</v>
      </c>
      <c r="J2158" s="3">
        <v>11.627000000000001</v>
      </c>
    </row>
    <row r="2159" spans="1:10" x14ac:dyDescent="0.25">
      <c r="A2159">
        <v>38</v>
      </c>
      <c r="B2159" s="1">
        <v>41218</v>
      </c>
      <c r="C2159">
        <v>11</v>
      </c>
      <c r="D2159">
        <v>2012</v>
      </c>
      <c r="E2159" s="2">
        <v>429914.6</v>
      </c>
      <c r="F2159">
        <v>0</v>
      </c>
      <c r="G2159" s="3">
        <v>77.27</v>
      </c>
      <c r="H2159" s="2">
        <v>4.1859999999999999</v>
      </c>
      <c r="I2159">
        <v>131.1453333</v>
      </c>
      <c r="J2159" s="3">
        <v>11.627000000000001</v>
      </c>
    </row>
    <row r="2160" spans="1:10" x14ac:dyDescent="0.25">
      <c r="A2160">
        <v>38</v>
      </c>
      <c r="B2160" s="1">
        <v>40914</v>
      </c>
      <c r="C2160">
        <v>1</v>
      </c>
      <c r="D2160">
        <v>2012</v>
      </c>
      <c r="E2160" s="2">
        <v>435579.7</v>
      </c>
      <c r="F2160">
        <v>0</v>
      </c>
      <c r="G2160" s="3">
        <v>78.11</v>
      </c>
      <c r="H2160" s="2">
        <v>4.2770000000000001</v>
      </c>
      <c r="I2160">
        <v>130.95922580000001</v>
      </c>
      <c r="J2160" s="3">
        <v>11.627000000000001</v>
      </c>
    </row>
    <row r="2161" spans="1:10" x14ac:dyDescent="0.25">
      <c r="A2161">
        <v>38</v>
      </c>
      <c r="B2161" s="1">
        <v>41127</v>
      </c>
      <c r="C2161">
        <v>8</v>
      </c>
      <c r="D2161">
        <v>2012</v>
      </c>
      <c r="E2161" s="2">
        <v>448110.25</v>
      </c>
      <c r="F2161">
        <v>0</v>
      </c>
      <c r="G2161" s="3">
        <v>84.83</v>
      </c>
      <c r="H2161" s="2">
        <v>4.1029999999999998</v>
      </c>
      <c r="I2161">
        <v>130.88967740000001</v>
      </c>
      <c r="J2161" s="3">
        <v>11.627000000000001</v>
      </c>
    </row>
    <row r="2162" spans="1:10" x14ac:dyDescent="0.25">
      <c r="A2162">
        <v>38</v>
      </c>
      <c r="B2162" s="1">
        <v>41067</v>
      </c>
      <c r="C2162">
        <v>6</v>
      </c>
      <c r="D2162">
        <v>2012</v>
      </c>
      <c r="E2162" s="2">
        <v>471086.22</v>
      </c>
      <c r="F2162">
        <v>0</v>
      </c>
      <c r="G2162" s="3">
        <v>89.13</v>
      </c>
      <c r="H2162" s="2">
        <v>3.7650000000000001</v>
      </c>
      <c r="I2162">
        <v>130.7196333</v>
      </c>
      <c r="J2162" s="3">
        <v>10.926</v>
      </c>
    </row>
    <row r="2163" spans="1:10" x14ac:dyDescent="0.25">
      <c r="A2163">
        <v>38</v>
      </c>
      <c r="B2163" s="1">
        <v>40976</v>
      </c>
      <c r="C2163">
        <v>3</v>
      </c>
      <c r="D2163">
        <v>2012</v>
      </c>
      <c r="E2163" s="2">
        <v>469311.17</v>
      </c>
      <c r="F2163">
        <v>0</v>
      </c>
      <c r="G2163" s="3">
        <v>88.16</v>
      </c>
      <c r="H2163" s="2">
        <v>3.76</v>
      </c>
      <c r="I2163">
        <v>130.73787100000001</v>
      </c>
      <c r="J2163" s="3">
        <v>10.926</v>
      </c>
    </row>
    <row r="2164" spans="1:10" x14ac:dyDescent="0.25">
      <c r="A2164">
        <v>38</v>
      </c>
      <c r="B2164" s="1">
        <v>41190</v>
      </c>
      <c r="C2164">
        <v>10</v>
      </c>
      <c r="D2164">
        <v>2012</v>
      </c>
      <c r="E2164" s="2">
        <v>436690.13</v>
      </c>
      <c r="F2164">
        <v>0</v>
      </c>
      <c r="G2164" s="3">
        <v>95.91</v>
      </c>
      <c r="H2164" s="2">
        <v>3.8109999999999999</v>
      </c>
      <c r="I2164">
        <v>130.7561613</v>
      </c>
      <c r="J2164" s="3">
        <v>10.926</v>
      </c>
    </row>
    <row r="2165" spans="1:10" x14ac:dyDescent="0.25">
      <c r="A2165">
        <v>38</v>
      </c>
      <c r="B2165" s="1">
        <v>41099</v>
      </c>
      <c r="C2165">
        <v>7</v>
      </c>
      <c r="D2165">
        <v>2012</v>
      </c>
      <c r="E2165" s="2">
        <v>490274.82</v>
      </c>
      <c r="F2165">
        <v>1</v>
      </c>
      <c r="G2165" s="3">
        <v>88.52</v>
      </c>
      <c r="H2165" s="2">
        <v>4.1239999999999997</v>
      </c>
      <c r="I2165">
        <v>130.9325484</v>
      </c>
      <c r="J2165" s="3">
        <v>10.926</v>
      </c>
    </row>
    <row r="2166" spans="1:10" x14ac:dyDescent="0.25">
      <c r="A2166">
        <v>38</v>
      </c>
      <c r="B2166" s="1">
        <v>41039</v>
      </c>
      <c r="C2166">
        <v>5</v>
      </c>
      <c r="D2166">
        <v>2012</v>
      </c>
      <c r="E2166" s="2">
        <v>458479.01</v>
      </c>
      <c r="F2166">
        <v>0</v>
      </c>
      <c r="G2166" s="3">
        <v>81.61</v>
      </c>
      <c r="H2166" s="2">
        <v>3.9660000000000002</v>
      </c>
      <c r="I2166">
        <v>131.0756667</v>
      </c>
      <c r="J2166" s="3">
        <v>10.199</v>
      </c>
    </row>
    <row r="2167" spans="1:10" x14ac:dyDescent="0.25">
      <c r="A2167">
        <v>38</v>
      </c>
      <c r="B2167" s="1">
        <v>41253</v>
      </c>
      <c r="C2167">
        <v>12</v>
      </c>
      <c r="D2167">
        <v>2012</v>
      </c>
      <c r="E2167" s="2">
        <v>437320.66</v>
      </c>
      <c r="F2167">
        <v>0</v>
      </c>
      <c r="G2167" s="3">
        <v>71.739999999999995</v>
      </c>
      <c r="H2167" s="2">
        <v>4.468</v>
      </c>
      <c r="I2167">
        <v>131.1083333</v>
      </c>
      <c r="J2167" s="3">
        <v>10.199</v>
      </c>
    </row>
    <row r="2168" spans="1:10" x14ac:dyDescent="0.25">
      <c r="A2168">
        <v>39</v>
      </c>
      <c r="B2168" s="1">
        <v>40300</v>
      </c>
      <c r="C2168">
        <v>5</v>
      </c>
      <c r="D2168">
        <v>2010</v>
      </c>
      <c r="E2168" s="2">
        <v>1230596.8</v>
      </c>
      <c r="F2168">
        <v>0</v>
      </c>
      <c r="G2168" s="3">
        <v>44.3</v>
      </c>
      <c r="H2168" s="2">
        <v>2.5720000000000001</v>
      </c>
      <c r="I2168">
        <v>209.85296629999999</v>
      </c>
      <c r="J2168" s="3">
        <v>8.5540000000000003</v>
      </c>
    </row>
    <row r="2169" spans="1:10" x14ac:dyDescent="0.25">
      <c r="A2169">
        <v>39</v>
      </c>
      <c r="B2169" s="1">
        <v>40514</v>
      </c>
      <c r="C2169">
        <v>12</v>
      </c>
      <c r="D2169">
        <v>2010</v>
      </c>
      <c r="E2169" s="2">
        <v>1266229.07</v>
      </c>
      <c r="F2169">
        <v>1</v>
      </c>
      <c r="G2169" s="3">
        <v>44.58</v>
      </c>
      <c r="H2169" s="2">
        <v>2.548</v>
      </c>
      <c r="I2169">
        <v>209.9970208</v>
      </c>
      <c r="J2169" s="3">
        <v>8.5540000000000003</v>
      </c>
    </row>
    <row r="2170" spans="1:10" x14ac:dyDescent="0.25">
      <c r="A2170">
        <v>39</v>
      </c>
      <c r="B2170" s="1">
        <v>40301</v>
      </c>
      <c r="C2170">
        <v>5</v>
      </c>
      <c r="D2170">
        <v>2010</v>
      </c>
      <c r="E2170" s="2">
        <v>1266254.21</v>
      </c>
      <c r="F2170">
        <v>0</v>
      </c>
      <c r="G2170" s="3">
        <v>50.93</v>
      </c>
      <c r="H2170" s="2">
        <v>2.625</v>
      </c>
      <c r="I2170">
        <v>210.10927459999999</v>
      </c>
      <c r="J2170" s="3">
        <v>8.5540000000000003</v>
      </c>
    </row>
    <row r="2171" spans="1:10" x14ac:dyDescent="0.25">
      <c r="A2171">
        <v>39</v>
      </c>
      <c r="B2171" s="1">
        <v>40515</v>
      </c>
      <c r="C2171">
        <v>12</v>
      </c>
      <c r="D2171">
        <v>2010</v>
      </c>
      <c r="E2171" s="2">
        <v>1244391.83</v>
      </c>
      <c r="F2171">
        <v>0</v>
      </c>
      <c r="G2171" s="3">
        <v>61.88</v>
      </c>
      <c r="H2171" s="2">
        <v>2.6669999999999998</v>
      </c>
      <c r="I2171">
        <v>210.14136070000001</v>
      </c>
      <c r="J2171" s="3">
        <v>8.5540000000000003</v>
      </c>
    </row>
    <row r="2172" spans="1:10" x14ac:dyDescent="0.25">
      <c r="A2172">
        <v>39</v>
      </c>
      <c r="B2172" s="1">
        <v>40213</v>
      </c>
      <c r="C2172">
        <v>2</v>
      </c>
      <c r="D2172">
        <v>2010</v>
      </c>
      <c r="E2172" s="2">
        <v>1463942.62</v>
      </c>
      <c r="F2172">
        <v>0</v>
      </c>
      <c r="G2172" s="3">
        <v>63.31</v>
      </c>
      <c r="H2172" s="2">
        <v>2.7189999999999999</v>
      </c>
      <c r="I2172">
        <v>209.59386559999999</v>
      </c>
      <c r="J2172" s="3">
        <v>8.4640000000000004</v>
      </c>
    </row>
    <row r="2173" spans="1:10" x14ac:dyDescent="0.25">
      <c r="A2173">
        <v>39</v>
      </c>
      <c r="B2173" s="1">
        <v>40425</v>
      </c>
      <c r="C2173">
        <v>9</v>
      </c>
      <c r="D2173">
        <v>2010</v>
      </c>
      <c r="E2173" s="2">
        <v>1327035.27</v>
      </c>
      <c r="F2173">
        <v>0</v>
      </c>
      <c r="G2173" s="3">
        <v>68.150000000000006</v>
      </c>
      <c r="H2173" s="2">
        <v>2.77</v>
      </c>
      <c r="I2173">
        <v>209.40063799999999</v>
      </c>
      <c r="J2173" s="3">
        <v>8.4640000000000004</v>
      </c>
    </row>
    <row r="2174" spans="1:10" x14ac:dyDescent="0.25">
      <c r="A2174">
        <v>39</v>
      </c>
      <c r="B2174" s="1">
        <v>40364</v>
      </c>
      <c r="C2174">
        <v>7</v>
      </c>
      <c r="D2174">
        <v>2010</v>
      </c>
      <c r="E2174" s="2">
        <v>1355704.21</v>
      </c>
      <c r="F2174">
        <v>0</v>
      </c>
      <c r="G2174" s="3">
        <v>74.86</v>
      </c>
      <c r="H2174" s="2">
        <v>2.835</v>
      </c>
      <c r="I2174">
        <v>209.12158669999999</v>
      </c>
      <c r="J2174" s="3">
        <v>8.4640000000000004</v>
      </c>
    </row>
    <row r="2175" spans="1:10" x14ac:dyDescent="0.25">
      <c r="A2175">
        <v>39</v>
      </c>
      <c r="B2175" s="1">
        <v>40274</v>
      </c>
      <c r="C2175">
        <v>4</v>
      </c>
      <c r="D2175">
        <v>2010</v>
      </c>
      <c r="E2175" s="2">
        <v>1512207.95</v>
      </c>
      <c r="F2175">
        <v>0</v>
      </c>
      <c r="G2175" s="3">
        <v>79.83</v>
      </c>
      <c r="H2175" s="2">
        <v>2.7050000000000001</v>
      </c>
      <c r="I2175">
        <v>209.93980909999999</v>
      </c>
      <c r="J2175" s="3">
        <v>8.4640000000000004</v>
      </c>
    </row>
    <row r="2176" spans="1:10" x14ac:dyDescent="0.25">
      <c r="A2176">
        <v>39</v>
      </c>
      <c r="B2176" s="1">
        <v>40488</v>
      </c>
      <c r="C2176">
        <v>11</v>
      </c>
      <c r="D2176">
        <v>2010</v>
      </c>
      <c r="E2176" s="2">
        <v>1371405.33</v>
      </c>
      <c r="F2176">
        <v>0</v>
      </c>
      <c r="G2176" s="3">
        <v>81.78</v>
      </c>
      <c r="H2176" s="2">
        <v>2.6680000000000001</v>
      </c>
      <c r="I2176">
        <v>210.2135668</v>
      </c>
      <c r="J2176" s="3">
        <v>8.4640000000000004</v>
      </c>
    </row>
    <row r="2177" spans="1:10" x14ac:dyDescent="0.25">
      <c r="A2177">
        <v>39</v>
      </c>
      <c r="B2177" s="1">
        <v>40216</v>
      </c>
      <c r="C2177">
        <v>2</v>
      </c>
      <c r="D2177">
        <v>2010</v>
      </c>
      <c r="E2177" s="2">
        <v>1352547.7</v>
      </c>
      <c r="F2177">
        <v>0</v>
      </c>
      <c r="G2177" s="3">
        <v>81.349999999999994</v>
      </c>
      <c r="H2177" s="2">
        <v>2.669</v>
      </c>
      <c r="I2177">
        <v>209.984205</v>
      </c>
      <c r="J2177" s="3">
        <v>8.36</v>
      </c>
    </row>
    <row r="2178" spans="1:10" x14ac:dyDescent="0.25">
      <c r="A2178">
        <v>39</v>
      </c>
      <c r="B2178" s="1">
        <v>40428</v>
      </c>
      <c r="C2178">
        <v>9</v>
      </c>
      <c r="D2178">
        <v>2010</v>
      </c>
      <c r="E2178" s="2">
        <v>1330473.47</v>
      </c>
      <c r="F2178">
        <v>0</v>
      </c>
      <c r="G2178" s="3">
        <v>81.099999999999994</v>
      </c>
      <c r="H2178" s="2">
        <v>2.6419999999999999</v>
      </c>
      <c r="I2178">
        <v>209.8708867</v>
      </c>
      <c r="J2178" s="3">
        <v>8.36</v>
      </c>
    </row>
    <row r="2179" spans="1:10" x14ac:dyDescent="0.25">
      <c r="A2179">
        <v>39</v>
      </c>
      <c r="B2179" s="1">
        <v>40337</v>
      </c>
      <c r="C2179">
        <v>6</v>
      </c>
      <c r="D2179">
        <v>2010</v>
      </c>
      <c r="E2179" s="2">
        <v>1409989.67</v>
      </c>
      <c r="F2179">
        <v>0</v>
      </c>
      <c r="G2179" s="3">
        <v>84.92</v>
      </c>
      <c r="H2179" s="2">
        <v>2.6269999999999998</v>
      </c>
      <c r="I2179">
        <v>210.2614925</v>
      </c>
      <c r="J2179" s="3">
        <v>8.36</v>
      </c>
    </row>
    <row r="2180" spans="1:10" x14ac:dyDescent="0.25">
      <c r="A2180">
        <v>39</v>
      </c>
      <c r="B2180" s="1">
        <v>40246</v>
      </c>
      <c r="C2180">
        <v>3</v>
      </c>
      <c r="D2180">
        <v>2010</v>
      </c>
      <c r="E2180" s="2">
        <v>1345167.61</v>
      </c>
      <c r="F2180">
        <v>0</v>
      </c>
      <c r="G2180" s="3">
        <v>82.13</v>
      </c>
      <c r="H2180" s="2">
        <v>2.577</v>
      </c>
      <c r="I2180">
        <v>210.29666309999999</v>
      </c>
      <c r="J2180" s="3">
        <v>8.36</v>
      </c>
    </row>
    <row r="2181" spans="1:10" x14ac:dyDescent="0.25">
      <c r="A2181">
        <v>39</v>
      </c>
      <c r="B2181" s="1">
        <v>40460</v>
      </c>
      <c r="C2181">
        <v>10</v>
      </c>
      <c r="D2181">
        <v>2010</v>
      </c>
      <c r="E2181" s="2">
        <v>1279666.47</v>
      </c>
      <c r="F2181">
        <v>1</v>
      </c>
      <c r="G2181" s="3">
        <v>79.94</v>
      </c>
      <c r="H2181" s="2">
        <v>2.5649999999999999</v>
      </c>
      <c r="I2181">
        <v>210.2641156</v>
      </c>
      <c r="J2181" s="3">
        <v>8.36</v>
      </c>
    </row>
    <row r="2182" spans="1:10" x14ac:dyDescent="0.25">
      <c r="A2182">
        <v>39</v>
      </c>
      <c r="B2182" s="1">
        <v>40188</v>
      </c>
      <c r="C2182">
        <v>1</v>
      </c>
      <c r="D2182">
        <v>2010</v>
      </c>
      <c r="E2182" s="2">
        <v>1219583.9099999999</v>
      </c>
      <c r="F2182">
        <v>0</v>
      </c>
      <c r="G2182" s="3">
        <v>72.739999999999995</v>
      </c>
      <c r="H2182" s="2">
        <v>2.6030000000000002</v>
      </c>
      <c r="I2182">
        <v>210.4404433</v>
      </c>
      <c r="J2182" s="3">
        <v>8.4760000000000009</v>
      </c>
    </row>
    <row r="2183" spans="1:10" x14ac:dyDescent="0.25">
      <c r="A2183">
        <v>39</v>
      </c>
      <c r="B2183" s="1">
        <v>40400</v>
      </c>
      <c r="C2183">
        <v>8</v>
      </c>
      <c r="D2183">
        <v>2010</v>
      </c>
      <c r="E2183" s="2">
        <v>1286598.5900000001</v>
      </c>
      <c r="F2183">
        <v>0</v>
      </c>
      <c r="G2183" s="3">
        <v>64.8</v>
      </c>
      <c r="H2183" s="2">
        <v>2.633</v>
      </c>
      <c r="I2183">
        <v>210.51443979999999</v>
      </c>
      <c r="J2183" s="3">
        <v>8.4760000000000009</v>
      </c>
    </row>
    <row r="2184" spans="1:10" x14ac:dyDescent="0.25">
      <c r="A2184">
        <v>39</v>
      </c>
      <c r="B2184" s="1">
        <v>40309</v>
      </c>
      <c r="C2184">
        <v>5</v>
      </c>
      <c r="D2184">
        <v>2010</v>
      </c>
      <c r="E2184" s="2">
        <v>1293707.19</v>
      </c>
      <c r="F2184">
        <v>0</v>
      </c>
      <c r="G2184" s="3">
        <v>61.62</v>
      </c>
      <c r="H2184" s="2">
        <v>2.6890000000000001</v>
      </c>
      <c r="I2184">
        <v>210.72024440000001</v>
      </c>
      <c r="J2184" s="3">
        <v>8.4760000000000009</v>
      </c>
    </row>
    <row r="2185" spans="1:10" x14ac:dyDescent="0.25">
      <c r="A2185">
        <v>39</v>
      </c>
      <c r="B2185" s="1">
        <v>40523</v>
      </c>
      <c r="C2185">
        <v>12</v>
      </c>
      <c r="D2185">
        <v>2010</v>
      </c>
      <c r="E2185" s="2">
        <v>1291398.71</v>
      </c>
      <c r="F2185">
        <v>0</v>
      </c>
      <c r="G2185" s="3">
        <v>62.21</v>
      </c>
      <c r="H2185" s="2">
        <v>2.7280000000000002</v>
      </c>
      <c r="I2185">
        <v>210.76679440000001</v>
      </c>
      <c r="J2185" s="3">
        <v>8.4760000000000009</v>
      </c>
    </row>
    <row r="2186" spans="1:10" x14ac:dyDescent="0.25">
      <c r="A2186">
        <v>39</v>
      </c>
      <c r="B2186" s="1">
        <v>40249</v>
      </c>
      <c r="C2186">
        <v>3</v>
      </c>
      <c r="D2186">
        <v>2010</v>
      </c>
      <c r="E2186" s="2">
        <v>1431910.98</v>
      </c>
      <c r="F2186">
        <v>0</v>
      </c>
      <c r="G2186" s="3">
        <v>53.55</v>
      </c>
      <c r="H2186" s="2">
        <v>2.7080000000000002</v>
      </c>
      <c r="I2186">
        <v>210.37626299999999</v>
      </c>
      <c r="J2186" s="3">
        <v>8.4760000000000009</v>
      </c>
    </row>
    <row r="2187" spans="1:10" x14ac:dyDescent="0.25">
      <c r="A2187">
        <v>39</v>
      </c>
      <c r="B2187" s="1">
        <v>40463</v>
      </c>
      <c r="C2187">
        <v>10</v>
      </c>
      <c r="D2187">
        <v>2010</v>
      </c>
      <c r="E2187" s="2">
        <v>1630564.48</v>
      </c>
      <c r="F2187">
        <v>0</v>
      </c>
      <c r="G2187" s="3">
        <v>50.81</v>
      </c>
      <c r="H2187" s="2">
        <v>2.843</v>
      </c>
      <c r="I2187">
        <v>210.2372494</v>
      </c>
      <c r="J2187" s="3">
        <v>8.4760000000000009</v>
      </c>
    </row>
    <row r="2188" spans="1:10" x14ac:dyDescent="0.25">
      <c r="A2188">
        <v>39</v>
      </c>
      <c r="B2188" s="1">
        <v>40725</v>
      </c>
      <c r="C2188">
        <v>7</v>
      </c>
      <c r="D2188">
        <v>2011</v>
      </c>
      <c r="E2188" s="2">
        <v>1224475.1200000001</v>
      </c>
      <c r="F2188">
        <v>0</v>
      </c>
      <c r="G2188" s="3">
        <v>52.74</v>
      </c>
      <c r="H2188" s="2">
        <v>2.976</v>
      </c>
      <c r="I2188">
        <v>210.18423580000001</v>
      </c>
      <c r="J2188" s="3">
        <v>8.3949999999999996</v>
      </c>
    </row>
    <row r="2189" spans="1:10" x14ac:dyDescent="0.25">
      <c r="A2189">
        <v>39</v>
      </c>
      <c r="B2189" s="1">
        <v>40635</v>
      </c>
      <c r="C2189">
        <v>4</v>
      </c>
      <c r="D2189">
        <v>2011</v>
      </c>
      <c r="E2189" s="2">
        <v>1343773.94</v>
      </c>
      <c r="F2189">
        <v>0</v>
      </c>
      <c r="G2189" s="3">
        <v>45.96</v>
      </c>
      <c r="H2189" s="2">
        <v>2.9889999999999999</v>
      </c>
      <c r="I2189">
        <v>211.3333753</v>
      </c>
      <c r="J2189" s="3">
        <v>8.3949999999999996</v>
      </c>
    </row>
    <row r="2190" spans="1:10" x14ac:dyDescent="0.25">
      <c r="A2190">
        <v>39</v>
      </c>
      <c r="B2190" s="1">
        <v>40849</v>
      </c>
      <c r="C2190">
        <v>11</v>
      </c>
      <c r="D2190">
        <v>2011</v>
      </c>
      <c r="E2190" s="2">
        <v>1227893.8899999999</v>
      </c>
      <c r="F2190">
        <v>1</v>
      </c>
      <c r="G2190" s="3">
        <v>40.340000000000003</v>
      </c>
      <c r="H2190" s="2">
        <v>3.0219999999999998</v>
      </c>
      <c r="I2190">
        <v>211.69850930000001</v>
      </c>
      <c r="J2190" s="3">
        <v>8.3949999999999996</v>
      </c>
    </row>
    <row r="2191" spans="1:10" x14ac:dyDescent="0.25">
      <c r="A2191">
        <v>39</v>
      </c>
      <c r="B2191" s="1">
        <v>40636</v>
      </c>
      <c r="C2191">
        <v>4</v>
      </c>
      <c r="D2191">
        <v>2011</v>
      </c>
      <c r="E2191" s="2">
        <v>1316385.43</v>
      </c>
      <c r="F2191">
        <v>0</v>
      </c>
      <c r="G2191" s="3">
        <v>63.56</v>
      </c>
      <c r="H2191" s="2">
        <v>3.2879999999999998</v>
      </c>
      <c r="I2191">
        <v>212.57620499999999</v>
      </c>
      <c r="J2191" s="3">
        <v>8.3949999999999996</v>
      </c>
    </row>
    <row r="2192" spans="1:10" x14ac:dyDescent="0.25">
      <c r="A2192">
        <v>39</v>
      </c>
      <c r="B2192" s="1">
        <v>40850</v>
      </c>
      <c r="C2192">
        <v>11</v>
      </c>
      <c r="D2192">
        <v>2011</v>
      </c>
      <c r="E2192" s="2">
        <v>1283716.81</v>
      </c>
      <c r="F2192">
        <v>0</v>
      </c>
      <c r="G2192" s="3">
        <v>58.35</v>
      </c>
      <c r="H2192" s="2">
        <v>3.4590000000000001</v>
      </c>
      <c r="I2192">
        <v>212.86113130000001</v>
      </c>
      <c r="J2192" s="3">
        <v>8.3949999999999996</v>
      </c>
    </row>
    <row r="2193" spans="1:10" x14ac:dyDescent="0.25">
      <c r="A2193">
        <v>39</v>
      </c>
      <c r="B2193" s="1">
        <v>40547</v>
      </c>
      <c r="C2193">
        <v>1</v>
      </c>
      <c r="D2193">
        <v>2011</v>
      </c>
      <c r="E2193" s="2">
        <v>1316849.3600000001</v>
      </c>
      <c r="F2193">
        <v>0</v>
      </c>
      <c r="G2193" s="3">
        <v>66.569999999999993</v>
      </c>
      <c r="H2193" s="2">
        <v>3.524</v>
      </c>
      <c r="I2193">
        <v>213.57767010000001</v>
      </c>
      <c r="J2193" s="3">
        <v>8.3000000000000007</v>
      </c>
    </row>
    <row r="2194" spans="1:10" x14ac:dyDescent="0.25">
      <c r="A2194">
        <v>39</v>
      </c>
      <c r="B2194" s="1">
        <v>40759</v>
      </c>
      <c r="C2194">
        <v>8</v>
      </c>
      <c r="D2194">
        <v>2011</v>
      </c>
      <c r="E2194" s="2">
        <v>1350646.16</v>
      </c>
      <c r="F2194">
        <v>0</v>
      </c>
      <c r="G2194" s="3">
        <v>69.45</v>
      </c>
      <c r="H2194" s="2">
        <v>3.6219999999999999</v>
      </c>
      <c r="I2194">
        <v>213.81166579999999</v>
      </c>
      <c r="J2194" s="3">
        <v>8.3000000000000007</v>
      </c>
    </row>
    <row r="2195" spans="1:10" x14ac:dyDescent="0.25">
      <c r="A2195">
        <v>39</v>
      </c>
      <c r="B2195" s="1">
        <v>40699</v>
      </c>
      <c r="C2195">
        <v>6</v>
      </c>
      <c r="D2195">
        <v>2011</v>
      </c>
      <c r="E2195" s="2">
        <v>1370920.87</v>
      </c>
      <c r="F2195">
        <v>0</v>
      </c>
      <c r="G2195" s="3">
        <v>68.75</v>
      </c>
      <c r="H2195" s="2">
        <v>3.9060000000000001</v>
      </c>
      <c r="I2195">
        <v>214.52403760000001</v>
      </c>
      <c r="J2195" s="3">
        <v>8.3000000000000007</v>
      </c>
    </row>
    <row r="2196" spans="1:10" x14ac:dyDescent="0.25">
      <c r="A2196">
        <v>39</v>
      </c>
      <c r="B2196" s="1">
        <v>40608</v>
      </c>
      <c r="C2196">
        <v>3</v>
      </c>
      <c r="D2196">
        <v>2011</v>
      </c>
      <c r="E2196" s="2">
        <v>1541745.59</v>
      </c>
      <c r="F2196">
        <v>0</v>
      </c>
      <c r="G2196" s="3">
        <v>83.59</v>
      </c>
      <c r="H2196" s="2">
        <v>3.6989999999999998</v>
      </c>
      <c r="I2196">
        <v>214.01628049999999</v>
      </c>
      <c r="J2196" s="3">
        <v>8.3000000000000007</v>
      </c>
    </row>
    <row r="2197" spans="1:10" x14ac:dyDescent="0.25">
      <c r="A2197">
        <v>39</v>
      </c>
      <c r="B2197" s="1">
        <v>40822</v>
      </c>
      <c r="C2197">
        <v>10</v>
      </c>
      <c r="D2197">
        <v>2011</v>
      </c>
      <c r="E2197" s="2">
        <v>1442092.08</v>
      </c>
      <c r="F2197">
        <v>0</v>
      </c>
      <c r="G2197" s="3">
        <v>82.75</v>
      </c>
      <c r="H2197" s="2">
        <v>3.6480000000000001</v>
      </c>
      <c r="I2197">
        <v>213.7917147</v>
      </c>
      <c r="J2197" s="3">
        <v>8.3000000000000007</v>
      </c>
    </row>
    <row r="2198" spans="1:10" x14ac:dyDescent="0.25">
      <c r="A2198">
        <v>39</v>
      </c>
      <c r="B2198" s="1">
        <v>40550</v>
      </c>
      <c r="C2198">
        <v>1</v>
      </c>
      <c r="D2198">
        <v>2011</v>
      </c>
      <c r="E2198" s="2">
        <v>1429829.36</v>
      </c>
      <c r="F2198">
        <v>0</v>
      </c>
      <c r="G2198" s="3">
        <v>84.93</v>
      </c>
      <c r="H2198" s="2">
        <v>3.524</v>
      </c>
      <c r="I2198">
        <v>213.93241219999999</v>
      </c>
      <c r="J2198" s="3">
        <v>8.1769999999999996</v>
      </c>
    </row>
    <row r="2199" spans="1:10" x14ac:dyDescent="0.25">
      <c r="A2199">
        <v>39</v>
      </c>
      <c r="B2199" s="1">
        <v>40762</v>
      </c>
      <c r="C2199">
        <v>8</v>
      </c>
      <c r="D2199">
        <v>2011</v>
      </c>
      <c r="E2199" s="2">
        <v>1414564.53</v>
      </c>
      <c r="F2199">
        <v>0</v>
      </c>
      <c r="G2199" s="3">
        <v>84.33</v>
      </c>
      <c r="H2199" s="2">
        <v>3.48</v>
      </c>
      <c r="I2199">
        <v>214.02455560000001</v>
      </c>
      <c r="J2199" s="3">
        <v>8.1769999999999996</v>
      </c>
    </row>
    <row r="2200" spans="1:10" x14ac:dyDescent="0.25">
      <c r="A2200">
        <v>39</v>
      </c>
      <c r="B2200" s="1">
        <v>40671</v>
      </c>
      <c r="C2200">
        <v>5</v>
      </c>
      <c r="D2200">
        <v>2011</v>
      </c>
      <c r="E2200" s="2">
        <v>1518790.89</v>
      </c>
      <c r="F2200">
        <v>0</v>
      </c>
      <c r="G2200" s="3">
        <v>87.73</v>
      </c>
      <c r="H2200" s="2">
        <v>3.6840000000000002</v>
      </c>
      <c r="I2200">
        <v>214.2972939</v>
      </c>
      <c r="J2200" s="3">
        <v>8.1769999999999996</v>
      </c>
    </row>
    <row r="2201" spans="1:10" x14ac:dyDescent="0.25">
      <c r="A2201">
        <v>39</v>
      </c>
      <c r="B2201" s="1">
        <v>40885</v>
      </c>
      <c r="C2201">
        <v>12</v>
      </c>
      <c r="D2201">
        <v>2011</v>
      </c>
      <c r="E2201" s="2">
        <v>1514055.97</v>
      </c>
      <c r="F2201">
        <v>0</v>
      </c>
      <c r="G2201" s="3">
        <v>88.27</v>
      </c>
      <c r="H2201" s="2">
        <v>3.6379999999999999</v>
      </c>
      <c r="I2201">
        <v>214.36027010000001</v>
      </c>
      <c r="J2201" s="3">
        <v>8.1769999999999996</v>
      </c>
    </row>
    <row r="2202" spans="1:10" x14ac:dyDescent="0.25">
      <c r="A2202">
        <v>39</v>
      </c>
      <c r="B2202" s="1">
        <v>40583</v>
      </c>
      <c r="C2202">
        <v>2</v>
      </c>
      <c r="D2202">
        <v>2011</v>
      </c>
      <c r="E2202" s="2">
        <v>1465089.85</v>
      </c>
      <c r="F2202">
        <v>0</v>
      </c>
      <c r="G2202" s="3">
        <v>88.65</v>
      </c>
      <c r="H2202" s="2">
        <v>3.5329999999999999</v>
      </c>
      <c r="I2202">
        <v>214.5516896</v>
      </c>
      <c r="J2202" s="3">
        <v>8.1769999999999996</v>
      </c>
    </row>
    <row r="2203" spans="1:10" x14ac:dyDescent="0.25">
      <c r="A2203">
        <v>39</v>
      </c>
      <c r="B2203" s="1">
        <v>40795</v>
      </c>
      <c r="C2203">
        <v>9</v>
      </c>
      <c r="D2203">
        <v>2011</v>
      </c>
      <c r="E2203" s="2">
        <v>1429345.86</v>
      </c>
      <c r="F2203">
        <v>1</v>
      </c>
      <c r="G2203" s="3">
        <v>79.150000000000006</v>
      </c>
      <c r="H2203" s="2">
        <v>3.5459999999999998</v>
      </c>
      <c r="I2203">
        <v>214.61553760000001</v>
      </c>
      <c r="J2203" s="3">
        <v>8.1769999999999996</v>
      </c>
    </row>
    <row r="2204" spans="1:10" x14ac:dyDescent="0.25">
      <c r="A2204">
        <v>39</v>
      </c>
      <c r="B2204" s="1">
        <v>40734</v>
      </c>
      <c r="C2204">
        <v>7</v>
      </c>
      <c r="D2204">
        <v>2011</v>
      </c>
      <c r="E2204" s="2">
        <v>1443884.39</v>
      </c>
      <c r="F2204">
        <v>0</v>
      </c>
      <c r="G2204" s="3">
        <v>71.680000000000007</v>
      </c>
      <c r="H2204" s="2">
        <v>3.2850000000000001</v>
      </c>
      <c r="I2204">
        <v>215.7831333</v>
      </c>
      <c r="J2204" s="3">
        <v>7.7160000000000002</v>
      </c>
    </row>
    <row r="2205" spans="1:10" x14ac:dyDescent="0.25">
      <c r="A2205">
        <v>39</v>
      </c>
      <c r="B2205" s="1">
        <v>40644</v>
      </c>
      <c r="C2205">
        <v>4</v>
      </c>
      <c r="D2205">
        <v>2011</v>
      </c>
      <c r="E2205" s="2">
        <v>1553629.59</v>
      </c>
      <c r="F2205">
        <v>0</v>
      </c>
      <c r="G2205" s="3">
        <v>58.04</v>
      </c>
      <c r="H2205" s="2">
        <v>3.3319999999999999</v>
      </c>
      <c r="I2205">
        <v>216.56343440000001</v>
      </c>
      <c r="J2205" s="3">
        <v>7.7160000000000002</v>
      </c>
    </row>
    <row r="2206" spans="1:10" x14ac:dyDescent="0.25">
      <c r="A2206">
        <v>39</v>
      </c>
      <c r="B2206" s="1">
        <v>40858</v>
      </c>
      <c r="C2206">
        <v>11</v>
      </c>
      <c r="D2206">
        <v>2011</v>
      </c>
      <c r="E2206" s="2">
        <v>1456957.38</v>
      </c>
      <c r="F2206">
        <v>0</v>
      </c>
      <c r="G2206" s="3">
        <v>63.11</v>
      </c>
      <c r="H2206" s="2">
        <v>3.2970000000000002</v>
      </c>
      <c r="I2206">
        <v>216.7217373</v>
      </c>
      <c r="J2206" s="3">
        <v>7.7160000000000002</v>
      </c>
    </row>
    <row r="2207" spans="1:10" x14ac:dyDescent="0.25">
      <c r="A2207">
        <v>39</v>
      </c>
      <c r="B2207" s="1">
        <v>40586</v>
      </c>
      <c r="C2207">
        <v>2</v>
      </c>
      <c r="D2207">
        <v>2011</v>
      </c>
      <c r="E2207" s="2">
        <v>1632894.58</v>
      </c>
      <c r="F2207">
        <v>0</v>
      </c>
      <c r="G2207" s="3">
        <v>53.14</v>
      </c>
      <c r="H2207" s="2">
        <v>3.1720000000000002</v>
      </c>
      <c r="I2207">
        <v>217.4229206</v>
      </c>
      <c r="J2207" s="3">
        <v>7.7160000000000002</v>
      </c>
    </row>
    <row r="2208" spans="1:10" x14ac:dyDescent="0.25">
      <c r="A2208">
        <v>39</v>
      </c>
      <c r="B2208" s="1">
        <v>40798</v>
      </c>
      <c r="C2208">
        <v>9</v>
      </c>
      <c r="D2208">
        <v>2011</v>
      </c>
      <c r="E2208" s="2">
        <v>1781528.77</v>
      </c>
      <c r="F2208">
        <v>0</v>
      </c>
      <c r="G2208" s="3">
        <v>49.36</v>
      </c>
      <c r="H2208" s="2">
        <v>3.1579999999999999</v>
      </c>
      <c r="I2208">
        <v>217.66458779999999</v>
      </c>
      <c r="J2208" s="3">
        <v>7.7160000000000002</v>
      </c>
    </row>
    <row r="2209" spans="1:10" x14ac:dyDescent="0.25">
      <c r="A2209">
        <v>39</v>
      </c>
      <c r="B2209" s="1">
        <v>41061</v>
      </c>
      <c r="C2209">
        <v>6</v>
      </c>
      <c r="D2209">
        <v>2012</v>
      </c>
      <c r="E2209" s="2">
        <v>1478537.93</v>
      </c>
      <c r="F2209">
        <v>0</v>
      </c>
      <c r="G2209" s="3">
        <v>55.83</v>
      </c>
      <c r="H2209" s="2">
        <v>3.157</v>
      </c>
      <c r="I2209">
        <v>218.40628760000001</v>
      </c>
      <c r="J2209" s="3">
        <v>7.2439999999999998</v>
      </c>
    </row>
    <row r="2210" spans="1:10" x14ac:dyDescent="0.25">
      <c r="A2210">
        <v>39</v>
      </c>
      <c r="B2210" s="1">
        <v>40970</v>
      </c>
      <c r="C2210">
        <v>3</v>
      </c>
      <c r="D2210">
        <v>2012</v>
      </c>
      <c r="E2210" s="2">
        <v>1396150.15</v>
      </c>
      <c r="F2210">
        <v>0</v>
      </c>
      <c r="G2210" s="3">
        <v>60.69</v>
      </c>
      <c r="H2210" s="2">
        <v>3.36</v>
      </c>
      <c r="I2210">
        <v>218.8619099</v>
      </c>
      <c r="J2210" s="3">
        <v>7.2439999999999998</v>
      </c>
    </row>
    <row r="2211" spans="1:10" x14ac:dyDescent="0.25">
      <c r="A2211">
        <v>39</v>
      </c>
      <c r="B2211" s="1">
        <v>41184</v>
      </c>
      <c r="C2211">
        <v>10</v>
      </c>
      <c r="D2211">
        <v>2012</v>
      </c>
      <c r="E2211" s="2">
        <v>1442988.44</v>
      </c>
      <c r="F2211">
        <v>1</v>
      </c>
      <c r="G2211" s="3">
        <v>52.89</v>
      </c>
      <c r="H2211" s="2">
        <v>3.4089999999999998</v>
      </c>
      <c r="I2211">
        <v>218.9551002</v>
      </c>
      <c r="J2211" s="3">
        <v>7.2439999999999998</v>
      </c>
    </row>
    <row r="2212" spans="1:10" x14ac:dyDescent="0.25">
      <c r="A2212">
        <v>39</v>
      </c>
      <c r="B2212" s="1">
        <v>40942</v>
      </c>
      <c r="C2212">
        <v>2</v>
      </c>
      <c r="D2212">
        <v>2012</v>
      </c>
      <c r="E2212" s="2">
        <v>1453047.02</v>
      </c>
      <c r="F2212">
        <v>0</v>
      </c>
      <c r="G2212" s="3">
        <v>64.05</v>
      </c>
      <c r="H2212" s="2">
        <v>3.63</v>
      </c>
      <c r="I2212">
        <v>219.5340975</v>
      </c>
      <c r="J2212" s="3">
        <v>7.2439999999999998</v>
      </c>
    </row>
    <row r="2213" spans="1:10" x14ac:dyDescent="0.25">
      <c r="A2213">
        <v>39</v>
      </c>
      <c r="B2213" s="1">
        <v>41155</v>
      </c>
      <c r="C2213">
        <v>9</v>
      </c>
      <c r="D2213">
        <v>2012</v>
      </c>
      <c r="E2213" s="2">
        <v>1470764.35</v>
      </c>
      <c r="F2213">
        <v>0</v>
      </c>
      <c r="G2213" s="3">
        <v>61.64</v>
      </c>
      <c r="H2213" s="2">
        <v>3.669</v>
      </c>
      <c r="I2213">
        <v>219.7437314</v>
      </c>
      <c r="J2213" s="3">
        <v>7.2439999999999998</v>
      </c>
    </row>
    <row r="2214" spans="1:10" x14ac:dyDescent="0.25">
      <c r="A2214">
        <v>39</v>
      </c>
      <c r="B2214" s="1">
        <v>41064</v>
      </c>
      <c r="C2214">
        <v>6</v>
      </c>
      <c r="D2214">
        <v>2012</v>
      </c>
      <c r="E2214" s="2">
        <v>1764847.94</v>
      </c>
      <c r="F2214">
        <v>0</v>
      </c>
      <c r="G2214" s="3">
        <v>73.489999999999995</v>
      </c>
      <c r="H2214" s="2">
        <v>3.891</v>
      </c>
      <c r="I2214">
        <v>220.12041249999999</v>
      </c>
      <c r="J2214" s="3">
        <v>6.9889999999999999</v>
      </c>
    </row>
    <row r="2215" spans="1:10" x14ac:dyDescent="0.25">
      <c r="A2215">
        <v>39</v>
      </c>
      <c r="B2215" s="1">
        <v>41004</v>
      </c>
      <c r="C2215">
        <v>4</v>
      </c>
      <c r="D2215">
        <v>2012</v>
      </c>
      <c r="E2215" s="2">
        <v>1512227.34</v>
      </c>
      <c r="F2215">
        <v>0</v>
      </c>
      <c r="G2215" s="3">
        <v>77.150000000000006</v>
      </c>
      <c r="H2215" s="2">
        <v>3.7490000000000001</v>
      </c>
      <c r="I2215">
        <v>220.3545033</v>
      </c>
      <c r="J2215" s="3">
        <v>6.9889999999999999</v>
      </c>
    </row>
    <row r="2216" spans="1:10" x14ac:dyDescent="0.25">
      <c r="A2216">
        <v>39</v>
      </c>
      <c r="B2216" s="1">
        <v>41218</v>
      </c>
      <c r="C2216">
        <v>11</v>
      </c>
      <c r="D2216">
        <v>2012</v>
      </c>
      <c r="E2216" s="2">
        <v>1470792.41</v>
      </c>
      <c r="F2216">
        <v>0</v>
      </c>
      <c r="G2216" s="3">
        <v>75.52</v>
      </c>
      <c r="H2216" s="2">
        <v>3.6880000000000002</v>
      </c>
      <c r="I2216">
        <v>220.40755809999999</v>
      </c>
      <c r="J2216" s="3">
        <v>6.9889999999999999</v>
      </c>
    </row>
    <row r="2217" spans="1:10" x14ac:dyDescent="0.25">
      <c r="A2217">
        <v>39</v>
      </c>
      <c r="B2217" s="1">
        <v>40914</v>
      </c>
      <c r="C2217">
        <v>1</v>
      </c>
      <c r="D2217">
        <v>2012</v>
      </c>
      <c r="E2217" s="2">
        <v>1640476.77</v>
      </c>
      <c r="F2217">
        <v>0</v>
      </c>
      <c r="G2217" s="3">
        <v>80.33</v>
      </c>
      <c r="H2217" s="2">
        <v>3.5009999999999999</v>
      </c>
      <c r="I2217">
        <v>220.4322099</v>
      </c>
      <c r="J2217" s="3">
        <v>6.9889999999999999</v>
      </c>
    </row>
    <row r="2218" spans="1:10" x14ac:dyDescent="0.25">
      <c r="A2218">
        <v>39</v>
      </c>
      <c r="B2218" s="1">
        <v>41127</v>
      </c>
      <c r="C2218">
        <v>8</v>
      </c>
      <c r="D2218">
        <v>2012</v>
      </c>
      <c r="E2218" s="2">
        <v>1623442.24</v>
      </c>
      <c r="F2218">
        <v>0</v>
      </c>
      <c r="G2218" s="3">
        <v>81.12</v>
      </c>
      <c r="H2218" s="2">
        <v>3.452</v>
      </c>
      <c r="I2218">
        <v>220.43570729999999</v>
      </c>
      <c r="J2218" s="3">
        <v>6.9889999999999999</v>
      </c>
    </row>
    <row r="2219" spans="1:10" x14ac:dyDescent="0.25">
      <c r="A2219">
        <v>39</v>
      </c>
      <c r="B2219" s="1">
        <v>41067</v>
      </c>
      <c r="C2219">
        <v>6</v>
      </c>
      <c r="D2219">
        <v>2012</v>
      </c>
      <c r="E2219" s="2">
        <v>1659221.99</v>
      </c>
      <c r="F2219">
        <v>0</v>
      </c>
      <c r="G2219" s="3">
        <v>81.05</v>
      </c>
      <c r="H2219" s="2">
        <v>3.2269999999999999</v>
      </c>
      <c r="I2219">
        <v>220.56711200000001</v>
      </c>
      <c r="J2219" s="3">
        <v>6.6230000000000002</v>
      </c>
    </row>
    <row r="2220" spans="1:10" x14ac:dyDescent="0.25">
      <c r="A2220">
        <v>39</v>
      </c>
      <c r="B2220" s="1">
        <v>40976</v>
      </c>
      <c r="C2220">
        <v>3</v>
      </c>
      <c r="D2220">
        <v>2012</v>
      </c>
      <c r="E2220" s="2">
        <v>1608277.74</v>
      </c>
      <c r="F2220">
        <v>0</v>
      </c>
      <c r="G2220" s="3">
        <v>84.05</v>
      </c>
      <c r="H2220" s="2">
        <v>3.4169999999999998</v>
      </c>
      <c r="I2220">
        <v>220.63193580000001</v>
      </c>
      <c r="J2220" s="3">
        <v>6.6230000000000002</v>
      </c>
    </row>
    <row r="2221" spans="1:10" x14ac:dyDescent="0.25">
      <c r="A2221">
        <v>39</v>
      </c>
      <c r="B2221" s="1">
        <v>41190</v>
      </c>
      <c r="C2221">
        <v>10</v>
      </c>
      <c r="D2221">
        <v>2012</v>
      </c>
      <c r="E2221" s="2">
        <v>1641867.92</v>
      </c>
      <c r="F2221">
        <v>0</v>
      </c>
      <c r="G2221" s="3">
        <v>83.47</v>
      </c>
      <c r="H2221" s="2">
        <v>3.4940000000000002</v>
      </c>
      <c r="I2221">
        <v>220.64046630000001</v>
      </c>
      <c r="J2221" s="3">
        <v>6.6230000000000002</v>
      </c>
    </row>
    <row r="2222" spans="1:10" x14ac:dyDescent="0.25">
      <c r="A2222">
        <v>39</v>
      </c>
      <c r="B2222" s="1">
        <v>41099</v>
      </c>
      <c r="C2222">
        <v>7</v>
      </c>
      <c r="D2222">
        <v>2012</v>
      </c>
      <c r="E2222" s="2">
        <v>1609811.75</v>
      </c>
      <c r="F2222">
        <v>1</v>
      </c>
      <c r="G2222" s="3">
        <v>83.71</v>
      </c>
      <c r="H2222" s="2">
        <v>3.73</v>
      </c>
      <c r="I2222">
        <v>221.11811420000001</v>
      </c>
      <c r="J2222" s="3">
        <v>6.6230000000000002</v>
      </c>
    </row>
    <row r="2223" spans="1:10" x14ac:dyDescent="0.25">
      <c r="A2223">
        <v>39</v>
      </c>
      <c r="B2223" s="1">
        <v>41039</v>
      </c>
      <c r="C2223">
        <v>5</v>
      </c>
      <c r="D2223">
        <v>2012</v>
      </c>
      <c r="E2223" s="2">
        <v>1574408.67</v>
      </c>
      <c r="F2223">
        <v>0</v>
      </c>
      <c r="G2223" s="3">
        <v>72.05</v>
      </c>
      <c r="H2223" s="2">
        <v>3.617</v>
      </c>
      <c r="I2223">
        <v>221.8533396</v>
      </c>
      <c r="J2223" s="3">
        <v>6.2279999999999998</v>
      </c>
    </row>
    <row r="2224" spans="1:10" x14ac:dyDescent="0.25">
      <c r="A2224">
        <v>39</v>
      </c>
      <c r="B2224" s="1">
        <v>41253</v>
      </c>
      <c r="C2224">
        <v>12</v>
      </c>
      <c r="D2224">
        <v>2012</v>
      </c>
      <c r="E2224" s="2">
        <v>1494417.07</v>
      </c>
      <c r="F2224">
        <v>0</v>
      </c>
      <c r="G2224" s="3">
        <v>69.88</v>
      </c>
      <c r="H2224" s="2">
        <v>3.601</v>
      </c>
      <c r="I2224">
        <v>222.0510793</v>
      </c>
      <c r="J2224" s="3">
        <v>6.2279999999999998</v>
      </c>
    </row>
    <row r="2225" spans="1:10" x14ac:dyDescent="0.25">
      <c r="A2225">
        <v>40</v>
      </c>
      <c r="B2225" s="1">
        <v>40300</v>
      </c>
      <c r="C2225">
        <v>5</v>
      </c>
      <c r="D2225">
        <v>2010</v>
      </c>
      <c r="E2225" s="2">
        <v>1001943.8</v>
      </c>
      <c r="F2225">
        <v>0</v>
      </c>
      <c r="G2225" s="3">
        <v>14.48</v>
      </c>
      <c r="H2225" s="2">
        <v>2.7879999999999998</v>
      </c>
      <c r="I2225">
        <v>131.5279032</v>
      </c>
      <c r="J2225" s="3">
        <v>5.8920000000000003</v>
      </c>
    </row>
    <row r="2226" spans="1:10" x14ac:dyDescent="0.25">
      <c r="A2226">
        <v>40</v>
      </c>
      <c r="B2226" s="1">
        <v>40514</v>
      </c>
      <c r="C2226">
        <v>12</v>
      </c>
      <c r="D2226">
        <v>2010</v>
      </c>
      <c r="E2226" s="2">
        <v>955338.29</v>
      </c>
      <c r="F2226">
        <v>1</v>
      </c>
      <c r="G2226" s="3">
        <v>20.84</v>
      </c>
      <c r="H2226" s="2">
        <v>2.7709999999999999</v>
      </c>
      <c r="I2226">
        <v>131.58661290000001</v>
      </c>
      <c r="J2226" s="3">
        <v>5.8920000000000003</v>
      </c>
    </row>
    <row r="2227" spans="1:10" x14ac:dyDescent="0.25">
      <c r="A2227">
        <v>40</v>
      </c>
      <c r="B2227" s="1">
        <v>40301</v>
      </c>
      <c r="C2227">
        <v>5</v>
      </c>
      <c r="D2227">
        <v>2010</v>
      </c>
      <c r="E2227" s="2">
        <v>990152.28</v>
      </c>
      <c r="F2227">
        <v>0</v>
      </c>
      <c r="G2227" s="3">
        <v>34.78</v>
      </c>
      <c r="H2227" s="2">
        <v>2.766</v>
      </c>
      <c r="I2227">
        <v>131.73500000000001</v>
      </c>
      <c r="J2227" s="3">
        <v>5.8920000000000003</v>
      </c>
    </row>
    <row r="2228" spans="1:10" x14ac:dyDescent="0.25">
      <c r="A2228">
        <v>40</v>
      </c>
      <c r="B2228" s="1">
        <v>40515</v>
      </c>
      <c r="C2228">
        <v>12</v>
      </c>
      <c r="D2228">
        <v>2010</v>
      </c>
      <c r="E2228" s="2">
        <v>899352.4</v>
      </c>
      <c r="F2228">
        <v>0</v>
      </c>
      <c r="G2228" s="3">
        <v>35.1</v>
      </c>
      <c r="H2228" s="2">
        <v>2.8050000000000002</v>
      </c>
      <c r="I2228">
        <v>131.78399999999999</v>
      </c>
      <c r="J2228" s="3">
        <v>5.8920000000000003</v>
      </c>
    </row>
    <row r="2229" spans="1:10" x14ac:dyDescent="0.25">
      <c r="A2229">
        <v>40</v>
      </c>
      <c r="B2229" s="1">
        <v>40213</v>
      </c>
      <c r="C2229">
        <v>2</v>
      </c>
      <c r="D2229">
        <v>2010</v>
      </c>
      <c r="E2229" s="2">
        <v>1041202.13</v>
      </c>
      <c r="F2229">
        <v>0</v>
      </c>
      <c r="G2229" s="3">
        <v>41.39</v>
      </c>
      <c r="H2229" s="2">
        <v>2.8260000000000001</v>
      </c>
      <c r="I2229">
        <v>131.9019677</v>
      </c>
      <c r="J2229" s="3">
        <v>5.4349999999999996</v>
      </c>
    </row>
    <row r="2230" spans="1:10" x14ac:dyDescent="0.25">
      <c r="A2230">
        <v>40</v>
      </c>
      <c r="B2230" s="1">
        <v>40425</v>
      </c>
      <c r="C2230">
        <v>9</v>
      </c>
      <c r="D2230">
        <v>2010</v>
      </c>
      <c r="E2230" s="2">
        <v>919839.19</v>
      </c>
      <c r="F2230">
        <v>0</v>
      </c>
      <c r="G2230" s="3">
        <v>54.31</v>
      </c>
      <c r="H2230" s="2">
        <v>2.8490000000000002</v>
      </c>
      <c r="I2230">
        <v>131.94080650000001</v>
      </c>
      <c r="J2230" s="3">
        <v>5.4349999999999996</v>
      </c>
    </row>
    <row r="2231" spans="1:10" x14ac:dyDescent="0.25">
      <c r="A2231">
        <v>40</v>
      </c>
      <c r="B2231" s="1">
        <v>40364</v>
      </c>
      <c r="C2231">
        <v>7</v>
      </c>
      <c r="D2231">
        <v>2010</v>
      </c>
      <c r="E2231" s="2">
        <v>1009797.06</v>
      </c>
      <c r="F2231">
        <v>0</v>
      </c>
      <c r="G2231" s="3">
        <v>60.05</v>
      </c>
      <c r="H2231" s="2">
        <v>2.9809999999999999</v>
      </c>
      <c r="I2231">
        <v>132.1062</v>
      </c>
      <c r="J2231" s="3">
        <v>5.4349999999999996</v>
      </c>
    </row>
    <row r="2232" spans="1:10" x14ac:dyDescent="0.25">
      <c r="A2232">
        <v>40</v>
      </c>
      <c r="B2232" s="1">
        <v>40274</v>
      </c>
      <c r="C2232">
        <v>4</v>
      </c>
      <c r="D2232">
        <v>2010</v>
      </c>
      <c r="E2232" s="2">
        <v>1052429.03</v>
      </c>
      <c r="F2232">
        <v>0</v>
      </c>
      <c r="G2232" s="3">
        <v>65.7</v>
      </c>
      <c r="H2232" s="2">
        <v>2.8570000000000002</v>
      </c>
      <c r="I2232">
        <v>132.36483870000001</v>
      </c>
      <c r="J2232" s="3">
        <v>5.4349999999999996</v>
      </c>
    </row>
    <row r="2233" spans="1:10" x14ac:dyDescent="0.25">
      <c r="A2233">
        <v>40</v>
      </c>
      <c r="B2233" s="1">
        <v>40488</v>
      </c>
      <c r="C2233">
        <v>11</v>
      </c>
      <c r="D2233">
        <v>2010</v>
      </c>
      <c r="E2233" s="2">
        <v>1007574.67</v>
      </c>
      <c r="F2233">
        <v>0</v>
      </c>
      <c r="G2233" s="3">
        <v>59.42</v>
      </c>
      <c r="H2233" s="2">
        <v>2.83</v>
      </c>
      <c r="I2233">
        <v>132.43574190000001</v>
      </c>
      <c r="J2233" s="3">
        <v>5.4349999999999996</v>
      </c>
    </row>
    <row r="2234" spans="1:10" x14ac:dyDescent="0.25">
      <c r="A2234">
        <v>40</v>
      </c>
      <c r="B2234" s="1">
        <v>40216</v>
      </c>
      <c r="C2234">
        <v>2</v>
      </c>
      <c r="D2234">
        <v>2010</v>
      </c>
      <c r="E2234" s="2">
        <v>1087578.78</v>
      </c>
      <c r="F2234">
        <v>0</v>
      </c>
      <c r="G2234" s="3">
        <v>65.47</v>
      </c>
      <c r="H2234" s="2">
        <v>2.8149999999999999</v>
      </c>
      <c r="I2234">
        <v>132.5218667</v>
      </c>
      <c r="J2234" s="3">
        <v>5.3259999999999996</v>
      </c>
    </row>
    <row r="2235" spans="1:10" x14ac:dyDescent="0.25">
      <c r="A2235">
        <v>40</v>
      </c>
      <c r="B2235" s="1">
        <v>40428</v>
      </c>
      <c r="C2235">
        <v>9</v>
      </c>
      <c r="D2235">
        <v>2010</v>
      </c>
      <c r="E2235" s="2">
        <v>1058250.9099999999</v>
      </c>
      <c r="F2235">
        <v>0</v>
      </c>
      <c r="G2235" s="3">
        <v>76.67</v>
      </c>
      <c r="H2235" s="2">
        <v>2.806</v>
      </c>
      <c r="I2235">
        <v>132.54613330000001</v>
      </c>
      <c r="J2235" s="3">
        <v>5.3259999999999996</v>
      </c>
    </row>
    <row r="2236" spans="1:10" x14ac:dyDescent="0.25">
      <c r="A2236">
        <v>40</v>
      </c>
      <c r="B2236" s="1">
        <v>40337</v>
      </c>
      <c r="C2236">
        <v>6</v>
      </c>
      <c r="D2236">
        <v>2010</v>
      </c>
      <c r="E2236" s="2">
        <v>1057295.8700000001</v>
      </c>
      <c r="F2236">
        <v>0</v>
      </c>
      <c r="G2236" s="3">
        <v>69.16</v>
      </c>
      <c r="H2236" s="2">
        <v>2.7919999999999998</v>
      </c>
      <c r="I2236">
        <v>132.6141935</v>
      </c>
      <c r="J2236" s="3">
        <v>5.3259999999999996</v>
      </c>
    </row>
    <row r="2237" spans="1:10" x14ac:dyDescent="0.25">
      <c r="A2237">
        <v>40</v>
      </c>
      <c r="B2237" s="1">
        <v>40246</v>
      </c>
      <c r="C2237">
        <v>3</v>
      </c>
      <c r="D2237">
        <v>2010</v>
      </c>
      <c r="E2237" s="2">
        <v>976453.34</v>
      </c>
      <c r="F2237">
        <v>0</v>
      </c>
      <c r="G2237" s="3">
        <v>70.66</v>
      </c>
      <c r="H2237" s="2">
        <v>2.7349999999999999</v>
      </c>
      <c r="I2237">
        <v>132.72483869999999</v>
      </c>
      <c r="J2237" s="3">
        <v>5.3259999999999996</v>
      </c>
    </row>
    <row r="2238" spans="1:10" x14ac:dyDescent="0.25">
      <c r="A2238">
        <v>40</v>
      </c>
      <c r="B2238" s="1">
        <v>40460</v>
      </c>
      <c r="C2238">
        <v>10</v>
      </c>
      <c r="D2238">
        <v>2010</v>
      </c>
      <c r="E2238" s="2">
        <v>967310.82</v>
      </c>
      <c r="F2238">
        <v>1</v>
      </c>
      <c r="G2238" s="3">
        <v>62.75</v>
      </c>
      <c r="H2238" s="2">
        <v>2.7170000000000001</v>
      </c>
      <c r="I2238">
        <v>132.75645159999999</v>
      </c>
      <c r="J2238" s="3">
        <v>5.3259999999999996</v>
      </c>
    </row>
    <row r="2239" spans="1:10" x14ac:dyDescent="0.25">
      <c r="A2239">
        <v>40</v>
      </c>
      <c r="B2239" s="1">
        <v>40188</v>
      </c>
      <c r="C2239">
        <v>1</v>
      </c>
      <c r="D2239">
        <v>2010</v>
      </c>
      <c r="E2239" s="2">
        <v>891152.33</v>
      </c>
      <c r="F2239">
        <v>0</v>
      </c>
      <c r="G2239" s="3">
        <v>62.01</v>
      </c>
      <c r="H2239" s="2">
        <v>2.7170000000000001</v>
      </c>
      <c r="I2239">
        <v>132.7568</v>
      </c>
      <c r="J2239" s="3">
        <v>5.2869999999999999</v>
      </c>
    </row>
    <row r="2240" spans="1:10" x14ac:dyDescent="0.25">
      <c r="A2240">
        <v>40</v>
      </c>
      <c r="B2240" s="1">
        <v>40400</v>
      </c>
      <c r="C2240">
        <v>8</v>
      </c>
      <c r="D2240">
        <v>2010</v>
      </c>
      <c r="E2240" s="2">
        <v>972405.38</v>
      </c>
      <c r="F2240">
        <v>0</v>
      </c>
      <c r="G2240" s="3">
        <v>52.02</v>
      </c>
      <c r="H2240" s="2">
        <v>2.7759999999999998</v>
      </c>
      <c r="I2240">
        <v>132.75166669999999</v>
      </c>
      <c r="J2240" s="3">
        <v>5.2869999999999999</v>
      </c>
    </row>
    <row r="2241" spans="1:10" x14ac:dyDescent="0.25">
      <c r="A2241">
        <v>40</v>
      </c>
      <c r="B2241" s="1">
        <v>40309</v>
      </c>
      <c r="C2241">
        <v>5</v>
      </c>
      <c r="D2241">
        <v>2010</v>
      </c>
      <c r="E2241" s="2">
        <v>968270.66</v>
      </c>
      <c r="F2241">
        <v>0</v>
      </c>
      <c r="G2241" s="3">
        <v>36.450000000000003</v>
      </c>
      <c r="H2241" s="2">
        <v>2.9380000000000002</v>
      </c>
      <c r="I2241">
        <v>132.92458060000001</v>
      </c>
      <c r="J2241" s="3">
        <v>5.2869999999999999</v>
      </c>
    </row>
    <row r="2242" spans="1:10" x14ac:dyDescent="0.25">
      <c r="A2242">
        <v>40</v>
      </c>
      <c r="B2242" s="1">
        <v>40523</v>
      </c>
      <c r="C2242">
        <v>12</v>
      </c>
      <c r="D2242">
        <v>2010</v>
      </c>
      <c r="E2242" s="2">
        <v>935481.32</v>
      </c>
      <c r="F2242">
        <v>0</v>
      </c>
      <c r="G2242" s="3">
        <v>38.5</v>
      </c>
      <c r="H2242" s="2">
        <v>2.9609999999999999</v>
      </c>
      <c r="I2242">
        <v>132.97832260000001</v>
      </c>
      <c r="J2242" s="3">
        <v>5.2869999999999999</v>
      </c>
    </row>
    <row r="2243" spans="1:10" x14ac:dyDescent="0.25">
      <c r="A2243">
        <v>40</v>
      </c>
      <c r="B2243" s="1">
        <v>40249</v>
      </c>
      <c r="C2243">
        <v>3</v>
      </c>
      <c r="D2243">
        <v>2010</v>
      </c>
      <c r="E2243" s="2">
        <v>1000582.06</v>
      </c>
      <c r="F2243">
        <v>0</v>
      </c>
      <c r="G2243" s="3">
        <v>33.6</v>
      </c>
      <c r="H2243" s="2">
        <v>3.0649999999999999</v>
      </c>
      <c r="I2243">
        <v>132.75666670000001</v>
      </c>
      <c r="J2243" s="3">
        <v>5.2869999999999999</v>
      </c>
    </row>
    <row r="2244" spans="1:10" x14ac:dyDescent="0.25">
      <c r="A2244">
        <v>40</v>
      </c>
      <c r="B2244" s="1">
        <v>40463</v>
      </c>
      <c r="C2244">
        <v>10</v>
      </c>
      <c r="D2244">
        <v>2010</v>
      </c>
      <c r="E2244" s="2">
        <v>1111215.72</v>
      </c>
      <c r="F2244">
        <v>0</v>
      </c>
      <c r="G2244" s="3">
        <v>21.64</v>
      </c>
      <c r="H2244" s="2">
        <v>3.1320000000000001</v>
      </c>
      <c r="I2244">
        <v>132.6764</v>
      </c>
      <c r="J2244" s="3">
        <v>5.2869999999999999</v>
      </c>
    </row>
    <row r="2245" spans="1:10" x14ac:dyDescent="0.25">
      <c r="A2245">
        <v>40</v>
      </c>
      <c r="B2245" s="1">
        <v>40725</v>
      </c>
      <c r="C2245">
        <v>7</v>
      </c>
      <c r="D2245">
        <v>2011</v>
      </c>
      <c r="E2245" s="2">
        <v>894280.19</v>
      </c>
      <c r="F2245">
        <v>0</v>
      </c>
      <c r="G2245" s="3">
        <v>24.05</v>
      </c>
      <c r="H2245" s="2">
        <v>3.1930000000000001</v>
      </c>
      <c r="I2245">
        <v>132.88232260000001</v>
      </c>
      <c r="J2245" s="3">
        <v>5.1139999999999999</v>
      </c>
    </row>
    <row r="2246" spans="1:10" x14ac:dyDescent="0.25">
      <c r="A2246">
        <v>40</v>
      </c>
      <c r="B2246" s="1">
        <v>40635</v>
      </c>
      <c r="C2246">
        <v>4</v>
      </c>
      <c r="D2246">
        <v>2011</v>
      </c>
      <c r="E2246" s="2">
        <v>904261.65</v>
      </c>
      <c r="F2246">
        <v>0</v>
      </c>
      <c r="G2246" s="3">
        <v>13.29</v>
      </c>
      <c r="H2246" s="2">
        <v>3.24</v>
      </c>
      <c r="I2246">
        <v>133.18341939999999</v>
      </c>
      <c r="J2246" s="3">
        <v>5.1139999999999999</v>
      </c>
    </row>
    <row r="2247" spans="1:10" x14ac:dyDescent="0.25">
      <c r="A2247">
        <v>40</v>
      </c>
      <c r="B2247" s="1">
        <v>40849</v>
      </c>
      <c r="C2247">
        <v>11</v>
      </c>
      <c r="D2247">
        <v>2011</v>
      </c>
      <c r="E2247" s="2">
        <v>931939.52</v>
      </c>
      <c r="F2247">
        <v>1</v>
      </c>
      <c r="G2247" s="3">
        <v>16.87</v>
      </c>
      <c r="H2247" s="2">
        <v>3.2549999999999999</v>
      </c>
      <c r="I2247">
        <v>133.26087100000001</v>
      </c>
      <c r="J2247" s="3">
        <v>5.1139999999999999</v>
      </c>
    </row>
    <row r="2248" spans="1:10" x14ac:dyDescent="0.25">
      <c r="A2248">
        <v>40</v>
      </c>
      <c r="B2248" s="1">
        <v>40636</v>
      </c>
      <c r="C2248">
        <v>4</v>
      </c>
      <c r="D2248">
        <v>2011</v>
      </c>
      <c r="E2248" s="2">
        <v>977070.62</v>
      </c>
      <c r="F2248">
        <v>0</v>
      </c>
      <c r="G2248" s="3">
        <v>18.489999999999998</v>
      </c>
      <c r="H2248" s="2">
        <v>3.4369999999999998</v>
      </c>
      <c r="I2248">
        <v>133.61414289999999</v>
      </c>
      <c r="J2248" s="3">
        <v>5.1139999999999999</v>
      </c>
    </row>
    <row r="2249" spans="1:10" x14ac:dyDescent="0.25">
      <c r="A2249">
        <v>40</v>
      </c>
      <c r="B2249" s="1">
        <v>40850</v>
      </c>
      <c r="C2249">
        <v>11</v>
      </c>
      <c r="D2249">
        <v>2011</v>
      </c>
      <c r="E2249" s="2">
        <v>860255.58</v>
      </c>
      <c r="F2249">
        <v>0</v>
      </c>
      <c r="G2249" s="3">
        <v>30.53</v>
      </c>
      <c r="H2249" s="2">
        <v>3.6</v>
      </c>
      <c r="I2249">
        <v>133.7361429</v>
      </c>
      <c r="J2249" s="3">
        <v>5.1139999999999999</v>
      </c>
    </row>
    <row r="2250" spans="1:10" x14ac:dyDescent="0.25">
      <c r="A2250">
        <v>40</v>
      </c>
      <c r="B2250" s="1">
        <v>40547</v>
      </c>
      <c r="C2250">
        <v>1</v>
      </c>
      <c r="D2250">
        <v>2011</v>
      </c>
      <c r="E2250" s="2">
        <v>841889.08</v>
      </c>
      <c r="F2250">
        <v>0</v>
      </c>
      <c r="G2250" s="3">
        <v>28.6</v>
      </c>
      <c r="H2250" s="2">
        <v>3.6379999999999999</v>
      </c>
      <c r="I2250">
        <v>134.06825810000001</v>
      </c>
      <c r="J2250" s="3">
        <v>4.7809999999999997</v>
      </c>
    </row>
    <row r="2251" spans="1:10" x14ac:dyDescent="0.25">
      <c r="A2251">
        <v>40</v>
      </c>
      <c r="B2251" s="1">
        <v>40759</v>
      </c>
      <c r="C2251">
        <v>8</v>
      </c>
      <c r="D2251">
        <v>2011</v>
      </c>
      <c r="E2251" s="2">
        <v>947753.32</v>
      </c>
      <c r="F2251">
        <v>0</v>
      </c>
      <c r="G2251" s="3">
        <v>34.770000000000003</v>
      </c>
      <c r="H2251" s="2">
        <v>3.72</v>
      </c>
      <c r="I2251">
        <v>134.17777419999999</v>
      </c>
      <c r="J2251" s="3">
        <v>4.7809999999999997</v>
      </c>
    </row>
    <row r="2252" spans="1:10" x14ac:dyDescent="0.25">
      <c r="A2252">
        <v>40</v>
      </c>
      <c r="B2252" s="1">
        <v>40699</v>
      </c>
      <c r="C2252">
        <v>6</v>
      </c>
      <c r="D2252">
        <v>2011</v>
      </c>
      <c r="E2252" s="2">
        <v>1016752.55</v>
      </c>
      <c r="F2252">
        <v>0</v>
      </c>
      <c r="G2252" s="3">
        <v>50.81</v>
      </c>
      <c r="H2252" s="2">
        <v>4.0780000000000003</v>
      </c>
      <c r="I2252">
        <v>134.51436670000001</v>
      </c>
      <c r="J2252" s="3">
        <v>4.7809999999999997</v>
      </c>
    </row>
    <row r="2253" spans="1:10" x14ac:dyDescent="0.25">
      <c r="A2253">
        <v>40</v>
      </c>
      <c r="B2253" s="1">
        <v>40608</v>
      </c>
      <c r="C2253">
        <v>3</v>
      </c>
      <c r="D2253">
        <v>2011</v>
      </c>
      <c r="E2253" s="2">
        <v>1075687.74</v>
      </c>
      <c r="F2253">
        <v>0</v>
      </c>
      <c r="G2253" s="3">
        <v>66.16</v>
      </c>
      <c r="H2253" s="2">
        <v>3.9729999999999999</v>
      </c>
      <c r="I2253">
        <v>134.85516129999999</v>
      </c>
      <c r="J2253" s="3">
        <v>4.7809999999999997</v>
      </c>
    </row>
    <row r="2254" spans="1:10" x14ac:dyDescent="0.25">
      <c r="A2254">
        <v>40</v>
      </c>
      <c r="B2254" s="1">
        <v>40822</v>
      </c>
      <c r="C2254">
        <v>10</v>
      </c>
      <c r="D2254">
        <v>2011</v>
      </c>
      <c r="E2254" s="2">
        <v>984336.04</v>
      </c>
      <c r="F2254">
        <v>0</v>
      </c>
      <c r="G2254" s="3">
        <v>64.19</v>
      </c>
      <c r="H2254" s="2">
        <v>3.9239999999999999</v>
      </c>
      <c r="I2254">
        <v>134.94254839999999</v>
      </c>
      <c r="J2254" s="3">
        <v>4.7809999999999997</v>
      </c>
    </row>
    <row r="2255" spans="1:10" x14ac:dyDescent="0.25">
      <c r="A2255">
        <v>40</v>
      </c>
      <c r="B2255" s="1">
        <v>40550</v>
      </c>
      <c r="C2255">
        <v>1</v>
      </c>
      <c r="D2255">
        <v>2011</v>
      </c>
      <c r="E2255" s="2">
        <v>1048866.3</v>
      </c>
      <c r="F2255">
        <v>0</v>
      </c>
      <c r="G2255" s="3">
        <v>65.25</v>
      </c>
      <c r="H2255" s="2">
        <v>3.8149999999999999</v>
      </c>
      <c r="I2255">
        <v>135.4468</v>
      </c>
      <c r="J2255" s="3">
        <v>4.5839999999999996</v>
      </c>
    </row>
    <row r="2256" spans="1:10" x14ac:dyDescent="0.25">
      <c r="A2256">
        <v>40</v>
      </c>
      <c r="B2256" s="1">
        <v>40762</v>
      </c>
      <c r="C2256">
        <v>8</v>
      </c>
      <c r="D2256">
        <v>2011</v>
      </c>
      <c r="E2256" s="2">
        <v>1107366.06</v>
      </c>
      <c r="F2256">
        <v>0</v>
      </c>
      <c r="G2256" s="3">
        <v>67.86</v>
      </c>
      <c r="H2256" s="2">
        <v>3.7839999999999998</v>
      </c>
      <c r="I2256">
        <v>135.62833330000001</v>
      </c>
      <c r="J2256" s="3">
        <v>4.5839999999999996</v>
      </c>
    </row>
    <row r="2257" spans="1:10" x14ac:dyDescent="0.25">
      <c r="A2257">
        <v>40</v>
      </c>
      <c r="B2257" s="1">
        <v>40671</v>
      </c>
      <c r="C2257">
        <v>5</v>
      </c>
      <c r="D2257">
        <v>2011</v>
      </c>
      <c r="E2257" s="2">
        <v>1063818.2</v>
      </c>
      <c r="F2257">
        <v>0</v>
      </c>
      <c r="G2257" s="3">
        <v>68.099999999999994</v>
      </c>
      <c r="H2257" s="2">
        <v>3.903</v>
      </c>
      <c r="I2257">
        <v>136.05403229999999</v>
      </c>
      <c r="J2257" s="3">
        <v>4.5839999999999996</v>
      </c>
    </row>
    <row r="2258" spans="1:10" x14ac:dyDescent="0.25">
      <c r="A2258">
        <v>40</v>
      </c>
      <c r="B2258" s="1">
        <v>40885</v>
      </c>
      <c r="C2258">
        <v>12</v>
      </c>
      <c r="D2258">
        <v>2011</v>
      </c>
      <c r="E2258" s="2">
        <v>955506.95</v>
      </c>
      <c r="F2258">
        <v>0</v>
      </c>
      <c r="G2258" s="3">
        <v>68.3</v>
      </c>
      <c r="H2258" s="2">
        <v>3.88</v>
      </c>
      <c r="I2258">
        <v>136.14412899999999</v>
      </c>
      <c r="J2258" s="3">
        <v>4.5839999999999996</v>
      </c>
    </row>
    <row r="2259" spans="1:10" x14ac:dyDescent="0.25">
      <c r="A2259">
        <v>40</v>
      </c>
      <c r="B2259" s="1">
        <v>40583</v>
      </c>
      <c r="C2259">
        <v>2</v>
      </c>
      <c r="D2259">
        <v>2011</v>
      </c>
      <c r="E2259" s="2">
        <v>957298.26</v>
      </c>
      <c r="F2259">
        <v>0</v>
      </c>
      <c r="G2259" s="3">
        <v>63.79</v>
      </c>
      <c r="H2259" s="2">
        <v>3.7839999999999998</v>
      </c>
      <c r="I2259">
        <v>136.24409679999999</v>
      </c>
      <c r="J2259" s="3">
        <v>4.5839999999999996</v>
      </c>
    </row>
    <row r="2260" spans="1:10" x14ac:dyDescent="0.25">
      <c r="A2260">
        <v>40</v>
      </c>
      <c r="B2260" s="1">
        <v>40795</v>
      </c>
      <c r="C2260">
        <v>9</v>
      </c>
      <c r="D2260">
        <v>2011</v>
      </c>
      <c r="E2260" s="2">
        <v>1021391.99</v>
      </c>
      <c r="F2260">
        <v>1</v>
      </c>
      <c r="G2260" s="3">
        <v>64.83</v>
      </c>
      <c r="H2260" s="2">
        <v>3.8090000000000002</v>
      </c>
      <c r="I2260">
        <v>136.27458060000001</v>
      </c>
      <c r="J2260" s="3">
        <v>4.5839999999999996</v>
      </c>
    </row>
    <row r="2261" spans="1:10" x14ac:dyDescent="0.25">
      <c r="A2261">
        <v>40</v>
      </c>
      <c r="B2261" s="1">
        <v>40734</v>
      </c>
      <c r="C2261">
        <v>7</v>
      </c>
      <c r="D2261">
        <v>2011</v>
      </c>
      <c r="E2261" s="2">
        <v>1070389.98</v>
      </c>
      <c r="F2261">
        <v>0</v>
      </c>
      <c r="G2261" s="3">
        <v>50.21</v>
      </c>
      <c r="H2261" s="2">
        <v>3.633</v>
      </c>
      <c r="I2261">
        <v>136.47200000000001</v>
      </c>
      <c r="J2261" s="3">
        <v>4.42</v>
      </c>
    </row>
    <row r="2262" spans="1:10" x14ac:dyDescent="0.25">
      <c r="A2262">
        <v>40</v>
      </c>
      <c r="B2262" s="1">
        <v>40644</v>
      </c>
      <c r="C2262">
        <v>4</v>
      </c>
      <c r="D2262">
        <v>2011</v>
      </c>
      <c r="E2262" s="2">
        <v>1011321.18</v>
      </c>
      <c r="F2262">
        <v>0</v>
      </c>
      <c r="G2262" s="3">
        <v>35.4</v>
      </c>
      <c r="H2262" s="2">
        <v>3.5859999999999999</v>
      </c>
      <c r="I2262">
        <v>136.47512900000001</v>
      </c>
      <c r="J2262" s="3">
        <v>4.42</v>
      </c>
    </row>
    <row r="2263" spans="1:10" x14ac:dyDescent="0.25">
      <c r="A2263">
        <v>40</v>
      </c>
      <c r="B2263" s="1">
        <v>40858</v>
      </c>
      <c r="C2263">
        <v>11</v>
      </c>
      <c r="D2263">
        <v>2011</v>
      </c>
      <c r="E2263" s="2">
        <v>1037687.07</v>
      </c>
      <c r="F2263">
        <v>0</v>
      </c>
      <c r="G2263" s="3">
        <v>40.75</v>
      </c>
      <c r="H2263" s="2">
        <v>3.57</v>
      </c>
      <c r="I2263">
        <v>136.46180649999999</v>
      </c>
      <c r="J2263" s="3">
        <v>4.42</v>
      </c>
    </row>
    <row r="2264" spans="1:10" x14ac:dyDescent="0.25">
      <c r="A2264">
        <v>40</v>
      </c>
      <c r="B2264" s="1">
        <v>40586</v>
      </c>
      <c r="C2264">
        <v>2</v>
      </c>
      <c r="D2264">
        <v>2011</v>
      </c>
      <c r="E2264" s="2">
        <v>1059676.6200000001</v>
      </c>
      <c r="F2264">
        <v>0</v>
      </c>
      <c r="G2264" s="3">
        <v>38.51</v>
      </c>
      <c r="H2264" s="2">
        <v>3.5009999999999999</v>
      </c>
      <c r="I2264">
        <v>136.49093329999999</v>
      </c>
      <c r="J2264" s="3">
        <v>4.42</v>
      </c>
    </row>
    <row r="2265" spans="1:10" x14ac:dyDescent="0.25">
      <c r="A2265">
        <v>40</v>
      </c>
      <c r="B2265" s="1">
        <v>40798</v>
      </c>
      <c r="C2265">
        <v>9</v>
      </c>
      <c r="D2265">
        <v>2011</v>
      </c>
      <c r="E2265" s="2">
        <v>1158708.98</v>
      </c>
      <c r="F2265">
        <v>0</v>
      </c>
      <c r="G2265" s="3">
        <v>34.479999999999997</v>
      </c>
      <c r="H2265" s="2">
        <v>3.47</v>
      </c>
      <c r="I2265">
        <v>136.50306670000001</v>
      </c>
      <c r="J2265" s="3">
        <v>4.42</v>
      </c>
    </row>
    <row r="2266" spans="1:10" x14ac:dyDescent="0.25">
      <c r="A2266">
        <v>40</v>
      </c>
      <c r="B2266" s="1">
        <v>41061</v>
      </c>
      <c r="C2266">
        <v>6</v>
      </c>
      <c r="D2266">
        <v>2012</v>
      </c>
      <c r="E2266" s="2">
        <v>954576.86</v>
      </c>
      <c r="F2266">
        <v>0</v>
      </c>
      <c r="G2266" s="3">
        <v>23.29</v>
      </c>
      <c r="H2266" s="2">
        <v>3.4390000000000001</v>
      </c>
      <c r="I2266">
        <v>136.69812899999999</v>
      </c>
      <c r="J2266" s="3">
        <v>4.2610000000000001</v>
      </c>
    </row>
    <row r="2267" spans="1:10" x14ac:dyDescent="0.25">
      <c r="A2267">
        <v>40</v>
      </c>
      <c r="B2267" s="1">
        <v>40970</v>
      </c>
      <c r="C2267">
        <v>3</v>
      </c>
      <c r="D2267">
        <v>2012</v>
      </c>
      <c r="E2267" s="2">
        <v>979552.34</v>
      </c>
      <c r="F2267">
        <v>0</v>
      </c>
      <c r="G2267" s="3">
        <v>27.86</v>
      </c>
      <c r="H2267" s="2">
        <v>3.633</v>
      </c>
      <c r="I2267">
        <v>137.06325810000001</v>
      </c>
      <c r="J2267" s="3">
        <v>4.2610000000000001</v>
      </c>
    </row>
    <row r="2268" spans="1:10" x14ac:dyDescent="0.25">
      <c r="A2268">
        <v>40</v>
      </c>
      <c r="B2268" s="1">
        <v>41184</v>
      </c>
      <c r="C2268">
        <v>10</v>
      </c>
      <c r="D2268">
        <v>2012</v>
      </c>
      <c r="E2268" s="2">
        <v>999785.48</v>
      </c>
      <c r="F2268">
        <v>1</v>
      </c>
      <c r="G2268" s="3">
        <v>23.92</v>
      </c>
      <c r="H2268" s="2">
        <v>3.6549999999999998</v>
      </c>
      <c r="I2268">
        <v>137.1666774</v>
      </c>
      <c r="J2268" s="3">
        <v>4.2610000000000001</v>
      </c>
    </row>
    <row r="2269" spans="1:10" x14ac:dyDescent="0.25">
      <c r="A2269">
        <v>40</v>
      </c>
      <c r="B2269" s="1">
        <v>40942</v>
      </c>
      <c r="C2269">
        <v>2</v>
      </c>
      <c r="D2269">
        <v>2012</v>
      </c>
      <c r="E2269" s="2">
        <v>927732.02</v>
      </c>
      <c r="F2269">
        <v>0</v>
      </c>
      <c r="G2269" s="3">
        <v>23.79</v>
      </c>
      <c r="H2269" s="2">
        <v>3.827</v>
      </c>
      <c r="I2269">
        <v>137.42389660000001</v>
      </c>
      <c r="J2269" s="3">
        <v>4.2610000000000001</v>
      </c>
    </row>
    <row r="2270" spans="1:10" x14ac:dyDescent="0.25">
      <c r="A2270">
        <v>40</v>
      </c>
      <c r="B2270" s="1">
        <v>41155</v>
      </c>
      <c r="C2270">
        <v>9</v>
      </c>
      <c r="D2270">
        <v>2012</v>
      </c>
      <c r="E2270" s="2">
        <v>954233.87</v>
      </c>
      <c r="F2270">
        <v>0</v>
      </c>
      <c r="G2270" s="3">
        <v>30.58</v>
      </c>
      <c r="H2270" s="2">
        <v>3.8759999999999999</v>
      </c>
      <c r="I2270">
        <v>137.50668970000001</v>
      </c>
      <c r="J2270" s="3">
        <v>4.2610000000000001</v>
      </c>
    </row>
    <row r="2271" spans="1:10" x14ac:dyDescent="0.25">
      <c r="A2271">
        <v>40</v>
      </c>
      <c r="B2271" s="1">
        <v>41064</v>
      </c>
      <c r="C2271">
        <v>6</v>
      </c>
      <c r="D2271">
        <v>2012</v>
      </c>
      <c r="E2271" s="2">
        <v>1132064.23</v>
      </c>
      <c r="F2271">
        <v>0</v>
      </c>
      <c r="G2271" s="3">
        <v>36.54</v>
      </c>
      <c r="H2271" s="2">
        <v>3.9569999999999999</v>
      </c>
      <c r="I2271">
        <v>137.79709679999999</v>
      </c>
      <c r="J2271" s="3">
        <v>4.125</v>
      </c>
    </row>
    <row r="2272" spans="1:10" x14ac:dyDescent="0.25">
      <c r="A2272">
        <v>40</v>
      </c>
      <c r="B2272" s="1">
        <v>41004</v>
      </c>
      <c r="C2272">
        <v>4</v>
      </c>
      <c r="D2272">
        <v>2012</v>
      </c>
      <c r="E2272" s="2">
        <v>993311.59</v>
      </c>
      <c r="F2272">
        <v>0</v>
      </c>
      <c r="G2272" s="3">
        <v>44.47</v>
      </c>
      <c r="H2272" s="2">
        <v>3.9910000000000001</v>
      </c>
      <c r="I2272">
        <v>138.03319999999999</v>
      </c>
      <c r="J2272" s="3">
        <v>4.125</v>
      </c>
    </row>
    <row r="2273" spans="1:10" x14ac:dyDescent="0.25">
      <c r="A2273">
        <v>40</v>
      </c>
      <c r="B2273" s="1">
        <v>41218</v>
      </c>
      <c r="C2273">
        <v>11</v>
      </c>
      <c r="D2273">
        <v>2012</v>
      </c>
      <c r="E2273" s="2">
        <v>967729.35</v>
      </c>
      <c r="F2273">
        <v>0</v>
      </c>
      <c r="G2273" s="3">
        <v>52.06</v>
      </c>
      <c r="H2273" s="2">
        <v>3.9470000000000001</v>
      </c>
      <c r="I2273">
        <v>138.08826669999999</v>
      </c>
      <c r="J2273" s="3">
        <v>4.125</v>
      </c>
    </row>
    <row r="2274" spans="1:10" x14ac:dyDescent="0.25">
      <c r="A2274">
        <v>40</v>
      </c>
      <c r="B2274" s="1">
        <v>40914</v>
      </c>
      <c r="C2274">
        <v>1</v>
      </c>
      <c r="D2274">
        <v>2012</v>
      </c>
      <c r="E2274" s="2">
        <v>1037464.27</v>
      </c>
      <c r="F2274">
        <v>0</v>
      </c>
      <c r="G2274" s="3">
        <v>64.75</v>
      </c>
      <c r="H2274" s="2">
        <v>3.798</v>
      </c>
      <c r="I2274">
        <v>138.11380650000001</v>
      </c>
      <c r="J2274" s="3">
        <v>4.125</v>
      </c>
    </row>
    <row r="2275" spans="1:10" x14ac:dyDescent="0.25">
      <c r="A2275">
        <v>40</v>
      </c>
      <c r="B2275" s="1">
        <v>41127</v>
      </c>
      <c r="C2275">
        <v>8</v>
      </c>
      <c r="D2275">
        <v>2012</v>
      </c>
      <c r="E2275" s="2">
        <v>1079386.8799999999</v>
      </c>
      <c r="F2275">
        <v>0</v>
      </c>
      <c r="G2275" s="3">
        <v>55.78</v>
      </c>
      <c r="H2275" s="2">
        <v>3.746</v>
      </c>
      <c r="I2275">
        <v>138.11741939999999</v>
      </c>
      <c r="J2275" s="3">
        <v>4.125</v>
      </c>
    </row>
    <row r="2276" spans="1:10" x14ac:dyDescent="0.25">
      <c r="A2276">
        <v>40</v>
      </c>
      <c r="B2276" s="1">
        <v>41067</v>
      </c>
      <c r="C2276">
        <v>6</v>
      </c>
      <c r="D2276">
        <v>2012</v>
      </c>
      <c r="E2276" s="2">
        <v>1182901.56</v>
      </c>
      <c r="F2276">
        <v>0</v>
      </c>
      <c r="G2276" s="3">
        <v>69.08</v>
      </c>
      <c r="H2276" s="2">
        <v>3.5379999999999998</v>
      </c>
      <c r="I2276">
        <v>138.22963329999999</v>
      </c>
      <c r="J2276" s="3">
        <v>4.1559999999999997</v>
      </c>
    </row>
    <row r="2277" spans="1:10" x14ac:dyDescent="0.25">
      <c r="A2277">
        <v>40</v>
      </c>
      <c r="B2277" s="1">
        <v>40976</v>
      </c>
      <c r="C2277">
        <v>3</v>
      </c>
      <c r="D2277">
        <v>2012</v>
      </c>
      <c r="E2277" s="2">
        <v>1068346.76</v>
      </c>
      <c r="F2277">
        <v>0</v>
      </c>
      <c r="G2277" s="3">
        <v>70.150000000000006</v>
      </c>
      <c r="H2277" s="2">
        <v>3.698</v>
      </c>
      <c r="I2277">
        <v>138.17358060000001</v>
      </c>
      <c r="J2277" s="3">
        <v>4.1559999999999997</v>
      </c>
    </row>
    <row r="2278" spans="1:10" x14ac:dyDescent="0.25">
      <c r="A2278">
        <v>40</v>
      </c>
      <c r="B2278" s="1">
        <v>41190</v>
      </c>
      <c r="C2278">
        <v>10</v>
      </c>
      <c r="D2278">
        <v>2012</v>
      </c>
      <c r="E2278" s="2">
        <v>1007906.43</v>
      </c>
      <c r="F2278">
        <v>0</v>
      </c>
      <c r="G2278" s="3">
        <v>70.09</v>
      </c>
      <c r="H2278" s="2">
        <v>3.7719999999999998</v>
      </c>
      <c r="I2278">
        <v>138.1437742</v>
      </c>
      <c r="J2278" s="3">
        <v>4.1559999999999997</v>
      </c>
    </row>
    <row r="2279" spans="1:10" x14ac:dyDescent="0.25">
      <c r="A2279">
        <v>40</v>
      </c>
      <c r="B2279" s="1">
        <v>41099</v>
      </c>
      <c r="C2279">
        <v>7</v>
      </c>
      <c r="D2279">
        <v>2012</v>
      </c>
      <c r="E2279" s="2">
        <v>1088248.3999999999</v>
      </c>
      <c r="F2279">
        <v>1</v>
      </c>
      <c r="G2279" s="3">
        <v>65.06</v>
      </c>
      <c r="H2279" s="2">
        <v>3.9209999999999998</v>
      </c>
      <c r="I2279">
        <v>138.47293550000001</v>
      </c>
      <c r="J2279" s="3">
        <v>4.1559999999999997</v>
      </c>
    </row>
    <row r="2280" spans="1:10" x14ac:dyDescent="0.25">
      <c r="A2280">
        <v>40</v>
      </c>
      <c r="B2280" s="1">
        <v>41039</v>
      </c>
      <c r="C2280">
        <v>5</v>
      </c>
      <c r="D2280">
        <v>2012</v>
      </c>
      <c r="E2280" s="2">
        <v>1069112</v>
      </c>
      <c r="F2280">
        <v>0</v>
      </c>
      <c r="G2280" s="3">
        <v>57.21</v>
      </c>
      <c r="H2280" s="2">
        <v>4.0270000000000001</v>
      </c>
      <c r="I2280">
        <v>138.82560000000001</v>
      </c>
      <c r="J2280" s="3">
        <v>4.1449999999999996</v>
      </c>
    </row>
    <row r="2281" spans="1:10" x14ac:dyDescent="0.25">
      <c r="A2281">
        <v>40</v>
      </c>
      <c r="B2281" s="1">
        <v>41253</v>
      </c>
      <c r="C2281">
        <v>12</v>
      </c>
      <c r="D2281">
        <v>2012</v>
      </c>
      <c r="E2281" s="2">
        <v>982523.26</v>
      </c>
      <c r="F2281">
        <v>0</v>
      </c>
      <c r="G2281" s="3">
        <v>47.35</v>
      </c>
      <c r="H2281" s="2">
        <v>4.0289999999999999</v>
      </c>
      <c r="I2281">
        <v>138.9117</v>
      </c>
      <c r="J2281" s="3">
        <v>4.1449999999999996</v>
      </c>
    </row>
    <row r="2282" spans="1:10" x14ac:dyDescent="0.25">
      <c r="A2282">
        <v>41</v>
      </c>
      <c r="B2282" s="1">
        <v>40300</v>
      </c>
      <c r="C2282">
        <v>5</v>
      </c>
      <c r="D2282">
        <v>2010</v>
      </c>
      <c r="E2282" s="2">
        <v>1086533.18</v>
      </c>
      <c r="F2282">
        <v>0</v>
      </c>
      <c r="G2282" s="3">
        <v>30.27</v>
      </c>
      <c r="H2282" s="2">
        <v>2.58</v>
      </c>
      <c r="I2282">
        <v>189.38169740000001</v>
      </c>
      <c r="J2282" s="3">
        <v>7.5410000000000004</v>
      </c>
    </row>
    <row r="2283" spans="1:10" x14ac:dyDescent="0.25">
      <c r="A2283">
        <v>41</v>
      </c>
      <c r="B2283" s="1">
        <v>40514</v>
      </c>
      <c r="C2283">
        <v>12</v>
      </c>
      <c r="D2283">
        <v>2010</v>
      </c>
      <c r="E2283" s="2">
        <v>1075656.3400000001</v>
      </c>
      <c r="F2283">
        <v>1</v>
      </c>
      <c r="G2283" s="3">
        <v>23.04</v>
      </c>
      <c r="H2283" s="2">
        <v>2.5720000000000001</v>
      </c>
      <c r="I2283">
        <v>189.46427249999999</v>
      </c>
      <c r="J2283" s="3">
        <v>7.5410000000000004</v>
      </c>
    </row>
    <row r="2284" spans="1:10" x14ac:dyDescent="0.25">
      <c r="A2284">
        <v>41</v>
      </c>
      <c r="B2284" s="1">
        <v>40301</v>
      </c>
      <c r="C2284">
        <v>5</v>
      </c>
      <c r="D2284">
        <v>2010</v>
      </c>
      <c r="E2284" s="2">
        <v>1063557.49</v>
      </c>
      <c r="F2284">
        <v>0</v>
      </c>
      <c r="G2284" s="3">
        <v>32.49</v>
      </c>
      <c r="H2284" s="2">
        <v>2.62</v>
      </c>
      <c r="I2284">
        <v>189.66950489999999</v>
      </c>
      <c r="J2284" s="3">
        <v>7.5410000000000004</v>
      </c>
    </row>
    <row r="2285" spans="1:10" x14ac:dyDescent="0.25">
      <c r="A2285">
        <v>41</v>
      </c>
      <c r="B2285" s="1">
        <v>40515</v>
      </c>
      <c r="C2285">
        <v>12</v>
      </c>
      <c r="D2285">
        <v>2010</v>
      </c>
      <c r="E2285" s="2">
        <v>1023997.71</v>
      </c>
      <c r="F2285">
        <v>0</v>
      </c>
      <c r="G2285" s="3">
        <v>33.4</v>
      </c>
      <c r="H2285" s="2">
        <v>2.6840000000000002</v>
      </c>
      <c r="I2285">
        <v>189.73720750000001</v>
      </c>
      <c r="J2285" s="3">
        <v>7.5410000000000004</v>
      </c>
    </row>
    <row r="2286" spans="1:10" x14ac:dyDescent="0.25">
      <c r="A2286">
        <v>41</v>
      </c>
      <c r="B2286" s="1">
        <v>40213</v>
      </c>
      <c r="C2286">
        <v>2</v>
      </c>
      <c r="D2286">
        <v>2010</v>
      </c>
      <c r="E2286" s="2">
        <v>1168826.3899999999</v>
      </c>
      <c r="F2286">
        <v>0</v>
      </c>
      <c r="G2286" s="3">
        <v>41.31</v>
      </c>
      <c r="H2286" s="2">
        <v>2.7250000000000001</v>
      </c>
      <c r="I2286">
        <v>189.70482150000001</v>
      </c>
      <c r="J2286" s="3">
        <v>7.3630000000000004</v>
      </c>
    </row>
    <row r="2287" spans="1:10" x14ac:dyDescent="0.25">
      <c r="A2287">
        <v>41</v>
      </c>
      <c r="B2287" s="1">
        <v>40425</v>
      </c>
      <c r="C2287">
        <v>9</v>
      </c>
      <c r="D2287">
        <v>2010</v>
      </c>
      <c r="E2287" s="2">
        <v>1082158.21</v>
      </c>
      <c r="F2287">
        <v>0</v>
      </c>
      <c r="G2287" s="3">
        <v>37.299999999999997</v>
      </c>
      <c r="H2287" s="2">
        <v>2.75</v>
      </c>
      <c r="I2287">
        <v>189.69010119999999</v>
      </c>
      <c r="J2287" s="3">
        <v>7.3630000000000004</v>
      </c>
    </row>
    <row r="2288" spans="1:10" x14ac:dyDescent="0.25">
      <c r="A2288">
        <v>41</v>
      </c>
      <c r="B2288" s="1">
        <v>40364</v>
      </c>
      <c r="C2288">
        <v>7</v>
      </c>
      <c r="D2288">
        <v>2010</v>
      </c>
      <c r="E2288" s="2">
        <v>1175738.22</v>
      </c>
      <c r="F2288">
        <v>0</v>
      </c>
      <c r="G2288" s="3">
        <v>41.5</v>
      </c>
      <c r="H2288" s="2">
        <v>2.7709999999999999</v>
      </c>
      <c r="I2288">
        <v>189.53124829999999</v>
      </c>
      <c r="J2288" s="3">
        <v>7.3630000000000004</v>
      </c>
    </row>
    <row r="2289" spans="1:10" x14ac:dyDescent="0.25">
      <c r="A2289">
        <v>41</v>
      </c>
      <c r="B2289" s="1">
        <v>40274</v>
      </c>
      <c r="C2289">
        <v>4</v>
      </c>
      <c r="D2289">
        <v>2010</v>
      </c>
      <c r="E2289" s="2">
        <v>1305068.1000000001</v>
      </c>
      <c r="F2289">
        <v>0</v>
      </c>
      <c r="G2289" s="3">
        <v>60.13</v>
      </c>
      <c r="H2289" s="2">
        <v>2.7</v>
      </c>
      <c r="I2289">
        <v>189.42265800000001</v>
      </c>
      <c r="J2289" s="3">
        <v>7.3630000000000004</v>
      </c>
    </row>
    <row r="2290" spans="1:10" x14ac:dyDescent="0.25">
      <c r="A2290">
        <v>41</v>
      </c>
      <c r="B2290" s="1">
        <v>40488</v>
      </c>
      <c r="C2290">
        <v>11</v>
      </c>
      <c r="D2290">
        <v>2010</v>
      </c>
      <c r="E2290" s="2">
        <v>1217199.3899999999</v>
      </c>
      <c r="F2290">
        <v>0</v>
      </c>
      <c r="G2290" s="3">
        <v>63.36</v>
      </c>
      <c r="H2290" s="2">
        <v>2.6840000000000002</v>
      </c>
      <c r="I2290">
        <v>189.4000734</v>
      </c>
      <c r="J2290" s="3">
        <v>7.3630000000000004</v>
      </c>
    </row>
    <row r="2291" spans="1:10" x14ac:dyDescent="0.25">
      <c r="A2291">
        <v>41</v>
      </c>
      <c r="B2291" s="1">
        <v>40216</v>
      </c>
      <c r="C2291">
        <v>2</v>
      </c>
      <c r="D2291">
        <v>2010</v>
      </c>
      <c r="E2291" s="2">
        <v>1273279.79</v>
      </c>
      <c r="F2291">
        <v>0</v>
      </c>
      <c r="G2291" s="3">
        <v>69.39</v>
      </c>
      <c r="H2291" s="2">
        <v>2.7280000000000002</v>
      </c>
      <c r="I2291">
        <v>189.48826030000001</v>
      </c>
      <c r="J2291" s="3">
        <v>7.335</v>
      </c>
    </row>
    <row r="2292" spans="1:10" x14ac:dyDescent="0.25">
      <c r="A2292">
        <v>41</v>
      </c>
      <c r="B2292" s="1">
        <v>40428</v>
      </c>
      <c r="C2292">
        <v>9</v>
      </c>
      <c r="D2292">
        <v>2010</v>
      </c>
      <c r="E2292" s="2">
        <v>1176079.5900000001</v>
      </c>
      <c r="F2292">
        <v>0</v>
      </c>
      <c r="G2292" s="3">
        <v>60.93</v>
      </c>
      <c r="H2292" s="2">
        <v>2.7109999999999999</v>
      </c>
      <c r="I2292">
        <v>189.52312760000001</v>
      </c>
      <c r="J2292" s="3">
        <v>7.335</v>
      </c>
    </row>
    <row r="2293" spans="1:10" x14ac:dyDescent="0.25">
      <c r="A2293">
        <v>41</v>
      </c>
      <c r="B2293" s="1">
        <v>40337</v>
      </c>
      <c r="C2293">
        <v>6</v>
      </c>
      <c r="D2293">
        <v>2010</v>
      </c>
      <c r="E2293" s="2">
        <v>1338132.72</v>
      </c>
      <c r="F2293">
        <v>0</v>
      </c>
      <c r="G2293" s="3">
        <v>69.209999999999994</v>
      </c>
      <c r="H2293" s="2">
        <v>2.69</v>
      </c>
      <c r="I2293">
        <v>190.09900279999999</v>
      </c>
      <c r="J2293" s="3">
        <v>7.335</v>
      </c>
    </row>
    <row r="2294" spans="1:10" x14ac:dyDescent="0.25">
      <c r="A2294">
        <v>41</v>
      </c>
      <c r="B2294" s="1">
        <v>40246</v>
      </c>
      <c r="C2294">
        <v>3</v>
      </c>
      <c r="D2294">
        <v>2010</v>
      </c>
      <c r="E2294" s="2">
        <v>1223355.5</v>
      </c>
      <c r="F2294">
        <v>0</v>
      </c>
      <c r="G2294" s="3">
        <v>64.13</v>
      </c>
      <c r="H2294" s="2">
        <v>2.7730000000000001</v>
      </c>
      <c r="I2294">
        <v>190.3621607</v>
      </c>
      <c r="J2294" s="3">
        <v>7.335</v>
      </c>
    </row>
    <row r="2295" spans="1:10" x14ac:dyDescent="0.25">
      <c r="A2295">
        <v>41</v>
      </c>
      <c r="B2295" s="1">
        <v>40460</v>
      </c>
      <c r="C2295">
        <v>10</v>
      </c>
      <c r="D2295">
        <v>2010</v>
      </c>
      <c r="E2295" s="2">
        <v>1172672.27</v>
      </c>
      <c r="F2295">
        <v>1</v>
      </c>
      <c r="G2295" s="3">
        <v>63.3</v>
      </c>
      <c r="H2295" s="2">
        <v>2.78</v>
      </c>
      <c r="I2295">
        <v>190.3958293</v>
      </c>
      <c r="J2295" s="3">
        <v>7.335</v>
      </c>
    </row>
    <row r="2296" spans="1:10" x14ac:dyDescent="0.25">
      <c r="A2296">
        <v>41</v>
      </c>
      <c r="B2296" s="1">
        <v>40188</v>
      </c>
      <c r="C2296">
        <v>1</v>
      </c>
      <c r="D2296">
        <v>2010</v>
      </c>
      <c r="E2296" s="2">
        <v>1109216.3500000001</v>
      </c>
      <c r="F2296">
        <v>0</v>
      </c>
      <c r="G2296" s="3">
        <v>62.67</v>
      </c>
      <c r="H2296" s="2">
        <v>2.7589999999999999</v>
      </c>
      <c r="I2296">
        <v>190.67382409999999</v>
      </c>
      <c r="J2296" s="3">
        <v>7.508</v>
      </c>
    </row>
    <row r="2297" spans="1:10" x14ac:dyDescent="0.25">
      <c r="A2297">
        <v>41</v>
      </c>
      <c r="B2297" s="1">
        <v>40400</v>
      </c>
      <c r="C2297">
        <v>8</v>
      </c>
      <c r="D2297">
        <v>2010</v>
      </c>
      <c r="E2297" s="2">
        <v>1162042.24</v>
      </c>
      <c r="F2297">
        <v>0</v>
      </c>
      <c r="G2297" s="3">
        <v>57.1</v>
      </c>
      <c r="H2297" s="2">
        <v>2.7450000000000001</v>
      </c>
      <c r="I2297">
        <v>190.77632180000001</v>
      </c>
      <c r="J2297" s="3">
        <v>7.508</v>
      </c>
    </row>
    <row r="2298" spans="1:10" x14ac:dyDescent="0.25">
      <c r="A2298">
        <v>41</v>
      </c>
      <c r="B2298" s="1">
        <v>40309</v>
      </c>
      <c r="C2298">
        <v>5</v>
      </c>
      <c r="D2298">
        <v>2010</v>
      </c>
      <c r="E2298" s="2">
        <v>1163878.49</v>
      </c>
      <c r="F2298">
        <v>0</v>
      </c>
      <c r="G2298" s="3">
        <v>46.74</v>
      </c>
      <c r="H2298" s="2">
        <v>2.7290000000000001</v>
      </c>
      <c r="I2298">
        <v>190.9964377</v>
      </c>
      <c r="J2298" s="3">
        <v>7.508</v>
      </c>
    </row>
    <row r="2299" spans="1:10" x14ac:dyDescent="0.25">
      <c r="A2299">
        <v>41</v>
      </c>
      <c r="B2299" s="1">
        <v>40523</v>
      </c>
      <c r="C2299">
        <v>12</v>
      </c>
      <c r="D2299">
        <v>2010</v>
      </c>
      <c r="E2299" s="2">
        <v>1175326.23</v>
      </c>
      <c r="F2299">
        <v>0</v>
      </c>
      <c r="G2299" s="3">
        <v>38.99</v>
      </c>
      <c r="H2299" s="2">
        <v>2.7370000000000001</v>
      </c>
      <c r="I2299">
        <v>191.0411474</v>
      </c>
      <c r="J2299" s="3">
        <v>7.508</v>
      </c>
    </row>
    <row r="2300" spans="1:10" x14ac:dyDescent="0.25">
      <c r="A2300">
        <v>41</v>
      </c>
      <c r="B2300" s="1">
        <v>40249</v>
      </c>
      <c r="C2300">
        <v>3</v>
      </c>
      <c r="D2300">
        <v>2010</v>
      </c>
      <c r="E2300" s="2">
        <v>1220115.75</v>
      </c>
      <c r="F2300">
        <v>0</v>
      </c>
      <c r="G2300" s="3">
        <v>33</v>
      </c>
      <c r="H2300" s="2">
        <v>2.7120000000000002</v>
      </c>
      <c r="I2300">
        <v>190.99314369999999</v>
      </c>
      <c r="J2300" s="3">
        <v>7.508</v>
      </c>
    </row>
    <row r="2301" spans="1:10" x14ac:dyDescent="0.25">
      <c r="A2301">
        <v>41</v>
      </c>
      <c r="B2301" s="1">
        <v>40463</v>
      </c>
      <c r="C2301">
        <v>10</v>
      </c>
      <c r="D2301">
        <v>2010</v>
      </c>
      <c r="E2301" s="2">
        <v>1434908.13</v>
      </c>
      <c r="F2301">
        <v>0</v>
      </c>
      <c r="G2301" s="3">
        <v>33.9</v>
      </c>
      <c r="H2301" s="2">
        <v>2.7280000000000002</v>
      </c>
      <c r="I2301">
        <v>190.97410690000001</v>
      </c>
      <c r="J2301" s="3">
        <v>7.508</v>
      </c>
    </row>
    <row r="2302" spans="1:10" x14ac:dyDescent="0.25">
      <c r="A2302">
        <v>41</v>
      </c>
      <c r="B2302" s="1">
        <v>40725</v>
      </c>
      <c r="C2302">
        <v>7</v>
      </c>
      <c r="D2302">
        <v>2011</v>
      </c>
      <c r="E2302" s="2">
        <v>1153596.53</v>
      </c>
      <c r="F2302">
        <v>0</v>
      </c>
      <c r="G2302" s="3">
        <v>23.76</v>
      </c>
      <c r="H2302" s="2">
        <v>2.8820000000000001</v>
      </c>
      <c r="I2302">
        <v>191.3683815</v>
      </c>
      <c r="J2302" s="3">
        <v>7.2409999999999997</v>
      </c>
    </row>
    <row r="2303" spans="1:10" x14ac:dyDescent="0.25">
      <c r="A2303">
        <v>41</v>
      </c>
      <c r="B2303" s="1">
        <v>40635</v>
      </c>
      <c r="C2303">
        <v>4</v>
      </c>
      <c r="D2303">
        <v>2011</v>
      </c>
      <c r="E2303" s="2">
        <v>1179420.5</v>
      </c>
      <c r="F2303">
        <v>0</v>
      </c>
      <c r="G2303" s="3">
        <v>14.56</v>
      </c>
      <c r="H2303" s="2">
        <v>3.0110000000000001</v>
      </c>
      <c r="I2303">
        <v>191.76258949999999</v>
      </c>
      <c r="J2303" s="3">
        <v>7.2409999999999997</v>
      </c>
    </row>
    <row r="2304" spans="1:10" x14ac:dyDescent="0.25">
      <c r="A2304">
        <v>41</v>
      </c>
      <c r="B2304" s="1">
        <v>40849</v>
      </c>
      <c r="C2304">
        <v>11</v>
      </c>
      <c r="D2304">
        <v>2011</v>
      </c>
      <c r="E2304" s="2">
        <v>1150003.3600000001</v>
      </c>
      <c r="F2304">
        <v>1</v>
      </c>
      <c r="G2304" s="3">
        <v>16.809999999999999</v>
      </c>
      <c r="H2304" s="2">
        <v>3.0369999999999999</v>
      </c>
      <c r="I2304">
        <v>191.85728810000001</v>
      </c>
      <c r="J2304" s="3">
        <v>7.2409999999999997</v>
      </c>
    </row>
    <row r="2305" spans="1:10" x14ac:dyDescent="0.25">
      <c r="A2305">
        <v>41</v>
      </c>
      <c r="B2305" s="1">
        <v>40636</v>
      </c>
      <c r="C2305">
        <v>4</v>
      </c>
      <c r="D2305">
        <v>2011</v>
      </c>
      <c r="E2305" s="2">
        <v>1229257.7</v>
      </c>
      <c r="F2305">
        <v>0</v>
      </c>
      <c r="G2305" s="3">
        <v>34.99</v>
      </c>
      <c r="H2305" s="2">
        <v>3.2320000000000002</v>
      </c>
      <c r="I2305">
        <v>192.01160039999999</v>
      </c>
      <c r="J2305" s="3">
        <v>7.2409999999999997</v>
      </c>
    </row>
    <row r="2306" spans="1:10" x14ac:dyDescent="0.25">
      <c r="A2306">
        <v>41</v>
      </c>
      <c r="B2306" s="1">
        <v>40850</v>
      </c>
      <c r="C2306">
        <v>11</v>
      </c>
      <c r="D2306">
        <v>2011</v>
      </c>
      <c r="E2306" s="2">
        <v>1159089.6000000001</v>
      </c>
      <c r="F2306">
        <v>0</v>
      </c>
      <c r="G2306" s="3">
        <v>31.6</v>
      </c>
      <c r="H2306" s="2">
        <v>3.3719999999999999</v>
      </c>
      <c r="I2306">
        <v>192.05848399999999</v>
      </c>
      <c r="J2306" s="3">
        <v>7.2409999999999997</v>
      </c>
    </row>
    <row r="2307" spans="1:10" x14ac:dyDescent="0.25">
      <c r="A2307">
        <v>41</v>
      </c>
      <c r="B2307" s="1">
        <v>40547</v>
      </c>
      <c r="C2307">
        <v>1</v>
      </c>
      <c r="D2307">
        <v>2011</v>
      </c>
      <c r="E2307" s="2">
        <v>1179125.48</v>
      </c>
      <c r="F2307">
        <v>0</v>
      </c>
      <c r="G2307" s="3">
        <v>38.159999999999997</v>
      </c>
      <c r="H2307" s="2">
        <v>3.4609999999999999</v>
      </c>
      <c r="I2307">
        <v>192.26917069999999</v>
      </c>
      <c r="J2307" s="3">
        <v>6.9340000000000002</v>
      </c>
    </row>
    <row r="2308" spans="1:10" x14ac:dyDescent="0.25">
      <c r="A2308">
        <v>41</v>
      </c>
      <c r="B2308" s="1">
        <v>40759</v>
      </c>
      <c r="C2308">
        <v>8</v>
      </c>
      <c r="D2308">
        <v>2011</v>
      </c>
      <c r="E2308" s="2">
        <v>1206252.1200000001</v>
      </c>
      <c r="F2308">
        <v>0</v>
      </c>
      <c r="G2308" s="3">
        <v>42.87</v>
      </c>
      <c r="H2308" s="2">
        <v>3.532</v>
      </c>
      <c r="I2308">
        <v>192.3418571</v>
      </c>
      <c r="J2308" s="3">
        <v>6.9340000000000002</v>
      </c>
    </row>
    <row r="2309" spans="1:10" x14ac:dyDescent="0.25">
      <c r="A2309">
        <v>41</v>
      </c>
      <c r="B2309" s="1">
        <v>40699</v>
      </c>
      <c r="C2309">
        <v>6</v>
      </c>
      <c r="D2309">
        <v>2011</v>
      </c>
      <c r="E2309" s="2">
        <v>1244956.9099999999</v>
      </c>
      <c r="F2309">
        <v>0</v>
      </c>
      <c r="G2309" s="3">
        <v>41.2</v>
      </c>
      <c r="H2309" s="2">
        <v>3.7349999999999999</v>
      </c>
      <c r="I2309">
        <v>192.72520059999999</v>
      </c>
      <c r="J2309" s="3">
        <v>6.9340000000000002</v>
      </c>
    </row>
    <row r="2310" spans="1:10" x14ac:dyDescent="0.25">
      <c r="A2310">
        <v>41</v>
      </c>
      <c r="B2310" s="1">
        <v>40608</v>
      </c>
      <c r="C2310">
        <v>3</v>
      </c>
      <c r="D2310">
        <v>2011</v>
      </c>
      <c r="E2310" s="2">
        <v>1297584.95</v>
      </c>
      <c r="F2310">
        <v>0</v>
      </c>
      <c r="G2310" s="3">
        <v>54.81</v>
      </c>
      <c r="H2310" s="2">
        <v>3.7629999999999999</v>
      </c>
      <c r="I2310">
        <v>192.8418131</v>
      </c>
      <c r="J2310" s="3">
        <v>6.9340000000000002</v>
      </c>
    </row>
    <row r="2311" spans="1:10" x14ac:dyDescent="0.25">
      <c r="A2311">
        <v>41</v>
      </c>
      <c r="B2311" s="1">
        <v>40822</v>
      </c>
      <c r="C2311">
        <v>10</v>
      </c>
      <c r="D2311">
        <v>2011</v>
      </c>
      <c r="E2311" s="2">
        <v>1311690.1100000001</v>
      </c>
      <c r="F2311">
        <v>0</v>
      </c>
      <c r="G2311" s="3">
        <v>61.1</v>
      </c>
      <c r="H2311" s="2">
        <v>3.7349999999999999</v>
      </c>
      <c r="I2311">
        <v>192.84706120000001</v>
      </c>
      <c r="J2311" s="3">
        <v>6.9340000000000002</v>
      </c>
    </row>
    <row r="2312" spans="1:10" x14ac:dyDescent="0.25">
      <c r="A2312">
        <v>41</v>
      </c>
      <c r="B2312" s="1">
        <v>40550</v>
      </c>
      <c r="C2312">
        <v>1</v>
      </c>
      <c r="D2312">
        <v>2011</v>
      </c>
      <c r="E2312" s="2">
        <v>1333347.78</v>
      </c>
      <c r="F2312">
        <v>0</v>
      </c>
      <c r="G2312" s="3">
        <v>67.010000000000005</v>
      </c>
      <c r="H2312" s="2">
        <v>3.597</v>
      </c>
      <c r="I2312">
        <v>193.09305520000001</v>
      </c>
      <c r="J2312" s="3">
        <v>6.9009999999999998</v>
      </c>
    </row>
    <row r="2313" spans="1:10" x14ac:dyDescent="0.25">
      <c r="A2313">
        <v>41</v>
      </c>
      <c r="B2313" s="1">
        <v>40762</v>
      </c>
      <c r="C2313">
        <v>8</v>
      </c>
      <c r="D2313">
        <v>2011</v>
      </c>
      <c r="E2313" s="2">
        <v>1338862.58</v>
      </c>
      <c r="F2313">
        <v>0</v>
      </c>
      <c r="G2313" s="3">
        <v>68.489999999999995</v>
      </c>
      <c r="H2313" s="2">
        <v>3.54</v>
      </c>
      <c r="I2313">
        <v>193.18784479999999</v>
      </c>
      <c r="J2313" s="3">
        <v>6.9009999999999998</v>
      </c>
    </row>
    <row r="2314" spans="1:10" x14ac:dyDescent="0.25">
      <c r="A2314">
        <v>41</v>
      </c>
      <c r="B2314" s="1">
        <v>40671</v>
      </c>
      <c r="C2314">
        <v>5</v>
      </c>
      <c r="D2314">
        <v>2011</v>
      </c>
      <c r="E2314" s="2">
        <v>1402233.69</v>
      </c>
      <c r="F2314">
        <v>0</v>
      </c>
      <c r="G2314" s="3">
        <v>72.19</v>
      </c>
      <c r="H2314" s="2">
        <v>3.5539999999999998</v>
      </c>
      <c r="I2314">
        <v>193.91101330000001</v>
      </c>
      <c r="J2314" s="3">
        <v>6.9009999999999998</v>
      </c>
    </row>
    <row r="2315" spans="1:10" x14ac:dyDescent="0.25">
      <c r="A2315">
        <v>41</v>
      </c>
      <c r="B2315" s="1">
        <v>40885</v>
      </c>
      <c r="C2315">
        <v>12</v>
      </c>
      <c r="D2315">
        <v>2011</v>
      </c>
      <c r="E2315" s="2">
        <v>1356689.88</v>
      </c>
      <c r="F2315">
        <v>0</v>
      </c>
      <c r="G2315" s="3">
        <v>67.650000000000006</v>
      </c>
      <c r="H2315" s="2">
        <v>3.5419999999999998</v>
      </c>
      <c r="I2315">
        <v>194.11050169999999</v>
      </c>
      <c r="J2315" s="3">
        <v>6.9009999999999998</v>
      </c>
    </row>
    <row r="2316" spans="1:10" x14ac:dyDescent="0.25">
      <c r="A2316">
        <v>41</v>
      </c>
      <c r="B2316" s="1">
        <v>40583</v>
      </c>
      <c r="C2316">
        <v>2</v>
      </c>
      <c r="D2316">
        <v>2011</v>
      </c>
      <c r="E2316" s="2">
        <v>1283849.3799999999</v>
      </c>
      <c r="F2316">
        <v>0</v>
      </c>
      <c r="G2316" s="3">
        <v>70.37</v>
      </c>
      <c r="H2316" s="2">
        <v>3.5110000000000001</v>
      </c>
      <c r="I2316">
        <v>194.5092113</v>
      </c>
      <c r="J2316" s="3">
        <v>6.9009999999999998</v>
      </c>
    </row>
    <row r="2317" spans="1:10" x14ac:dyDescent="0.25">
      <c r="A2317">
        <v>41</v>
      </c>
      <c r="B2317" s="1">
        <v>40795</v>
      </c>
      <c r="C2317">
        <v>9</v>
      </c>
      <c r="D2317">
        <v>2011</v>
      </c>
      <c r="E2317" s="2">
        <v>1280958.97</v>
      </c>
      <c r="F2317">
        <v>1</v>
      </c>
      <c r="G2317" s="3">
        <v>58.31</v>
      </c>
      <c r="H2317" s="2">
        <v>3.5659999999999998</v>
      </c>
      <c r="I2317">
        <v>194.6387853</v>
      </c>
      <c r="J2317" s="3">
        <v>6.9009999999999998</v>
      </c>
    </row>
    <row r="2318" spans="1:10" x14ac:dyDescent="0.25">
      <c r="A2318">
        <v>41</v>
      </c>
      <c r="B2318" s="1">
        <v>40734</v>
      </c>
      <c r="C2318">
        <v>7</v>
      </c>
      <c r="D2318">
        <v>2011</v>
      </c>
      <c r="E2318" s="2">
        <v>1277882.77</v>
      </c>
      <c r="F2318">
        <v>0</v>
      </c>
      <c r="G2318" s="3">
        <v>58.74</v>
      </c>
      <c r="H2318" s="2">
        <v>3.4980000000000002</v>
      </c>
      <c r="I2318">
        <v>194.94597239999999</v>
      </c>
      <c r="J2318" s="3">
        <v>6.7590000000000003</v>
      </c>
    </row>
    <row r="2319" spans="1:10" x14ac:dyDescent="0.25">
      <c r="A2319">
        <v>41</v>
      </c>
      <c r="B2319" s="1">
        <v>40644</v>
      </c>
      <c r="C2319">
        <v>4</v>
      </c>
      <c r="D2319">
        <v>2011</v>
      </c>
      <c r="E2319" s="2">
        <v>1315684.8600000001</v>
      </c>
      <c r="F2319">
        <v>0</v>
      </c>
      <c r="G2319" s="3">
        <v>35.04</v>
      </c>
      <c r="H2319" s="2">
        <v>3.5270000000000001</v>
      </c>
      <c r="I2319">
        <v>195.48479589999999</v>
      </c>
      <c r="J2319" s="3">
        <v>6.7590000000000003</v>
      </c>
    </row>
    <row r="2320" spans="1:10" x14ac:dyDescent="0.25">
      <c r="A2320">
        <v>41</v>
      </c>
      <c r="B2320" s="1">
        <v>40858</v>
      </c>
      <c r="C2320">
        <v>11</v>
      </c>
      <c r="D2320">
        <v>2011</v>
      </c>
      <c r="E2320" s="2">
        <v>1302499.23</v>
      </c>
      <c r="F2320">
        <v>0</v>
      </c>
      <c r="G2320" s="3">
        <v>32.869999999999997</v>
      </c>
      <c r="H2320" s="2">
        <v>3.5049999999999999</v>
      </c>
      <c r="I2320">
        <v>195.6376941</v>
      </c>
      <c r="J2320" s="3">
        <v>6.7590000000000003</v>
      </c>
    </row>
    <row r="2321" spans="1:10" x14ac:dyDescent="0.25">
      <c r="A2321">
        <v>41</v>
      </c>
      <c r="B2321" s="1">
        <v>40586</v>
      </c>
      <c r="C2321">
        <v>2</v>
      </c>
      <c r="D2321">
        <v>2011</v>
      </c>
      <c r="E2321" s="2">
        <v>1292436.23</v>
      </c>
      <c r="F2321">
        <v>0</v>
      </c>
      <c r="G2321" s="3">
        <v>34.53</v>
      </c>
      <c r="H2321" s="2">
        <v>3.3780000000000001</v>
      </c>
      <c r="I2321">
        <v>195.82232870000001</v>
      </c>
      <c r="J2321" s="3">
        <v>6.7590000000000003</v>
      </c>
    </row>
    <row r="2322" spans="1:10" x14ac:dyDescent="0.25">
      <c r="A2322">
        <v>41</v>
      </c>
      <c r="B2322" s="1">
        <v>40798</v>
      </c>
      <c r="C2322">
        <v>9</v>
      </c>
      <c r="D2322">
        <v>2011</v>
      </c>
      <c r="E2322" s="2">
        <v>1548661.45</v>
      </c>
      <c r="F2322">
        <v>0</v>
      </c>
      <c r="G2322" s="3">
        <v>17.05</v>
      </c>
      <c r="H2322" s="2">
        <v>3.331</v>
      </c>
      <c r="I2322">
        <v>195.8742575</v>
      </c>
      <c r="J2322" s="3">
        <v>6.7590000000000003</v>
      </c>
    </row>
    <row r="2323" spans="1:10" x14ac:dyDescent="0.25">
      <c r="A2323">
        <v>41</v>
      </c>
      <c r="B2323" s="1">
        <v>41061</v>
      </c>
      <c r="C2323">
        <v>6</v>
      </c>
      <c r="D2323">
        <v>2012</v>
      </c>
      <c r="E2323" s="2">
        <v>1208191.6100000001</v>
      </c>
      <c r="F2323">
        <v>0</v>
      </c>
      <c r="G2323" s="3">
        <v>37.21</v>
      </c>
      <c r="H2323" s="2">
        <v>3.0950000000000002</v>
      </c>
      <c r="I2323">
        <v>196.5458309</v>
      </c>
      <c r="J2323" s="3">
        <v>6.5890000000000004</v>
      </c>
    </row>
    <row r="2324" spans="1:10" x14ac:dyDescent="0.25">
      <c r="A2324">
        <v>41</v>
      </c>
      <c r="B2324" s="1">
        <v>40970</v>
      </c>
      <c r="C2324">
        <v>3</v>
      </c>
      <c r="D2324">
        <v>2012</v>
      </c>
      <c r="E2324" s="2">
        <v>1208825.6000000001</v>
      </c>
      <c r="F2324">
        <v>0</v>
      </c>
      <c r="G2324" s="3">
        <v>31.65</v>
      </c>
      <c r="H2324" s="2">
        <v>3.0310000000000001</v>
      </c>
      <c r="I2324">
        <v>196.8728921</v>
      </c>
      <c r="J2324" s="3">
        <v>6.5890000000000004</v>
      </c>
    </row>
    <row r="2325" spans="1:10" x14ac:dyDescent="0.25">
      <c r="A2325">
        <v>41</v>
      </c>
      <c r="B2325" s="1">
        <v>41184</v>
      </c>
      <c r="C2325">
        <v>10</v>
      </c>
      <c r="D2325">
        <v>2012</v>
      </c>
      <c r="E2325" s="2">
        <v>1238844.56</v>
      </c>
      <c r="F2325">
        <v>1</v>
      </c>
      <c r="G2325" s="3">
        <v>22</v>
      </c>
      <c r="H2325" s="2">
        <v>3.1030000000000002</v>
      </c>
      <c r="I2325">
        <v>196.91950560000001</v>
      </c>
      <c r="J2325" s="3">
        <v>6.5890000000000004</v>
      </c>
    </row>
    <row r="2326" spans="1:10" x14ac:dyDescent="0.25">
      <c r="A2326">
        <v>41</v>
      </c>
      <c r="B2326" s="1">
        <v>40942</v>
      </c>
      <c r="C2326">
        <v>2</v>
      </c>
      <c r="D2326">
        <v>2012</v>
      </c>
      <c r="E2326" s="2">
        <v>1239813.26</v>
      </c>
      <c r="F2326">
        <v>0</v>
      </c>
      <c r="G2326" s="3">
        <v>27.39</v>
      </c>
      <c r="H2326" s="2">
        <v>3.1909999999999998</v>
      </c>
      <c r="I2326">
        <v>196.9565303</v>
      </c>
      <c r="J2326" s="3">
        <v>6.5890000000000004</v>
      </c>
    </row>
    <row r="2327" spans="1:10" x14ac:dyDescent="0.25">
      <c r="A2327">
        <v>41</v>
      </c>
      <c r="B2327" s="1">
        <v>41155</v>
      </c>
      <c r="C2327">
        <v>9</v>
      </c>
      <c r="D2327">
        <v>2012</v>
      </c>
      <c r="E2327" s="2">
        <v>1243814.77</v>
      </c>
      <c r="F2327">
        <v>0</v>
      </c>
      <c r="G2327" s="3">
        <v>35.299999999999997</v>
      </c>
      <c r="H2327" s="2">
        <v>3.286</v>
      </c>
      <c r="I2327">
        <v>196.96315989999999</v>
      </c>
      <c r="J2327" s="3">
        <v>6.5890000000000004</v>
      </c>
    </row>
    <row r="2328" spans="1:10" x14ac:dyDescent="0.25">
      <c r="A2328">
        <v>41</v>
      </c>
      <c r="B2328" s="1">
        <v>41064</v>
      </c>
      <c r="C2328">
        <v>6</v>
      </c>
      <c r="D2328">
        <v>2012</v>
      </c>
      <c r="E2328" s="2">
        <v>1460234.31</v>
      </c>
      <c r="F2328">
        <v>0</v>
      </c>
      <c r="G2328" s="3">
        <v>48.48</v>
      </c>
      <c r="H2328" s="2">
        <v>3.8540000000000001</v>
      </c>
      <c r="I2328">
        <v>197.5971285</v>
      </c>
      <c r="J2328" s="3">
        <v>6.5469999999999997</v>
      </c>
    </row>
    <row r="2329" spans="1:10" x14ac:dyDescent="0.25">
      <c r="A2329">
        <v>41</v>
      </c>
      <c r="B2329" s="1">
        <v>41004</v>
      </c>
      <c r="C2329">
        <v>4</v>
      </c>
      <c r="D2329">
        <v>2012</v>
      </c>
      <c r="E2329" s="2">
        <v>1359770.73</v>
      </c>
      <c r="F2329">
        <v>0</v>
      </c>
      <c r="G2329" s="3">
        <v>52.86</v>
      </c>
      <c r="H2329" s="2">
        <v>3.903</v>
      </c>
      <c r="I2329">
        <v>197.60635339999999</v>
      </c>
      <c r="J2329" s="3">
        <v>6.5469999999999997</v>
      </c>
    </row>
    <row r="2330" spans="1:10" x14ac:dyDescent="0.25">
      <c r="A2330">
        <v>41</v>
      </c>
      <c r="B2330" s="1">
        <v>41218</v>
      </c>
      <c r="C2330">
        <v>11</v>
      </c>
      <c r="D2330">
        <v>2012</v>
      </c>
      <c r="E2330" s="2">
        <v>1353285.1</v>
      </c>
      <c r="F2330">
        <v>0</v>
      </c>
      <c r="G2330" s="3">
        <v>50.22</v>
      </c>
      <c r="H2330" s="2">
        <v>3.87</v>
      </c>
      <c r="I2330">
        <v>197.5481609</v>
      </c>
      <c r="J2330" s="3">
        <v>6.5469999999999997</v>
      </c>
    </row>
    <row r="2331" spans="1:10" x14ac:dyDescent="0.25">
      <c r="A2331">
        <v>41</v>
      </c>
      <c r="B2331" s="1">
        <v>40914</v>
      </c>
      <c r="C2331">
        <v>1</v>
      </c>
      <c r="D2331">
        <v>2012</v>
      </c>
      <c r="E2331" s="2">
        <v>1374891.36</v>
      </c>
      <c r="F2331">
        <v>0</v>
      </c>
      <c r="G2331" s="3">
        <v>57.29</v>
      </c>
      <c r="H2331" s="2">
        <v>3.7639999999999998</v>
      </c>
      <c r="I2331">
        <v>197.6218954</v>
      </c>
      <c r="J2331" s="3">
        <v>6.5469999999999997</v>
      </c>
    </row>
    <row r="2332" spans="1:10" x14ac:dyDescent="0.25">
      <c r="A2332">
        <v>41</v>
      </c>
      <c r="B2332" s="1">
        <v>41127</v>
      </c>
      <c r="C2332">
        <v>8</v>
      </c>
      <c r="D2332">
        <v>2012</v>
      </c>
      <c r="E2332" s="2">
        <v>1436383.84</v>
      </c>
      <c r="F2332">
        <v>0</v>
      </c>
      <c r="G2332" s="3">
        <v>65.11</v>
      </c>
      <c r="H2332" s="2">
        <v>3.7410000000000001</v>
      </c>
      <c r="I2332">
        <v>197.6551863</v>
      </c>
      <c r="J2332" s="3">
        <v>6.5469999999999997</v>
      </c>
    </row>
    <row r="2333" spans="1:10" x14ac:dyDescent="0.25">
      <c r="A2333">
        <v>41</v>
      </c>
      <c r="B2333" s="1">
        <v>41067</v>
      </c>
      <c r="C2333">
        <v>6</v>
      </c>
      <c r="D2333">
        <v>2012</v>
      </c>
      <c r="E2333" s="2">
        <v>1456300.89</v>
      </c>
      <c r="F2333">
        <v>0</v>
      </c>
      <c r="G2333" s="3">
        <v>74.47</v>
      </c>
      <c r="H2333" s="2">
        <v>3.6459999999999999</v>
      </c>
      <c r="I2333">
        <v>197.83221950000001</v>
      </c>
      <c r="J2333" s="3">
        <v>6.4320000000000004</v>
      </c>
    </row>
    <row r="2334" spans="1:10" x14ac:dyDescent="0.25">
      <c r="A2334">
        <v>41</v>
      </c>
      <c r="B2334" s="1">
        <v>40976</v>
      </c>
      <c r="C2334">
        <v>3</v>
      </c>
      <c r="D2334">
        <v>2012</v>
      </c>
      <c r="E2334" s="2">
        <v>1439607.35</v>
      </c>
      <c r="F2334">
        <v>0</v>
      </c>
      <c r="G2334" s="3">
        <v>73.16</v>
      </c>
      <c r="H2334" s="2">
        <v>3.528</v>
      </c>
      <c r="I2334">
        <v>198.02938929999999</v>
      </c>
      <c r="J2334" s="3">
        <v>6.4320000000000004</v>
      </c>
    </row>
    <row r="2335" spans="1:10" x14ac:dyDescent="0.25">
      <c r="A2335">
        <v>41</v>
      </c>
      <c r="B2335" s="1">
        <v>41190</v>
      </c>
      <c r="C2335">
        <v>10</v>
      </c>
      <c r="D2335">
        <v>2012</v>
      </c>
      <c r="E2335" s="2">
        <v>1504545.94</v>
      </c>
      <c r="F2335">
        <v>0</v>
      </c>
      <c r="G2335" s="3">
        <v>71.73</v>
      </c>
      <c r="H2335" s="2">
        <v>3.5089999999999999</v>
      </c>
      <c r="I2335">
        <v>198.0795651</v>
      </c>
      <c r="J2335" s="3">
        <v>6.4320000000000004</v>
      </c>
    </row>
    <row r="2336" spans="1:10" x14ac:dyDescent="0.25">
      <c r="A2336">
        <v>41</v>
      </c>
      <c r="B2336" s="1">
        <v>41099</v>
      </c>
      <c r="C2336">
        <v>7</v>
      </c>
      <c r="D2336">
        <v>2012</v>
      </c>
      <c r="E2336" s="2">
        <v>1392143.82</v>
      </c>
      <c r="F2336">
        <v>1</v>
      </c>
      <c r="G2336" s="3">
        <v>67.41</v>
      </c>
      <c r="H2336" s="2">
        <v>3.5960000000000001</v>
      </c>
      <c r="I2336">
        <v>198.0950484</v>
      </c>
      <c r="J2336" s="3">
        <v>6.4320000000000004</v>
      </c>
    </row>
    <row r="2337" spans="1:10" x14ac:dyDescent="0.25">
      <c r="A2337">
        <v>41</v>
      </c>
      <c r="B2337" s="1">
        <v>41039</v>
      </c>
      <c r="C2337">
        <v>5</v>
      </c>
      <c r="D2337">
        <v>2012</v>
      </c>
      <c r="E2337" s="2">
        <v>1400160.95</v>
      </c>
      <c r="F2337">
        <v>0</v>
      </c>
      <c r="G2337" s="3">
        <v>50.14</v>
      </c>
      <c r="H2337" s="2">
        <v>3.7789999999999999</v>
      </c>
      <c r="I2337">
        <v>198.8221322</v>
      </c>
      <c r="J2337" s="3">
        <v>6.1950000000000003</v>
      </c>
    </row>
    <row r="2338" spans="1:10" x14ac:dyDescent="0.25">
      <c r="A2338">
        <v>41</v>
      </c>
      <c r="B2338" s="1">
        <v>41253</v>
      </c>
      <c r="C2338">
        <v>12</v>
      </c>
      <c r="D2338">
        <v>2012</v>
      </c>
      <c r="E2338" s="2">
        <v>1409544.97</v>
      </c>
      <c r="F2338">
        <v>0</v>
      </c>
      <c r="G2338" s="3">
        <v>39.380000000000003</v>
      </c>
      <c r="H2338" s="2">
        <v>3.76</v>
      </c>
      <c r="I2338">
        <v>199.0539368</v>
      </c>
      <c r="J2338" s="3">
        <v>6.1950000000000003</v>
      </c>
    </row>
    <row r="2339" spans="1:10" x14ac:dyDescent="0.25">
      <c r="A2339">
        <v>42</v>
      </c>
      <c r="B2339" s="1">
        <v>40300</v>
      </c>
      <c r="C2339">
        <v>5</v>
      </c>
      <c r="D2339">
        <v>2010</v>
      </c>
      <c r="E2339" s="2">
        <v>543384.01</v>
      </c>
      <c r="F2339">
        <v>0</v>
      </c>
      <c r="G2339" s="3">
        <v>54.34</v>
      </c>
      <c r="H2339" s="2">
        <v>2.9620000000000002</v>
      </c>
      <c r="I2339">
        <v>126.4420645</v>
      </c>
      <c r="J2339" s="3">
        <v>9.7650000000000006</v>
      </c>
    </row>
    <row r="2340" spans="1:10" x14ac:dyDescent="0.25">
      <c r="A2340">
        <v>42</v>
      </c>
      <c r="B2340" s="1">
        <v>40514</v>
      </c>
      <c r="C2340">
        <v>12</v>
      </c>
      <c r="D2340">
        <v>2010</v>
      </c>
      <c r="E2340" s="2">
        <v>575709.96</v>
      </c>
      <c r="F2340">
        <v>1</v>
      </c>
      <c r="G2340" s="3">
        <v>49.96</v>
      </c>
      <c r="H2340" s="2">
        <v>2.8279999999999998</v>
      </c>
      <c r="I2340">
        <v>126.49625810000001</v>
      </c>
      <c r="J2340" s="3">
        <v>9.7650000000000006</v>
      </c>
    </row>
    <row r="2341" spans="1:10" x14ac:dyDescent="0.25">
      <c r="A2341">
        <v>42</v>
      </c>
      <c r="B2341" s="1">
        <v>40301</v>
      </c>
      <c r="C2341">
        <v>5</v>
      </c>
      <c r="D2341">
        <v>2010</v>
      </c>
      <c r="E2341" s="2">
        <v>554972.42000000004</v>
      </c>
      <c r="F2341">
        <v>0</v>
      </c>
      <c r="G2341" s="3">
        <v>55.92</v>
      </c>
      <c r="H2341" s="2">
        <v>2.8769999999999998</v>
      </c>
      <c r="I2341">
        <v>126.5782857</v>
      </c>
      <c r="J2341" s="3">
        <v>9.7650000000000006</v>
      </c>
    </row>
    <row r="2342" spans="1:10" x14ac:dyDescent="0.25">
      <c r="A2342">
        <v>42</v>
      </c>
      <c r="B2342" s="1">
        <v>40515</v>
      </c>
      <c r="C2342">
        <v>12</v>
      </c>
      <c r="D2342">
        <v>2010</v>
      </c>
      <c r="E2342" s="2">
        <v>588363.62</v>
      </c>
      <c r="F2342">
        <v>0</v>
      </c>
      <c r="G2342" s="3">
        <v>52.33</v>
      </c>
      <c r="H2342" s="2">
        <v>3.0339999999999998</v>
      </c>
      <c r="I2342">
        <v>126.60428570000001</v>
      </c>
      <c r="J2342" s="3">
        <v>9.7650000000000006</v>
      </c>
    </row>
    <row r="2343" spans="1:10" x14ac:dyDescent="0.25">
      <c r="A2343">
        <v>42</v>
      </c>
      <c r="B2343" s="1">
        <v>40213</v>
      </c>
      <c r="C2343">
        <v>2</v>
      </c>
      <c r="D2343">
        <v>2010</v>
      </c>
      <c r="E2343" s="2">
        <v>505907.41</v>
      </c>
      <c r="F2343">
        <v>0</v>
      </c>
      <c r="G2343" s="3">
        <v>63.66</v>
      </c>
      <c r="H2343" s="2">
        <v>3.0859999999999999</v>
      </c>
      <c r="I2343">
        <v>126.6034839</v>
      </c>
      <c r="J2343" s="3">
        <v>9.5239999999999991</v>
      </c>
    </row>
    <row r="2344" spans="1:10" x14ac:dyDescent="0.25">
      <c r="A2344">
        <v>42</v>
      </c>
      <c r="B2344" s="1">
        <v>40425</v>
      </c>
      <c r="C2344">
        <v>9</v>
      </c>
      <c r="D2344">
        <v>2010</v>
      </c>
      <c r="E2344" s="2">
        <v>582552.26</v>
      </c>
      <c r="F2344">
        <v>0</v>
      </c>
      <c r="G2344" s="3">
        <v>65.290000000000006</v>
      </c>
      <c r="H2344" s="2">
        <v>3.004</v>
      </c>
      <c r="I2344">
        <v>126.6019032</v>
      </c>
      <c r="J2344" s="3">
        <v>9.5239999999999991</v>
      </c>
    </row>
    <row r="2345" spans="1:10" x14ac:dyDescent="0.25">
      <c r="A2345">
        <v>42</v>
      </c>
      <c r="B2345" s="1">
        <v>40364</v>
      </c>
      <c r="C2345">
        <v>7</v>
      </c>
      <c r="D2345">
        <v>2010</v>
      </c>
      <c r="E2345" s="2">
        <v>582846.22</v>
      </c>
      <c r="F2345">
        <v>0</v>
      </c>
      <c r="G2345" s="3">
        <v>71.06</v>
      </c>
      <c r="H2345" s="2">
        <v>3.1269999999999998</v>
      </c>
      <c r="I2345">
        <v>126.2898</v>
      </c>
      <c r="J2345" s="3">
        <v>9.5239999999999991</v>
      </c>
    </row>
    <row r="2346" spans="1:10" x14ac:dyDescent="0.25">
      <c r="A2346">
        <v>42</v>
      </c>
      <c r="B2346" s="1">
        <v>40274</v>
      </c>
      <c r="C2346">
        <v>4</v>
      </c>
      <c r="D2346">
        <v>2010</v>
      </c>
      <c r="E2346" s="2">
        <v>556046.12</v>
      </c>
      <c r="F2346">
        <v>0</v>
      </c>
      <c r="G2346" s="3">
        <v>82.82</v>
      </c>
      <c r="H2346" s="2">
        <v>2.9409999999999998</v>
      </c>
      <c r="I2346">
        <v>126.1360645</v>
      </c>
      <c r="J2346" s="3">
        <v>9.5239999999999991</v>
      </c>
    </row>
    <row r="2347" spans="1:10" x14ac:dyDescent="0.25">
      <c r="A2347">
        <v>42</v>
      </c>
      <c r="B2347" s="1">
        <v>40488</v>
      </c>
      <c r="C2347">
        <v>11</v>
      </c>
      <c r="D2347">
        <v>2010</v>
      </c>
      <c r="E2347" s="2">
        <v>607218.6</v>
      </c>
      <c r="F2347">
        <v>0</v>
      </c>
      <c r="G2347" s="3">
        <v>89.67</v>
      </c>
      <c r="H2347" s="2">
        <v>3.0569999999999999</v>
      </c>
      <c r="I2347">
        <v>126.1119032</v>
      </c>
      <c r="J2347" s="3">
        <v>9.5239999999999991</v>
      </c>
    </row>
    <row r="2348" spans="1:10" x14ac:dyDescent="0.25">
      <c r="A2348">
        <v>42</v>
      </c>
      <c r="B2348" s="1">
        <v>40216</v>
      </c>
      <c r="C2348">
        <v>2</v>
      </c>
      <c r="D2348">
        <v>2010</v>
      </c>
      <c r="E2348" s="2">
        <v>507168.8</v>
      </c>
      <c r="F2348">
        <v>0</v>
      </c>
      <c r="G2348" s="3">
        <v>92.89</v>
      </c>
      <c r="H2348" s="2">
        <v>2.9780000000000002</v>
      </c>
      <c r="I2348">
        <v>126.1392</v>
      </c>
      <c r="J2348" s="3">
        <v>9.1989999999999998</v>
      </c>
    </row>
    <row r="2349" spans="1:10" x14ac:dyDescent="0.25">
      <c r="A2349">
        <v>42</v>
      </c>
      <c r="B2349" s="1">
        <v>40428</v>
      </c>
      <c r="C2349">
        <v>9</v>
      </c>
      <c r="D2349">
        <v>2010</v>
      </c>
      <c r="E2349" s="2">
        <v>570069.48</v>
      </c>
      <c r="F2349">
        <v>0</v>
      </c>
      <c r="G2349" s="3">
        <v>91.03</v>
      </c>
      <c r="H2349" s="2">
        <v>3.1</v>
      </c>
      <c r="I2349">
        <v>126.15179999999999</v>
      </c>
      <c r="J2349" s="3">
        <v>9.1989999999999998</v>
      </c>
    </row>
    <row r="2350" spans="1:10" x14ac:dyDescent="0.25">
      <c r="A2350">
        <v>42</v>
      </c>
      <c r="B2350" s="1">
        <v>40337</v>
      </c>
      <c r="C2350">
        <v>6</v>
      </c>
      <c r="D2350">
        <v>2010</v>
      </c>
      <c r="E2350" s="2">
        <v>579544.21</v>
      </c>
      <c r="F2350">
        <v>0</v>
      </c>
      <c r="G2350" s="3">
        <v>86.13</v>
      </c>
      <c r="H2350" s="2">
        <v>3.1230000000000002</v>
      </c>
      <c r="I2350">
        <v>126.0854516</v>
      </c>
      <c r="J2350" s="3">
        <v>9.1989999999999998</v>
      </c>
    </row>
    <row r="2351" spans="1:10" x14ac:dyDescent="0.25">
      <c r="A2351">
        <v>42</v>
      </c>
      <c r="B2351" s="1">
        <v>40246</v>
      </c>
      <c r="C2351">
        <v>3</v>
      </c>
      <c r="D2351">
        <v>2010</v>
      </c>
      <c r="E2351" s="2">
        <v>524658.06000000006</v>
      </c>
      <c r="F2351">
        <v>0</v>
      </c>
      <c r="G2351" s="3">
        <v>83.8</v>
      </c>
      <c r="H2351" s="2">
        <v>3.0870000000000002</v>
      </c>
      <c r="I2351">
        <v>126.1019355</v>
      </c>
      <c r="J2351" s="3">
        <v>9.1989999999999998</v>
      </c>
    </row>
    <row r="2352" spans="1:10" x14ac:dyDescent="0.25">
      <c r="A2352">
        <v>42</v>
      </c>
      <c r="B2352" s="1">
        <v>40460</v>
      </c>
      <c r="C2352">
        <v>10</v>
      </c>
      <c r="D2352">
        <v>2010</v>
      </c>
      <c r="E2352" s="2">
        <v>589091.04</v>
      </c>
      <c r="F2352">
        <v>1</v>
      </c>
      <c r="G2352" s="3">
        <v>84.04</v>
      </c>
      <c r="H2352" s="2">
        <v>2.9609999999999999</v>
      </c>
      <c r="I2352">
        <v>126.1145806</v>
      </c>
      <c r="J2352" s="3">
        <v>9.1989999999999998</v>
      </c>
    </row>
    <row r="2353" spans="1:10" x14ac:dyDescent="0.25">
      <c r="A2353">
        <v>42</v>
      </c>
      <c r="B2353" s="1">
        <v>40188</v>
      </c>
      <c r="C2353">
        <v>1</v>
      </c>
      <c r="D2353">
        <v>2010</v>
      </c>
      <c r="E2353" s="2">
        <v>481523.93</v>
      </c>
      <c r="F2353">
        <v>0</v>
      </c>
      <c r="G2353" s="3">
        <v>86.01</v>
      </c>
      <c r="H2353" s="2">
        <v>3.0009999999999999</v>
      </c>
      <c r="I2353">
        <v>126.2346</v>
      </c>
      <c r="J2353" s="3">
        <v>9.0030000000000001</v>
      </c>
    </row>
    <row r="2354" spans="1:10" x14ac:dyDescent="0.25">
      <c r="A2354">
        <v>42</v>
      </c>
      <c r="B2354" s="1">
        <v>40400</v>
      </c>
      <c r="C2354">
        <v>8</v>
      </c>
      <c r="D2354">
        <v>2010</v>
      </c>
      <c r="E2354" s="2">
        <v>599759.44999999995</v>
      </c>
      <c r="F2354">
        <v>0</v>
      </c>
      <c r="G2354" s="3">
        <v>77.040000000000006</v>
      </c>
      <c r="H2354" s="2">
        <v>2.9239999999999999</v>
      </c>
      <c r="I2354">
        <v>126.2791667</v>
      </c>
      <c r="J2354" s="3">
        <v>9.0030000000000001</v>
      </c>
    </row>
    <row r="2355" spans="1:10" x14ac:dyDescent="0.25">
      <c r="A2355">
        <v>42</v>
      </c>
      <c r="B2355" s="1">
        <v>40309</v>
      </c>
      <c r="C2355">
        <v>5</v>
      </c>
      <c r="D2355">
        <v>2010</v>
      </c>
      <c r="E2355" s="2">
        <v>565390.4</v>
      </c>
      <c r="F2355">
        <v>0</v>
      </c>
      <c r="G2355" s="3">
        <v>71.040000000000006</v>
      </c>
      <c r="H2355" s="2">
        <v>3.0089999999999999</v>
      </c>
      <c r="I2355">
        <v>126.4912903</v>
      </c>
      <c r="J2355" s="3">
        <v>9.0030000000000001</v>
      </c>
    </row>
    <row r="2356" spans="1:10" x14ac:dyDescent="0.25">
      <c r="A2356">
        <v>42</v>
      </c>
      <c r="B2356" s="1">
        <v>40523</v>
      </c>
      <c r="C2356">
        <v>12</v>
      </c>
      <c r="D2356">
        <v>2010</v>
      </c>
      <c r="E2356" s="2">
        <v>588592.61</v>
      </c>
      <c r="F2356">
        <v>0</v>
      </c>
      <c r="G2356" s="3">
        <v>61.24</v>
      </c>
      <c r="H2356" s="2">
        <v>3.13</v>
      </c>
      <c r="I2356">
        <v>126.54616129999999</v>
      </c>
      <c r="J2356" s="3">
        <v>9.0030000000000001</v>
      </c>
    </row>
    <row r="2357" spans="1:10" x14ac:dyDescent="0.25">
      <c r="A2357">
        <v>42</v>
      </c>
      <c r="B2357" s="1">
        <v>40249</v>
      </c>
      <c r="C2357">
        <v>3</v>
      </c>
      <c r="D2357">
        <v>2010</v>
      </c>
      <c r="E2357" s="2">
        <v>500250.8</v>
      </c>
      <c r="F2357">
        <v>0</v>
      </c>
      <c r="G2357" s="3">
        <v>51.17</v>
      </c>
      <c r="H2357" s="2">
        <v>3.0409999999999999</v>
      </c>
      <c r="I2357">
        <v>126.7313333</v>
      </c>
      <c r="J2357" s="3">
        <v>9.0030000000000001</v>
      </c>
    </row>
    <row r="2358" spans="1:10" x14ac:dyDescent="0.25">
      <c r="A2358">
        <v>42</v>
      </c>
      <c r="B2358" s="1">
        <v>40463</v>
      </c>
      <c r="C2358">
        <v>10</v>
      </c>
      <c r="D2358">
        <v>2010</v>
      </c>
      <c r="E2358" s="2">
        <v>585175.24</v>
      </c>
      <c r="F2358">
        <v>0</v>
      </c>
      <c r="G2358" s="3">
        <v>60.51</v>
      </c>
      <c r="H2358" s="2">
        <v>3.0910000000000002</v>
      </c>
      <c r="I2358">
        <v>126.79340000000001</v>
      </c>
      <c r="J2358" s="3">
        <v>9.0030000000000001</v>
      </c>
    </row>
    <row r="2359" spans="1:10" x14ac:dyDescent="0.25">
      <c r="A2359">
        <v>42</v>
      </c>
      <c r="B2359" s="1">
        <v>40725</v>
      </c>
      <c r="C2359">
        <v>7</v>
      </c>
      <c r="D2359">
        <v>2011</v>
      </c>
      <c r="E2359" s="2">
        <v>592947.75</v>
      </c>
      <c r="F2359">
        <v>0</v>
      </c>
      <c r="G2359" s="3">
        <v>43.43</v>
      </c>
      <c r="H2359" s="2">
        <v>3.2869999999999999</v>
      </c>
      <c r="I2359">
        <v>127.1917742</v>
      </c>
      <c r="J2359" s="3">
        <v>8.7439999999999998</v>
      </c>
    </row>
    <row r="2360" spans="1:10" x14ac:dyDescent="0.25">
      <c r="A2360">
        <v>42</v>
      </c>
      <c r="B2360" s="1">
        <v>40635</v>
      </c>
      <c r="C2360">
        <v>4</v>
      </c>
      <c r="D2360">
        <v>2011</v>
      </c>
      <c r="E2360" s="2">
        <v>586886.16</v>
      </c>
      <c r="F2360">
        <v>0</v>
      </c>
      <c r="G2360" s="3">
        <v>44.88</v>
      </c>
      <c r="H2360" s="2">
        <v>3.3479999999999999</v>
      </c>
      <c r="I2360">
        <v>127.7195806</v>
      </c>
      <c r="J2360" s="3">
        <v>8.7439999999999998</v>
      </c>
    </row>
    <row r="2361" spans="1:10" x14ac:dyDescent="0.25">
      <c r="A2361">
        <v>42</v>
      </c>
      <c r="B2361" s="1">
        <v>40849</v>
      </c>
      <c r="C2361">
        <v>11</v>
      </c>
      <c r="D2361">
        <v>2011</v>
      </c>
      <c r="E2361" s="2">
        <v>628063.88</v>
      </c>
      <c r="F2361">
        <v>1</v>
      </c>
      <c r="G2361" s="3">
        <v>51.51</v>
      </c>
      <c r="H2361" s="2">
        <v>3.3809999999999998</v>
      </c>
      <c r="I2361">
        <v>127.859129</v>
      </c>
      <c r="J2361" s="3">
        <v>8.7439999999999998</v>
      </c>
    </row>
    <row r="2362" spans="1:10" x14ac:dyDescent="0.25">
      <c r="A2362">
        <v>42</v>
      </c>
      <c r="B2362" s="1">
        <v>40636</v>
      </c>
      <c r="C2362">
        <v>4</v>
      </c>
      <c r="D2362">
        <v>2011</v>
      </c>
      <c r="E2362" s="2">
        <v>570879.04</v>
      </c>
      <c r="F2362">
        <v>0</v>
      </c>
      <c r="G2362" s="3">
        <v>56.96</v>
      </c>
      <c r="H2362" s="2">
        <v>3.6739999999999999</v>
      </c>
      <c r="I2362">
        <v>128.26474999999999</v>
      </c>
      <c r="J2362" s="3">
        <v>8.7439999999999998</v>
      </c>
    </row>
    <row r="2363" spans="1:10" x14ac:dyDescent="0.25">
      <c r="A2363">
        <v>42</v>
      </c>
      <c r="B2363" s="1">
        <v>40850</v>
      </c>
      <c r="C2363">
        <v>11</v>
      </c>
      <c r="D2363">
        <v>2011</v>
      </c>
      <c r="E2363" s="2">
        <v>607294.56000000006</v>
      </c>
      <c r="F2363">
        <v>0</v>
      </c>
      <c r="G2363" s="3">
        <v>64.22</v>
      </c>
      <c r="H2363" s="2">
        <v>3.63</v>
      </c>
      <c r="I2363">
        <v>128.39949999999999</v>
      </c>
      <c r="J2363" s="3">
        <v>8.7439999999999998</v>
      </c>
    </row>
    <row r="2364" spans="1:10" x14ac:dyDescent="0.25">
      <c r="A2364">
        <v>42</v>
      </c>
      <c r="B2364" s="1">
        <v>40547</v>
      </c>
      <c r="C2364">
        <v>1</v>
      </c>
      <c r="D2364">
        <v>2011</v>
      </c>
      <c r="E2364" s="2">
        <v>508432.17</v>
      </c>
      <c r="F2364">
        <v>0</v>
      </c>
      <c r="G2364" s="3">
        <v>67.64</v>
      </c>
      <c r="H2364" s="2">
        <v>3.7719999999999998</v>
      </c>
      <c r="I2364">
        <v>128.71993549999999</v>
      </c>
      <c r="J2364" s="3">
        <v>8.4939999999999998</v>
      </c>
    </row>
    <row r="2365" spans="1:10" x14ac:dyDescent="0.25">
      <c r="A2365">
        <v>42</v>
      </c>
      <c r="B2365" s="1">
        <v>40759</v>
      </c>
      <c r="C2365">
        <v>8</v>
      </c>
      <c r="D2365">
        <v>2011</v>
      </c>
      <c r="E2365" s="2">
        <v>620087.35</v>
      </c>
      <c r="F2365">
        <v>0</v>
      </c>
      <c r="G2365" s="3">
        <v>73.03</v>
      </c>
      <c r="H2365" s="2">
        <v>3.8180000000000001</v>
      </c>
      <c r="I2365">
        <v>128.82380649999999</v>
      </c>
      <c r="J2365" s="3">
        <v>8.4939999999999998</v>
      </c>
    </row>
    <row r="2366" spans="1:10" x14ac:dyDescent="0.25">
      <c r="A2366">
        <v>42</v>
      </c>
      <c r="B2366" s="1">
        <v>40699</v>
      </c>
      <c r="C2366">
        <v>6</v>
      </c>
      <c r="D2366">
        <v>2011</v>
      </c>
      <c r="E2366" s="2">
        <v>612337.35</v>
      </c>
      <c r="F2366">
        <v>0</v>
      </c>
      <c r="G2366" s="3">
        <v>73.56</v>
      </c>
      <c r="H2366" s="2">
        <v>4.1929999999999996</v>
      </c>
      <c r="I2366">
        <v>129.04443330000001</v>
      </c>
      <c r="J2366" s="3">
        <v>8.4939999999999998</v>
      </c>
    </row>
    <row r="2367" spans="1:10" x14ac:dyDescent="0.25">
      <c r="A2367">
        <v>42</v>
      </c>
      <c r="B2367" s="1">
        <v>40608</v>
      </c>
      <c r="C2367">
        <v>3</v>
      </c>
      <c r="D2367">
        <v>2011</v>
      </c>
      <c r="E2367" s="2">
        <v>545109.30000000005</v>
      </c>
      <c r="F2367">
        <v>0</v>
      </c>
      <c r="G2367" s="3">
        <v>81.87</v>
      </c>
      <c r="H2367" s="2">
        <v>3.8929999999999998</v>
      </c>
      <c r="I2367">
        <v>129.04903229999999</v>
      </c>
      <c r="J2367" s="3">
        <v>8.4939999999999998</v>
      </c>
    </row>
    <row r="2368" spans="1:10" x14ac:dyDescent="0.25">
      <c r="A2368">
        <v>42</v>
      </c>
      <c r="B2368" s="1">
        <v>40822</v>
      </c>
      <c r="C2368">
        <v>10</v>
      </c>
      <c r="D2368">
        <v>2011</v>
      </c>
      <c r="E2368" s="2">
        <v>616701.99</v>
      </c>
      <c r="F2368">
        <v>0</v>
      </c>
      <c r="G2368" s="3">
        <v>84.57</v>
      </c>
      <c r="H2368" s="2">
        <v>3.9809999999999999</v>
      </c>
      <c r="I2368">
        <v>129.03570970000001</v>
      </c>
      <c r="J2368" s="3">
        <v>8.4939999999999998</v>
      </c>
    </row>
    <row r="2369" spans="1:10" x14ac:dyDescent="0.25">
      <c r="A2369">
        <v>42</v>
      </c>
      <c r="B2369" s="1">
        <v>40550</v>
      </c>
      <c r="C2369">
        <v>1</v>
      </c>
      <c r="D2369">
        <v>2011</v>
      </c>
      <c r="E2369" s="2">
        <v>506343.83</v>
      </c>
      <c r="F2369">
        <v>0</v>
      </c>
      <c r="G2369" s="3">
        <v>95.36</v>
      </c>
      <c r="H2369" s="2">
        <v>3.8420000000000001</v>
      </c>
      <c r="I2369">
        <v>129.08940000000001</v>
      </c>
      <c r="J2369" s="3">
        <v>8.2569999999999997</v>
      </c>
    </row>
    <row r="2370" spans="1:10" x14ac:dyDescent="0.25">
      <c r="A2370">
        <v>42</v>
      </c>
      <c r="B2370" s="1">
        <v>40762</v>
      </c>
      <c r="C2370">
        <v>8</v>
      </c>
      <c r="D2370">
        <v>2011</v>
      </c>
      <c r="E2370" s="2">
        <v>593234.27</v>
      </c>
      <c r="F2370">
        <v>0</v>
      </c>
      <c r="G2370" s="3">
        <v>88.57</v>
      </c>
      <c r="H2370" s="2">
        <v>3.7930000000000001</v>
      </c>
      <c r="I2370">
        <v>129.11250000000001</v>
      </c>
      <c r="J2370" s="3">
        <v>8.2569999999999997</v>
      </c>
    </row>
    <row r="2371" spans="1:10" x14ac:dyDescent="0.25">
      <c r="A2371">
        <v>42</v>
      </c>
      <c r="B2371" s="1">
        <v>40671</v>
      </c>
      <c r="C2371">
        <v>5</v>
      </c>
      <c r="D2371">
        <v>2011</v>
      </c>
      <c r="E2371" s="2">
        <v>572603.32999999996</v>
      </c>
      <c r="F2371">
        <v>0</v>
      </c>
      <c r="G2371" s="3">
        <v>89.8</v>
      </c>
      <c r="H2371" s="2">
        <v>3.8029999999999999</v>
      </c>
      <c r="I2371">
        <v>129.18464520000001</v>
      </c>
      <c r="J2371" s="3">
        <v>8.2569999999999997</v>
      </c>
    </row>
    <row r="2372" spans="1:10" x14ac:dyDescent="0.25">
      <c r="A2372">
        <v>42</v>
      </c>
      <c r="B2372" s="1">
        <v>40885</v>
      </c>
      <c r="C2372">
        <v>12</v>
      </c>
      <c r="D2372">
        <v>2011</v>
      </c>
      <c r="E2372" s="2">
        <v>603147.26</v>
      </c>
      <c r="F2372">
        <v>0</v>
      </c>
      <c r="G2372" s="3">
        <v>85.61</v>
      </c>
      <c r="H2372" s="2">
        <v>3.794</v>
      </c>
      <c r="I2372">
        <v>129.2015806</v>
      </c>
      <c r="J2372" s="3">
        <v>8.2569999999999997</v>
      </c>
    </row>
    <row r="2373" spans="1:10" x14ac:dyDescent="0.25">
      <c r="A2373">
        <v>42</v>
      </c>
      <c r="B2373" s="1">
        <v>40583</v>
      </c>
      <c r="C2373">
        <v>2</v>
      </c>
      <c r="D2373">
        <v>2011</v>
      </c>
      <c r="E2373" s="2">
        <v>537124.76</v>
      </c>
      <c r="F2373">
        <v>0</v>
      </c>
      <c r="G2373" s="3">
        <v>91.61</v>
      </c>
      <c r="H2373" s="2">
        <v>3.798</v>
      </c>
      <c r="I2373">
        <v>129.32593550000001</v>
      </c>
      <c r="J2373" s="3">
        <v>8.2569999999999997</v>
      </c>
    </row>
    <row r="2374" spans="1:10" x14ac:dyDescent="0.25">
      <c r="A2374">
        <v>42</v>
      </c>
      <c r="B2374" s="1">
        <v>40795</v>
      </c>
      <c r="C2374">
        <v>9</v>
      </c>
      <c r="D2374">
        <v>2011</v>
      </c>
      <c r="E2374" s="2">
        <v>608390.93999999994</v>
      </c>
      <c r="F2374">
        <v>1</v>
      </c>
      <c r="G2374" s="3">
        <v>89.06</v>
      </c>
      <c r="H2374" s="2">
        <v>3.7709999999999999</v>
      </c>
      <c r="I2374">
        <v>129.36861289999999</v>
      </c>
      <c r="J2374" s="3">
        <v>8.2569999999999997</v>
      </c>
    </row>
    <row r="2375" spans="1:10" x14ac:dyDescent="0.25">
      <c r="A2375">
        <v>42</v>
      </c>
      <c r="B2375" s="1">
        <v>40734</v>
      </c>
      <c r="C2375">
        <v>7</v>
      </c>
      <c r="D2375">
        <v>2011</v>
      </c>
      <c r="E2375" s="2">
        <v>649111.23</v>
      </c>
      <c r="F2375">
        <v>0</v>
      </c>
      <c r="G2375" s="3">
        <v>75.010000000000005</v>
      </c>
      <c r="H2375" s="2">
        <v>3.827</v>
      </c>
      <c r="I2375">
        <v>129.69380000000001</v>
      </c>
      <c r="J2375" s="3">
        <v>7.8739999999999997</v>
      </c>
    </row>
    <row r="2376" spans="1:10" x14ac:dyDescent="0.25">
      <c r="A2376">
        <v>42</v>
      </c>
      <c r="B2376" s="1">
        <v>40644</v>
      </c>
      <c r="C2376">
        <v>4</v>
      </c>
      <c r="D2376">
        <v>2011</v>
      </c>
      <c r="E2376" s="2">
        <v>597667.21</v>
      </c>
      <c r="F2376">
        <v>0</v>
      </c>
      <c r="G2376" s="3">
        <v>68.569999999999993</v>
      </c>
      <c r="H2376" s="2">
        <v>3.8279999999999998</v>
      </c>
      <c r="I2376">
        <v>129.8051935</v>
      </c>
      <c r="J2376" s="3">
        <v>7.8739999999999997</v>
      </c>
    </row>
    <row r="2377" spans="1:10" x14ac:dyDescent="0.25">
      <c r="A2377">
        <v>42</v>
      </c>
      <c r="B2377" s="1">
        <v>40858</v>
      </c>
      <c r="C2377">
        <v>11</v>
      </c>
      <c r="D2377">
        <v>2011</v>
      </c>
      <c r="E2377" s="2">
        <v>643125.29</v>
      </c>
      <c r="F2377">
        <v>0</v>
      </c>
      <c r="G2377" s="3">
        <v>55.28</v>
      </c>
      <c r="H2377" s="2">
        <v>3.677</v>
      </c>
      <c r="I2377">
        <v>129.81670969999999</v>
      </c>
      <c r="J2377" s="3">
        <v>7.8739999999999997</v>
      </c>
    </row>
    <row r="2378" spans="1:10" x14ac:dyDescent="0.25">
      <c r="A2378">
        <v>42</v>
      </c>
      <c r="B2378" s="1">
        <v>40586</v>
      </c>
      <c r="C2378">
        <v>2</v>
      </c>
      <c r="D2378">
        <v>2011</v>
      </c>
      <c r="E2378" s="2">
        <v>511883.36</v>
      </c>
      <c r="F2378">
        <v>0</v>
      </c>
      <c r="G2378" s="3">
        <v>57.29</v>
      </c>
      <c r="H2378" s="2">
        <v>3.7010000000000001</v>
      </c>
      <c r="I2378">
        <v>129.84596669999999</v>
      </c>
      <c r="J2378" s="3">
        <v>7.8739999999999997</v>
      </c>
    </row>
    <row r="2379" spans="1:10" x14ac:dyDescent="0.25">
      <c r="A2379">
        <v>42</v>
      </c>
      <c r="B2379" s="1">
        <v>40798</v>
      </c>
      <c r="C2379">
        <v>9</v>
      </c>
      <c r="D2379">
        <v>2011</v>
      </c>
      <c r="E2379" s="2">
        <v>619133.48</v>
      </c>
      <c r="F2379">
        <v>0</v>
      </c>
      <c r="G2379" s="3">
        <v>42.58</v>
      </c>
      <c r="H2379" s="2">
        <v>3.6440000000000001</v>
      </c>
      <c r="I2379">
        <v>129.85553329999999</v>
      </c>
      <c r="J2379" s="3">
        <v>7.8739999999999997</v>
      </c>
    </row>
    <row r="2380" spans="1:10" x14ac:dyDescent="0.25">
      <c r="A2380">
        <v>42</v>
      </c>
      <c r="B2380" s="1">
        <v>41061</v>
      </c>
      <c r="C2380">
        <v>6</v>
      </c>
      <c r="D2380">
        <v>2012</v>
      </c>
      <c r="E2380" s="2">
        <v>636372.37</v>
      </c>
      <c r="F2380">
        <v>0</v>
      </c>
      <c r="G2380" s="3">
        <v>59.85</v>
      </c>
      <c r="H2380" s="2">
        <v>3.4430000000000001</v>
      </c>
      <c r="I2380">
        <v>130.15751610000001</v>
      </c>
      <c r="J2380" s="3">
        <v>7.5449999999999999</v>
      </c>
    </row>
    <row r="2381" spans="1:10" x14ac:dyDescent="0.25">
      <c r="A2381">
        <v>42</v>
      </c>
      <c r="B2381" s="1">
        <v>40970</v>
      </c>
      <c r="C2381">
        <v>3</v>
      </c>
      <c r="D2381">
        <v>2012</v>
      </c>
      <c r="E2381" s="2">
        <v>588448.21</v>
      </c>
      <c r="F2381">
        <v>0</v>
      </c>
      <c r="G2381" s="3">
        <v>56.85</v>
      </c>
      <c r="H2381" s="2">
        <v>3.5430000000000001</v>
      </c>
      <c r="I2381">
        <v>130.34967739999999</v>
      </c>
      <c r="J2381" s="3">
        <v>7.5449999999999999</v>
      </c>
    </row>
    <row r="2382" spans="1:10" x14ac:dyDescent="0.25">
      <c r="A2382">
        <v>42</v>
      </c>
      <c r="B2382" s="1">
        <v>41184</v>
      </c>
      <c r="C2382">
        <v>10</v>
      </c>
      <c r="D2382">
        <v>2012</v>
      </c>
      <c r="E2382" s="2">
        <v>674919.45</v>
      </c>
      <c r="F2382">
        <v>1</v>
      </c>
      <c r="G2382" s="3">
        <v>55.73</v>
      </c>
      <c r="H2382" s="2">
        <v>3.722</v>
      </c>
      <c r="I2382">
        <v>130.3849032</v>
      </c>
      <c r="J2382" s="3">
        <v>7.5449999999999999</v>
      </c>
    </row>
    <row r="2383" spans="1:10" x14ac:dyDescent="0.25">
      <c r="A2383">
        <v>42</v>
      </c>
      <c r="B2383" s="1">
        <v>40942</v>
      </c>
      <c r="C2383">
        <v>2</v>
      </c>
      <c r="D2383">
        <v>2012</v>
      </c>
      <c r="E2383" s="2">
        <v>585895.34</v>
      </c>
      <c r="F2383">
        <v>0</v>
      </c>
      <c r="G2383" s="3">
        <v>57.62</v>
      </c>
      <c r="H2383" s="2">
        <v>3.8820000000000001</v>
      </c>
      <c r="I2383">
        <v>130.64579309999999</v>
      </c>
      <c r="J2383" s="3">
        <v>7.5449999999999999</v>
      </c>
    </row>
    <row r="2384" spans="1:10" x14ac:dyDescent="0.25">
      <c r="A2384">
        <v>42</v>
      </c>
      <c r="B2384" s="1">
        <v>41155</v>
      </c>
      <c r="C2384">
        <v>9</v>
      </c>
      <c r="D2384">
        <v>2012</v>
      </c>
      <c r="E2384" s="2">
        <v>659816.15</v>
      </c>
      <c r="F2384">
        <v>0</v>
      </c>
      <c r="G2384" s="3">
        <v>57.65</v>
      </c>
      <c r="H2384" s="2">
        <v>3.9630000000000001</v>
      </c>
      <c r="I2384">
        <v>130.74137930000001</v>
      </c>
      <c r="J2384" s="3">
        <v>7.5449999999999999</v>
      </c>
    </row>
    <row r="2385" spans="1:10" x14ac:dyDescent="0.25">
      <c r="A2385">
        <v>42</v>
      </c>
      <c r="B2385" s="1">
        <v>41064</v>
      </c>
      <c r="C2385">
        <v>6</v>
      </c>
      <c r="D2385">
        <v>2012</v>
      </c>
      <c r="E2385" s="2">
        <v>652312.11</v>
      </c>
      <c r="F2385">
        <v>0</v>
      </c>
      <c r="G2385" s="3">
        <v>65.989999999999995</v>
      </c>
      <c r="H2385" s="2">
        <v>4.282</v>
      </c>
      <c r="I2385">
        <v>131.03754839999999</v>
      </c>
      <c r="J2385" s="3">
        <v>7.3819999999999997</v>
      </c>
    </row>
    <row r="2386" spans="1:10" x14ac:dyDescent="0.25">
      <c r="A2386">
        <v>42</v>
      </c>
      <c r="B2386" s="1">
        <v>41004</v>
      </c>
      <c r="C2386">
        <v>4</v>
      </c>
      <c r="D2386">
        <v>2012</v>
      </c>
      <c r="E2386" s="2">
        <v>609274.89</v>
      </c>
      <c r="F2386">
        <v>0</v>
      </c>
      <c r="G2386" s="3">
        <v>77.02</v>
      </c>
      <c r="H2386" s="2">
        <v>4.0579999999999998</v>
      </c>
      <c r="I2386">
        <v>131.136</v>
      </c>
      <c r="J2386" s="3">
        <v>7.3819999999999997</v>
      </c>
    </row>
    <row r="2387" spans="1:10" x14ac:dyDescent="0.25">
      <c r="A2387">
        <v>42</v>
      </c>
      <c r="B2387" s="1">
        <v>41218</v>
      </c>
      <c r="C2387">
        <v>11</v>
      </c>
      <c r="D2387">
        <v>2012</v>
      </c>
      <c r="E2387" s="2">
        <v>643603.68999999994</v>
      </c>
      <c r="F2387">
        <v>0</v>
      </c>
      <c r="G2387" s="3">
        <v>76.03</v>
      </c>
      <c r="H2387" s="2">
        <v>4.1859999999999999</v>
      </c>
      <c r="I2387">
        <v>131.1453333</v>
      </c>
      <c r="J2387" s="3">
        <v>7.3819999999999997</v>
      </c>
    </row>
    <row r="2388" spans="1:10" x14ac:dyDescent="0.25">
      <c r="A2388">
        <v>42</v>
      </c>
      <c r="B2388" s="1">
        <v>40914</v>
      </c>
      <c r="C2388">
        <v>1</v>
      </c>
      <c r="D2388">
        <v>2012</v>
      </c>
      <c r="E2388" s="2">
        <v>521953.78</v>
      </c>
      <c r="F2388">
        <v>0</v>
      </c>
      <c r="G2388" s="3">
        <v>80.06</v>
      </c>
      <c r="H2388" s="2">
        <v>4.2770000000000001</v>
      </c>
      <c r="I2388">
        <v>130.95922580000001</v>
      </c>
      <c r="J2388" s="3">
        <v>7.3819999999999997</v>
      </c>
    </row>
    <row r="2389" spans="1:10" x14ac:dyDescent="0.25">
      <c r="A2389">
        <v>42</v>
      </c>
      <c r="B2389" s="1">
        <v>41127</v>
      </c>
      <c r="C2389">
        <v>8</v>
      </c>
      <c r="D2389">
        <v>2012</v>
      </c>
      <c r="E2389" s="2">
        <v>642671.48</v>
      </c>
      <c r="F2389">
        <v>0</v>
      </c>
      <c r="G2389" s="3">
        <v>86.87</v>
      </c>
      <c r="H2389" s="2">
        <v>4.1029999999999998</v>
      </c>
      <c r="I2389">
        <v>130.88967740000001</v>
      </c>
      <c r="J2389" s="3">
        <v>7.3819999999999997</v>
      </c>
    </row>
    <row r="2390" spans="1:10" x14ac:dyDescent="0.25">
      <c r="A2390">
        <v>42</v>
      </c>
      <c r="B2390" s="1">
        <v>41067</v>
      </c>
      <c r="C2390">
        <v>6</v>
      </c>
      <c r="D2390">
        <v>2012</v>
      </c>
      <c r="E2390" s="2">
        <v>618702.09</v>
      </c>
      <c r="F2390">
        <v>0</v>
      </c>
      <c r="G2390" s="3">
        <v>86.87</v>
      </c>
      <c r="H2390" s="2">
        <v>3.6659999999999999</v>
      </c>
      <c r="I2390">
        <v>130.7196333</v>
      </c>
      <c r="J2390" s="3">
        <v>7.17</v>
      </c>
    </row>
    <row r="2391" spans="1:10" x14ac:dyDescent="0.25">
      <c r="A2391">
        <v>42</v>
      </c>
      <c r="B2391" s="1">
        <v>40976</v>
      </c>
      <c r="C2391">
        <v>3</v>
      </c>
      <c r="D2391">
        <v>2012</v>
      </c>
      <c r="E2391" s="2">
        <v>573084.71</v>
      </c>
      <c r="F2391">
        <v>0</v>
      </c>
      <c r="G2391" s="3">
        <v>84.76</v>
      </c>
      <c r="H2391" s="2">
        <v>3.5950000000000002</v>
      </c>
      <c r="I2391">
        <v>130.73787100000001</v>
      </c>
      <c r="J2391" s="3">
        <v>7.17</v>
      </c>
    </row>
    <row r="2392" spans="1:10" x14ac:dyDescent="0.25">
      <c r="A2392">
        <v>42</v>
      </c>
      <c r="B2392" s="1">
        <v>41190</v>
      </c>
      <c r="C2392">
        <v>10</v>
      </c>
      <c r="D2392">
        <v>2012</v>
      </c>
      <c r="E2392" s="2">
        <v>576620.31000000006</v>
      </c>
      <c r="F2392">
        <v>0</v>
      </c>
      <c r="G2392" s="3">
        <v>90.78</v>
      </c>
      <c r="H2392" s="2">
        <v>3.8109999999999999</v>
      </c>
      <c r="I2392">
        <v>130.7561613</v>
      </c>
      <c r="J2392" s="3">
        <v>7.17</v>
      </c>
    </row>
    <row r="2393" spans="1:10" x14ac:dyDescent="0.25">
      <c r="A2393">
        <v>42</v>
      </c>
      <c r="B2393" s="1">
        <v>41099</v>
      </c>
      <c r="C2393">
        <v>7</v>
      </c>
      <c r="D2393">
        <v>2012</v>
      </c>
      <c r="E2393" s="2">
        <v>617405.35</v>
      </c>
      <c r="F2393">
        <v>1</v>
      </c>
      <c r="G2393" s="3">
        <v>83.07</v>
      </c>
      <c r="H2393" s="2">
        <v>4.1239999999999997</v>
      </c>
      <c r="I2393">
        <v>130.9325484</v>
      </c>
      <c r="J2393" s="3">
        <v>7.17</v>
      </c>
    </row>
    <row r="2394" spans="1:10" x14ac:dyDescent="0.25">
      <c r="A2394">
        <v>42</v>
      </c>
      <c r="B2394" s="1">
        <v>41039</v>
      </c>
      <c r="C2394">
        <v>5</v>
      </c>
      <c r="D2394">
        <v>2012</v>
      </c>
      <c r="E2394" s="2">
        <v>593162.53</v>
      </c>
      <c r="F2394">
        <v>0</v>
      </c>
      <c r="G2394" s="3">
        <v>80.88</v>
      </c>
      <c r="H2394" s="2">
        <v>4.1319999999999997</v>
      </c>
      <c r="I2394">
        <v>131.0756667</v>
      </c>
      <c r="J2394" s="3">
        <v>6.9429999999999996</v>
      </c>
    </row>
    <row r="2395" spans="1:10" x14ac:dyDescent="0.25">
      <c r="A2395">
        <v>42</v>
      </c>
      <c r="B2395" s="1">
        <v>41253</v>
      </c>
      <c r="C2395">
        <v>12</v>
      </c>
      <c r="D2395">
        <v>2012</v>
      </c>
      <c r="E2395" s="2">
        <v>612379.9</v>
      </c>
      <c r="F2395">
        <v>0</v>
      </c>
      <c r="G2395" s="3">
        <v>76.03</v>
      </c>
      <c r="H2395" s="2">
        <v>4.468</v>
      </c>
      <c r="I2395">
        <v>131.1083333</v>
      </c>
      <c r="J2395" s="3">
        <v>6.9429999999999996</v>
      </c>
    </row>
    <row r="2396" spans="1:10" x14ac:dyDescent="0.25">
      <c r="A2396">
        <v>43</v>
      </c>
      <c r="B2396" s="1">
        <v>40300</v>
      </c>
      <c r="C2396">
        <v>5</v>
      </c>
      <c r="D2396">
        <v>2010</v>
      </c>
      <c r="E2396" s="2">
        <v>647029.28</v>
      </c>
      <c r="F2396">
        <v>0</v>
      </c>
      <c r="G2396" s="3">
        <v>47.31</v>
      </c>
      <c r="H2396" s="2">
        <v>2.5720000000000001</v>
      </c>
      <c r="I2396">
        <v>203.0642742</v>
      </c>
      <c r="J2396" s="3">
        <v>9.5210000000000008</v>
      </c>
    </row>
    <row r="2397" spans="1:10" x14ac:dyDescent="0.25">
      <c r="A2397">
        <v>43</v>
      </c>
      <c r="B2397" s="1">
        <v>40514</v>
      </c>
      <c r="C2397">
        <v>12</v>
      </c>
      <c r="D2397">
        <v>2010</v>
      </c>
      <c r="E2397" s="2">
        <v>682918.99</v>
      </c>
      <c r="F2397">
        <v>1</v>
      </c>
      <c r="G2397" s="3">
        <v>47.99</v>
      </c>
      <c r="H2397" s="2">
        <v>2.548</v>
      </c>
      <c r="I2397">
        <v>203.20109679999999</v>
      </c>
      <c r="J2397" s="3">
        <v>9.5210000000000008</v>
      </c>
    </row>
    <row r="2398" spans="1:10" x14ac:dyDescent="0.25">
      <c r="A2398">
        <v>43</v>
      </c>
      <c r="B2398" s="1">
        <v>40301</v>
      </c>
      <c r="C2398">
        <v>5</v>
      </c>
      <c r="D2398">
        <v>2010</v>
      </c>
      <c r="E2398" s="2">
        <v>658600.05000000005</v>
      </c>
      <c r="F2398">
        <v>0</v>
      </c>
      <c r="G2398" s="3">
        <v>52.89</v>
      </c>
      <c r="H2398" s="2">
        <v>2.625</v>
      </c>
      <c r="I2398">
        <v>203.31176529999999</v>
      </c>
      <c r="J2398" s="3">
        <v>9.5210000000000008</v>
      </c>
    </row>
    <row r="2399" spans="1:10" x14ac:dyDescent="0.25">
      <c r="A2399">
        <v>43</v>
      </c>
      <c r="B2399" s="1">
        <v>40515</v>
      </c>
      <c r="C2399">
        <v>12</v>
      </c>
      <c r="D2399">
        <v>2010</v>
      </c>
      <c r="E2399" s="2">
        <v>645386.93999999994</v>
      </c>
      <c r="F2399">
        <v>0</v>
      </c>
      <c r="G2399" s="3">
        <v>53.67</v>
      </c>
      <c r="H2399" s="2">
        <v>2.6669999999999998</v>
      </c>
      <c r="I2399">
        <v>203.34365819999999</v>
      </c>
      <c r="J2399" s="3">
        <v>9.5210000000000008</v>
      </c>
    </row>
    <row r="2400" spans="1:10" x14ac:dyDescent="0.25">
      <c r="A2400">
        <v>43</v>
      </c>
      <c r="B2400" s="1">
        <v>40213</v>
      </c>
      <c r="C2400">
        <v>2</v>
      </c>
      <c r="D2400">
        <v>2010</v>
      </c>
      <c r="E2400" s="2">
        <v>650102.80000000005</v>
      </c>
      <c r="F2400">
        <v>0</v>
      </c>
      <c r="G2400" s="3">
        <v>62.19</v>
      </c>
      <c r="H2400" s="2">
        <v>2.7189999999999999</v>
      </c>
      <c r="I2400">
        <v>202.83803</v>
      </c>
      <c r="J2400" s="3">
        <v>9.593</v>
      </c>
    </row>
    <row r="2401" spans="1:10" x14ac:dyDescent="0.25">
      <c r="A2401">
        <v>43</v>
      </c>
      <c r="B2401" s="1">
        <v>40425</v>
      </c>
      <c r="C2401">
        <v>9</v>
      </c>
      <c r="D2401">
        <v>2010</v>
      </c>
      <c r="E2401" s="2">
        <v>693058.34</v>
      </c>
      <c r="F2401">
        <v>0</v>
      </c>
      <c r="G2401" s="3">
        <v>64.37</v>
      </c>
      <c r="H2401" s="2">
        <v>2.77</v>
      </c>
      <c r="I2401">
        <v>202.65946539999999</v>
      </c>
      <c r="J2401" s="3">
        <v>9.593</v>
      </c>
    </row>
    <row r="2402" spans="1:10" x14ac:dyDescent="0.25">
      <c r="A2402">
        <v>43</v>
      </c>
      <c r="B2402" s="1">
        <v>40364</v>
      </c>
      <c r="C2402">
        <v>7</v>
      </c>
      <c r="D2402">
        <v>2010</v>
      </c>
      <c r="E2402" s="2">
        <v>691498.6</v>
      </c>
      <c r="F2402">
        <v>0</v>
      </c>
      <c r="G2402" s="3">
        <v>67.16</v>
      </c>
      <c r="H2402" s="2">
        <v>2.835</v>
      </c>
      <c r="I2402">
        <v>202.37925709999999</v>
      </c>
      <c r="J2402" s="3">
        <v>9.593</v>
      </c>
    </row>
    <row r="2403" spans="1:10" x14ac:dyDescent="0.25">
      <c r="A2403">
        <v>43</v>
      </c>
      <c r="B2403" s="1">
        <v>40274</v>
      </c>
      <c r="C2403">
        <v>4</v>
      </c>
      <c r="D2403">
        <v>2010</v>
      </c>
      <c r="E2403" s="2">
        <v>682012.53</v>
      </c>
      <c r="F2403">
        <v>0</v>
      </c>
      <c r="G2403" s="3">
        <v>82.76</v>
      </c>
      <c r="H2403" s="2">
        <v>2.7050000000000001</v>
      </c>
      <c r="I2403">
        <v>203.1222028</v>
      </c>
      <c r="J2403" s="3">
        <v>9.593</v>
      </c>
    </row>
    <row r="2404" spans="1:10" x14ac:dyDescent="0.25">
      <c r="A2404">
        <v>43</v>
      </c>
      <c r="B2404" s="1">
        <v>40488</v>
      </c>
      <c r="C2404">
        <v>11</v>
      </c>
      <c r="D2404">
        <v>2010</v>
      </c>
      <c r="E2404" s="2">
        <v>684023.95</v>
      </c>
      <c r="F2404">
        <v>0</v>
      </c>
      <c r="G2404" s="3">
        <v>88.12</v>
      </c>
      <c r="H2404" s="2">
        <v>2.6680000000000001</v>
      </c>
      <c r="I2404">
        <v>203.37276729999999</v>
      </c>
      <c r="J2404" s="3">
        <v>9.593</v>
      </c>
    </row>
    <row r="2405" spans="1:10" x14ac:dyDescent="0.25">
      <c r="A2405">
        <v>43</v>
      </c>
      <c r="B2405" s="1">
        <v>40216</v>
      </c>
      <c r="C2405">
        <v>2</v>
      </c>
      <c r="D2405">
        <v>2010</v>
      </c>
      <c r="E2405" s="2">
        <v>667353.79</v>
      </c>
      <c r="F2405">
        <v>0</v>
      </c>
      <c r="G2405" s="3">
        <v>80.17</v>
      </c>
      <c r="H2405" s="2">
        <v>2.669</v>
      </c>
      <c r="I2405">
        <v>203.16415240000001</v>
      </c>
      <c r="J2405" s="3">
        <v>9.8160000000000007</v>
      </c>
    </row>
    <row r="2406" spans="1:10" x14ac:dyDescent="0.25">
      <c r="A2406">
        <v>43</v>
      </c>
      <c r="B2406" s="1">
        <v>40428</v>
      </c>
      <c r="C2406">
        <v>9</v>
      </c>
      <c r="D2406">
        <v>2010</v>
      </c>
      <c r="E2406" s="2">
        <v>718748.33</v>
      </c>
      <c r="F2406">
        <v>0</v>
      </c>
      <c r="G2406" s="3">
        <v>81.52</v>
      </c>
      <c r="H2406" s="2">
        <v>2.6419999999999999</v>
      </c>
      <c r="I2406">
        <v>203.06091900000001</v>
      </c>
      <c r="J2406" s="3">
        <v>9.8160000000000007</v>
      </c>
    </row>
    <row r="2407" spans="1:10" x14ac:dyDescent="0.25">
      <c r="A2407">
        <v>43</v>
      </c>
      <c r="B2407" s="1">
        <v>40337</v>
      </c>
      <c r="C2407">
        <v>6</v>
      </c>
      <c r="D2407">
        <v>2010</v>
      </c>
      <c r="E2407" s="2">
        <v>698536.06</v>
      </c>
      <c r="F2407">
        <v>0</v>
      </c>
      <c r="G2407" s="3">
        <v>84.66</v>
      </c>
      <c r="H2407" s="2">
        <v>2.6269999999999998</v>
      </c>
      <c r="I2407">
        <v>203.41733869999999</v>
      </c>
      <c r="J2407" s="3">
        <v>9.8160000000000007</v>
      </c>
    </row>
    <row r="2408" spans="1:10" x14ac:dyDescent="0.25">
      <c r="A2408">
        <v>43</v>
      </c>
      <c r="B2408" s="1">
        <v>40246</v>
      </c>
      <c r="C2408">
        <v>3</v>
      </c>
      <c r="D2408">
        <v>2010</v>
      </c>
      <c r="E2408" s="2">
        <v>689326.91</v>
      </c>
      <c r="F2408">
        <v>0</v>
      </c>
      <c r="G2408" s="3">
        <v>80.430000000000007</v>
      </c>
      <c r="H2408" s="2">
        <v>2.577</v>
      </c>
      <c r="I2408">
        <v>203.45072579999999</v>
      </c>
      <c r="J2408" s="3">
        <v>9.8160000000000007</v>
      </c>
    </row>
    <row r="2409" spans="1:10" x14ac:dyDescent="0.25">
      <c r="A2409">
        <v>43</v>
      </c>
      <c r="B2409" s="1">
        <v>40460</v>
      </c>
      <c r="C2409">
        <v>10</v>
      </c>
      <c r="D2409">
        <v>2010</v>
      </c>
      <c r="E2409" s="2">
        <v>722120.04</v>
      </c>
      <c r="F2409">
        <v>1</v>
      </c>
      <c r="G2409" s="3">
        <v>81.319999999999993</v>
      </c>
      <c r="H2409" s="2">
        <v>2.5649999999999999</v>
      </c>
      <c r="I2409">
        <v>203.42146769999999</v>
      </c>
      <c r="J2409" s="3">
        <v>9.8160000000000007</v>
      </c>
    </row>
    <row r="2410" spans="1:10" x14ac:dyDescent="0.25">
      <c r="A2410">
        <v>43</v>
      </c>
      <c r="B2410" s="1">
        <v>40188</v>
      </c>
      <c r="C2410">
        <v>1</v>
      </c>
      <c r="D2410">
        <v>2010</v>
      </c>
      <c r="E2410" s="2">
        <v>657108.77</v>
      </c>
      <c r="F2410">
        <v>0</v>
      </c>
      <c r="G2410" s="3">
        <v>77.930000000000007</v>
      </c>
      <c r="H2410" s="2">
        <v>2.6030000000000002</v>
      </c>
      <c r="I2410">
        <v>203.59342860000001</v>
      </c>
      <c r="J2410" s="3">
        <v>10.210000000000001</v>
      </c>
    </row>
    <row r="2411" spans="1:10" x14ac:dyDescent="0.25">
      <c r="A2411">
        <v>43</v>
      </c>
      <c r="B2411" s="1">
        <v>40400</v>
      </c>
      <c r="C2411">
        <v>8</v>
      </c>
      <c r="D2411">
        <v>2010</v>
      </c>
      <c r="E2411" s="2">
        <v>713332.54</v>
      </c>
      <c r="F2411">
        <v>0</v>
      </c>
      <c r="G2411" s="3">
        <v>72.81</v>
      </c>
      <c r="H2411" s="2">
        <v>2.633</v>
      </c>
      <c r="I2411">
        <v>203.66517859999999</v>
      </c>
      <c r="J2411" s="3">
        <v>10.210000000000001</v>
      </c>
    </row>
    <row r="2412" spans="1:10" x14ac:dyDescent="0.25">
      <c r="A2412">
        <v>43</v>
      </c>
      <c r="B2412" s="1">
        <v>40309</v>
      </c>
      <c r="C2412">
        <v>5</v>
      </c>
      <c r="D2412">
        <v>2010</v>
      </c>
      <c r="E2412" s="2">
        <v>605960.19999999995</v>
      </c>
      <c r="F2412">
        <v>0</v>
      </c>
      <c r="G2412" s="3">
        <v>62.52</v>
      </c>
      <c r="H2412" s="2">
        <v>2.6890000000000001</v>
      </c>
      <c r="I2412">
        <v>203.87138709999999</v>
      </c>
      <c r="J2412" s="3">
        <v>10.210000000000001</v>
      </c>
    </row>
    <row r="2413" spans="1:10" x14ac:dyDescent="0.25">
      <c r="A2413">
        <v>43</v>
      </c>
      <c r="B2413" s="1">
        <v>40523</v>
      </c>
      <c r="C2413">
        <v>12</v>
      </c>
      <c r="D2413">
        <v>2010</v>
      </c>
      <c r="E2413" s="2">
        <v>595421.23</v>
      </c>
      <c r="F2413">
        <v>0</v>
      </c>
      <c r="G2413" s="3">
        <v>59.98</v>
      </c>
      <c r="H2413" s="2">
        <v>2.7280000000000002</v>
      </c>
      <c r="I2413">
        <v>203.91854839999999</v>
      </c>
      <c r="J2413" s="3">
        <v>10.210000000000001</v>
      </c>
    </row>
    <row r="2414" spans="1:10" x14ac:dyDescent="0.25">
      <c r="A2414">
        <v>43</v>
      </c>
      <c r="B2414" s="1">
        <v>40249</v>
      </c>
      <c r="C2414">
        <v>3</v>
      </c>
      <c r="D2414">
        <v>2010</v>
      </c>
      <c r="E2414" s="2">
        <v>557543.62</v>
      </c>
      <c r="F2414">
        <v>0</v>
      </c>
      <c r="G2414" s="3">
        <v>44.56</v>
      </c>
      <c r="H2414" s="2">
        <v>2.7080000000000002</v>
      </c>
      <c r="I2414">
        <v>203.57142859999999</v>
      </c>
      <c r="J2414" s="3">
        <v>10.210000000000001</v>
      </c>
    </row>
    <row r="2415" spans="1:10" x14ac:dyDescent="0.25">
      <c r="A2415">
        <v>43</v>
      </c>
      <c r="B2415" s="1">
        <v>40463</v>
      </c>
      <c r="C2415">
        <v>10</v>
      </c>
      <c r="D2415">
        <v>2010</v>
      </c>
      <c r="E2415" s="2">
        <v>598679.02</v>
      </c>
      <c r="F2415">
        <v>0</v>
      </c>
      <c r="G2415" s="3">
        <v>52.52</v>
      </c>
      <c r="H2415" s="2">
        <v>2.843</v>
      </c>
      <c r="I2415">
        <v>203.44757860000001</v>
      </c>
      <c r="J2415" s="3">
        <v>10.210000000000001</v>
      </c>
    </row>
    <row r="2416" spans="1:10" x14ac:dyDescent="0.25">
      <c r="A2416">
        <v>43</v>
      </c>
      <c r="B2416" s="1">
        <v>40725</v>
      </c>
      <c r="C2416">
        <v>7</v>
      </c>
      <c r="D2416">
        <v>2011</v>
      </c>
      <c r="E2416" s="2">
        <v>611796.61</v>
      </c>
      <c r="F2416">
        <v>0</v>
      </c>
      <c r="G2416" s="3">
        <v>40.47</v>
      </c>
      <c r="H2416" s="2">
        <v>2.976</v>
      </c>
      <c r="I2416">
        <v>203.42670050000001</v>
      </c>
      <c r="J2416" s="3">
        <v>10.398</v>
      </c>
    </row>
    <row r="2417" spans="1:10" x14ac:dyDescent="0.25">
      <c r="A2417">
        <v>43</v>
      </c>
      <c r="B2417" s="1">
        <v>40635</v>
      </c>
      <c r="C2417">
        <v>4</v>
      </c>
      <c r="D2417">
        <v>2011</v>
      </c>
      <c r="E2417" s="2">
        <v>651521.77</v>
      </c>
      <c r="F2417">
        <v>0</v>
      </c>
      <c r="G2417" s="3">
        <v>33.21</v>
      </c>
      <c r="H2417" s="2">
        <v>2.9889999999999999</v>
      </c>
      <c r="I2417">
        <v>204.52641940000001</v>
      </c>
      <c r="J2417" s="3">
        <v>10.398</v>
      </c>
    </row>
    <row r="2418" spans="1:10" x14ac:dyDescent="0.25">
      <c r="A2418">
        <v>43</v>
      </c>
      <c r="B2418" s="1">
        <v>40849</v>
      </c>
      <c r="C2418">
        <v>11</v>
      </c>
      <c r="D2418">
        <v>2011</v>
      </c>
      <c r="E2418" s="2">
        <v>635650.98</v>
      </c>
      <c r="F2418">
        <v>1</v>
      </c>
      <c r="G2418" s="3">
        <v>40.65</v>
      </c>
      <c r="H2418" s="2">
        <v>3.0219999999999998</v>
      </c>
      <c r="I2418">
        <v>204.87387100000001</v>
      </c>
      <c r="J2418" s="3">
        <v>10.398</v>
      </c>
    </row>
    <row r="2419" spans="1:10" x14ac:dyDescent="0.25">
      <c r="A2419">
        <v>43</v>
      </c>
      <c r="B2419" s="1">
        <v>40636</v>
      </c>
      <c r="C2419">
        <v>4</v>
      </c>
      <c r="D2419">
        <v>2011</v>
      </c>
      <c r="E2419" s="2">
        <v>616345.25</v>
      </c>
      <c r="F2419">
        <v>0</v>
      </c>
      <c r="G2419" s="3">
        <v>60.26</v>
      </c>
      <c r="H2419" s="2">
        <v>3.2879999999999998</v>
      </c>
      <c r="I2419">
        <v>205.71482140000001</v>
      </c>
      <c r="J2419" s="3">
        <v>10.398</v>
      </c>
    </row>
    <row r="2420" spans="1:10" x14ac:dyDescent="0.25">
      <c r="A2420">
        <v>43</v>
      </c>
      <c r="B2420" s="1">
        <v>40850</v>
      </c>
      <c r="C2420">
        <v>11</v>
      </c>
      <c r="D2420">
        <v>2011</v>
      </c>
      <c r="E2420" s="2">
        <v>629026.75</v>
      </c>
      <c r="F2420">
        <v>0</v>
      </c>
      <c r="G2420" s="3">
        <v>60.24</v>
      </c>
      <c r="H2420" s="2">
        <v>3.4590000000000001</v>
      </c>
      <c r="I2420">
        <v>205.9880714</v>
      </c>
      <c r="J2420" s="3">
        <v>10.398</v>
      </c>
    </row>
    <row r="2421" spans="1:10" x14ac:dyDescent="0.25">
      <c r="A2421">
        <v>43</v>
      </c>
      <c r="B2421" s="1">
        <v>40547</v>
      </c>
      <c r="C2421">
        <v>1</v>
      </c>
      <c r="D2421">
        <v>2011</v>
      </c>
      <c r="E2421" s="2">
        <v>611585.54</v>
      </c>
      <c r="F2421">
        <v>0</v>
      </c>
      <c r="G2421" s="3">
        <v>67.790000000000006</v>
      </c>
      <c r="H2421" s="2">
        <v>3.524</v>
      </c>
      <c r="I2421">
        <v>206.67331110000001</v>
      </c>
      <c r="J2421" s="3">
        <v>10.581</v>
      </c>
    </row>
    <row r="2422" spans="1:10" x14ac:dyDescent="0.25">
      <c r="A2422">
        <v>43</v>
      </c>
      <c r="B2422" s="1">
        <v>40759</v>
      </c>
      <c r="C2422">
        <v>8</v>
      </c>
      <c r="D2422">
        <v>2011</v>
      </c>
      <c r="E2422" s="2">
        <v>650418.75</v>
      </c>
      <c r="F2422">
        <v>0</v>
      </c>
      <c r="G2422" s="3">
        <v>70.349999999999994</v>
      </c>
      <c r="H2422" s="2">
        <v>3.6219999999999999</v>
      </c>
      <c r="I2422">
        <v>206.8970046</v>
      </c>
      <c r="J2422" s="3">
        <v>10.581</v>
      </c>
    </row>
    <row r="2423" spans="1:10" x14ac:dyDescent="0.25">
      <c r="A2423">
        <v>43</v>
      </c>
      <c r="B2423" s="1">
        <v>40699</v>
      </c>
      <c r="C2423">
        <v>6</v>
      </c>
      <c r="D2423">
        <v>2011</v>
      </c>
      <c r="E2423" s="2">
        <v>649148.74</v>
      </c>
      <c r="F2423">
        <v>0</v>
      </c>
      <c r="G2423" s="3">
        <v>66.77</v>
      </c>
      <c r="H2423" s="2">
        <v>3.9060000000000001</v>
      </c>
      <c r="I2423">
        <v>207.57149290000001</v>
      </c>
      <c r="J2423" s="3">
        <v>10.581</v>
      </c>
    </row>
    <row r="2424" spans="1:10" x14ac:dyDescent="0.25">
      <c r="A2424">
        <v>43</v>
      </c>
      <c r="B2424" s="1">
        <v>40608</v>
      </c>
      <c r="C2424">
        <v>3</v>
      </c>
      <c r="D2424">
        <v>2011</v>
      </c>
      <c r="E2424" s="2">
        <v>630972.15</v>
      </c>
      <c r="F2424">
        <v>0</v>
      </c>
      <c r="G2424" s="3">
        <v>83.49</v>
      </c>
      <c r="H2424" s="2">
        <v>3.6989999999999998</v>
      </c>
      <c r="I2424">
        <v>207.10390090000001</v>
      </c>
      <c r="J2424" s="3">
        <v>10.581</v>
      </c>
    </row>
    <row r="2425" spans="1:10" x14ac:dyDescent="0.25">
      <c r="A2425">
        <v>43</v>
      </c>
      <c r="B2425" s="1">
        <v>40822</v>
      </c>
      <c r="C2425">
        <v>10</v>
      </c>
      <c r="D2425">
        <v>2011</v>
      </c>
      <c r="E2425" s="2">
        <v>643041.71</v>
      </c>
      <c r="F2425">
        <v>0</v>
      </c>
      <c r="G2425" s="3">
        <v>85.81</v>
      </c>
      <c r="H2425" s="2">
        <v>3.6480000000000001</v>
      </c>
      <c r="I2425">
        <v>206.8958203</v>
      </c>
      <c r="J2425" s="3">
        <v>10.581</v>
      </c>
    </row>
    <row r="2426" spans="1:10" x14ac:dyDescent="0.25">
      <c r="A2426">
        <v>43</v>
      </c>
      <c r="B2426" s="1">
        <v>40550</v>
      </c>
      <c r="C2426">
        <v>1</v>
      </c>
      <c r="D2426">
        <v>2011</v>
      </c>
      <c r="E2426" s="2">
        <v>586781.78</v>
      </c>
      <c r="F2426">
        <v>0</v>
      </c>
      <c r="G2426" s="3">
        <v>91.36</v>
      </c>
      <c r="H2426" s="2">
        <v>3.524</v>
      </c>
      <c r="I2426">
        <v>207.02885710000001</v>
      </c>
      <c r="J2426" s="3">
        <v>10.641</v>
      </c>
    </row>
    <row r="2427" spans="1:10" x14ac:dyDescent="0.25">
      <c r="A2427">
        <v>43</v>
      </c>
      <c r="B2427" s="1">
        <v>40762</v>
      </c>
      <c r="C2427">
        <v>8</v>
      </c>
      <c r="D2427">
        <v>2011</v>
      </c>
      <c r="E2427" s="2">
        <v>651147.82999999996</v>
      </c>
      <c r="F2427">
        <v>0</v>
      </c>
      <c r="G2427" s="3">
        <v>87.02</v>
      </c>
      <c r="H2427" s="2">
        <v>3.48</v>
      </c>
      <c r="I2427">
        <v>207.11527380000001</v>
      </c>
      <c r="J2427" s="3">
        <v>10.641</v>
      </c>
    </row>
    <row r="2428" spans="1:10" x14ac:dyDescent="0.25">
      <c r="A2428">
        <v>43</v>
      </c>
      <c r="B2428" s="1">
        <v>40671</v>
      </c>
      <c r="C2428">
        <v>5</v>
      </c>
      <c r="D2428">
        <v>2011</v>
      </c>
      <c r="E2428" s="2">
        <v>605956.59</v>
      </c>
      <c r="F2428">
        <v>0</v>
      </c>
      <c r="G2428" s="3">
        <v>87.47</v>
      </c>
      <c r="H2428" s="2">
        <v>3.6840000000000002</v>
      </c>
      <c r="I2428">
        <v>207.37329489999999</v>
      </c>
      <c r="J2428" s="3">
        <v>10.641</v>
      </c>
    </row>
    <row r="2429" spans="1:10" x14ac:dyDescent="0.25">
      <c r="A2429">
        <v>43</v>
      </c>
      <c r="B2429" s="1">
        <v>40885</v>
      </c>
      <c r="C2429">
        <v>12</v>
      </c>
      <c r="D2429">
        <v>2011</v>
      </c>
      <c r="E2429" s="2">
        <v>595626.56000000006</v>
      </c>
      <c r="F2429">
        <v>0</v>
      </c>
      <c r="G2429" s="3">
        <v>86.64</v>
      </c>
      <c r="H2429" s="2">
        <v>3.6379999999999999</v>
      </c>
      <c r="I2429">
        <v>207.43303689999999</v>
      </c>
      <c r="J2429" s="3">
        <v>10.641</v>
      </c>
    </row>
    <row r="2430" spans="1:10" x14ac:dyDescent="0.25">
      <c r="A2430">
        <v>43</v>
      </c>
      <c r="B2430" s="1">
        <v>40583</v>
      </c>
      <c r="C2430">
        <v>2</v>
      </c>
      <c r="D2430">
        <v>2011</v>
      </c>
      <c r="E2430" s="2">
        <v>594224.9</v>
      </c>
      <c r="F2430">
        <v>0</v>
      </c>
      <c r="G2430" s="3">
        <v>87.84</v>
      </c>
      <c r="H2430" s="2">
        <v>3.5329999999999999</v>
      </c>
      <c r="I2430">
        <v>207.62069589999999</v>
      </c>
      <c r="J2430" s="3">
        <v>10.641</v>
      </c>
    </row>
    <row r="2431" spans="1:10" x14ac:dyDescent="0.25">
      <c r="A2431">
        <v>43</v>
      </c>
      <c r="B2431" s="1">
        <v>40795</v>
      </c>
      <c r="C2431">
        <v>9</v>
      </c>
      <c r="D2431">
        <v>2011</v>
      </c>
      <c r="E2431" s="2">
        <v>649128.23</v>
      </c>
      <c r="F2431">
        <v>1</v>
      </c>
      <c r="G2431" s="3">
        <v>79.290000000000006</v>
      </c>
      <c r="H2431" s="2">
        <v>3.5459999999999998</v>
      </c>
      <c r="I2431">
        <v>207.68338940000001</v>
      </c>
      <c r="J2431" s="3">
        <v>10.641</v>
      </c>
    </row>
    <row r="2432" spans="1:10" x14ac:dyDescent="0.25">
      <c r="A2432">
        <v>43</v>
      </c>
      <c r="B2432" s="1">
        <v>40734</v>
      </c>
      <c r="C2432">
        <v>7</v>
      </c>
      <c r="D2432">
        <v>2011</v>
      </c>
      <c r="E2432" s="2">
        <v>642828.62</v>
      </c>
      <c r="F2432">
        <v>0</v>
      </c>
      <c r="G2432" s="3">
        <v>74.17</v>
      </c>
      <c r="H2432" s="2">
        <v>3.2850000000000001</v>
      </c>
      <c r="I2432">
        <v>208.78721429999999</v>
      </c>
      <c r="J2432" s="3">
        <v>10.148</v>
      </c>
    </row>
    <row r="2433" spans="1:10" x14ac:dyDescent="0.25">
      <c r="A2433">
        <v>43</v>
      </c>
      <c r="B2433" s="1">
        <v>40644</v>
      </c>
      <c r="C2433">
        <v>4</v>
      </c>
      <c r="D2433">
        <v>2011</v>
      </c>
      <c r="E2433" s="2">
        <v>641905.37</v>
      </c>
      <c r="F2433">
        <v>0</v>
      </c>
      <c r="G2433" s="3">
        <v>59.08</v>
      </c>
      <c r="H2433" s="2">
        <v>3.3319999999999999</v>
      </c>
      <c r="I2433">
        <v>209.516265</v>
      </c>
      <c r="J2433" s="3">
        <v>10.148</v>
      </c>
    </row>
    <row r="2434" spans="1:10" x14ac:dyDescent="0.25">
      <c r="A2434">
        <v>43</v>
      </c>
      <c r="B2434" s="1">
        <v>40858</v>
      </c>
      <c r="C2434">
        <v>11</v>
      </c>
      <c r="D2434">
        <v>2011</v>
      </c>
      <c r="E2434" s="2">
        <v>615975.5</v>
      </c>
      <c r="F2434">
        <v>0</v>
      </c>
      <c r="G2434" s="3">
        <v>51.26</v>
      </c>
      <c r="H2434" s="2">
        <v>3.2970000000000002</v>
      </c>
      <c r="I2434">
        <v>209.66328110000001</v>
      </c>
      <c r="J2434" s="3">
        <v>10.148</v>
      </c>
    </row>
    <row r="2435" spans="1:10" x14ac:dyDescent="0.25">
      <c r="A2435">
        <v>43</v>
      </c>
      <c r="B2435" s="1">
        <v>40586</v>
      </c>
      <c r="C2435">
        <v>2</v>
      </c>
      <c r="D2435">
        <v>2011</v>
      </c>
      <c r="E2435" s="2">
        <v>585028.26</v>
      </c>
      <c r="F2435">
        <v>0</v>
      </c>
      <c r="G2435" s="3">
        <v>47.49</v>
      </c>
      <c r="H2435" s="2">
        <v>3.1720000000000002</v>
      </c>
      <c r="I2435">
        <v>210.31260710000001</v>
      </c>
      <c r="J2435" s="3">
        <v>10.148</v>
      </c>
    </row>
    <row r="2436" spans="1:10" x14ac:dyDescent="0.25">
      <c r="A2436">
        <v>43</v>
      </c>
      <c r="B2436" s="1">
        <v>40798</v>
      </c>
      <c r="C2436">
        <v>9</v>
      </c>
      <c r="D2436">
        <v>2011</v>
      </c>
      <c r="E2436" s="2">
        <v>617898.06999999995</v>
      </c>
      <c r="F2436">
        <v>0</v>
      </c>
      <c r="G2436" s="3">
        <v>34.229999999999997</v>
      </c>
      <c r="H2436" s="2">
        <v>3.1579999999999999</v>
      </c>
      <c r="I2436">
        <v>210.5363571</v>
      </c>
      <c r="J2436" s="3">
        <v>10.148</v>
      </c>
    </row>
    <row r="2437" spans="1:10" x14ac:dyDescent="0.25">
      <c r="A2437">
        <v>43</v>
      </c>
      <c r="B2437" s="1">
        <v>41061</v>
      </c>
      <c r="C2437">
        <v>6</v>
      </c>
      <c r="D2437">
        <v>2012</v>
      </c>
      <c r="E2437" s="2">
        <v>670993.01</v>
      </c>
      <c r="F2437">
        <v>0</v>
      </c>
      <c r="G2437" s="3">
        <v>47.59</v>
      </c>
      <c r="H2437" s="2">
        <v>3.157</v>
      </c>
      <c r="I2437">
        <v>211.24281339999999</v>
      </c>
      <c r="J2437" s="3">
        <v>9.6530000000000005</v>
      </c>
    </row>
    <row r="2438" spans="1:10" x14ac:dyDescent="0.25">
      <c r="A2438">
        <v>43</v>
      </c>
      <c r="B2438" s="1">
        <v>40970</v>
      </c>
      <c r="C2438">
        <v>3</v>
      </c>
      <c r="D2438">
        <v>2012</v>
      </c>
      <c r="E2438" s="2">
        <v>629176.71</v>
      </c>
      <c r="F2438">
        <v>0</v>
      </c>
      <c r="G2438" s="3">
        <v>51.92</v>
      </c>
      <c r="H2438" s="2">
        <v>3.36</v>
      </c>
      <c r="I2438">
        <v>211.67620049999999</v>
      </c>
      <c r="J2438" s="3">
        <v>9.6530000000000005</v>
      </c>
    </row>
    <row r="2439" spans="1:10" x14ac:dyDescent="0.25">
      <c r="A2439">
        <v>43</v>
      </c>
      <c r="B2439" s="1">
        <v>41184</v>
      </c>
      <c r="C2439">
        <v>10</v>
      </c>
      <c r="D2439">
        <v>2012</v>
      </c>
      <c r="E2439" s="2">
        <v>662198.65</v>
      </c>
      <c r="F2439">
        <v>1</v>
      </c>
      <c r="G2439" s="3">
        <v>46.54</v>
      </c>
      <c r="H2439" s="2">
        <v>3.4089999999999998</v>
      </c>
      <c r="I2439">
        <v>211.76441009999999</v>
      </c>
      <c r="J2439" s="3">
        <v>9.6530000000000005</v>
      </c>
    </row>
    <row r="2440" spans="1:10" x14ac:dyDescent="0.25">
      <c r="A2440">
        <v>43</v>
      </c>
      <c r="B2440" s="1">
        <v>40942</v>
      </c>
      <c r="C2440">
        <v>2</v>
      </c>
      <c r="D2440">
        <v>2012</v>
      </c>
      <c r="E2440" s="2">
        <v>693249.98</v>
      </c>
      <c r="F2440">
        <v>0</v>
      </c>
      <c r="G2440" s="3">
        <v>56.43</v>
      </c>
      <c r="H2440" s="2">
        <v>3.63</v>
      </c>
      <c r="I2440">
        <v>212.3180074</v>
      </c>
      <c r="J2440" s="3">
        <v>9.6530000000000005</v>
      </c>
    </row>
    <row r="2441" spans="1:10" x14ac:dyDescent="0.25">
      <c r="A2441">
        <v>43</v>
      </c>
      <c r="B2441" s="1">
        <v>41155</v>
      </c>
      <c r="C2441">
        <v>9</v>
      </c>
      <c r="D2441">
        <v>2012</v>
      </c>
      <c r="E2441" s="2">
        <v>636677.67000000004</v>
      </c>
      <c r="F2441">
        <v>0</v>
      </c>
      <c r="G2441" s="3">
        <v>54.52</v>
      </c>
      <c r="H2441" s="2">
        <v>3.669</v>
      </c>
      <c r="I2441">
        <v>212.5185936</v>
      </c>
      <c r="J2441" s="3">
        <v>9.6530000000000005</v>
      </c>
    </row>
    <row r="2442" spans="1:10" x14ac:dyDescent="0.25">
      <c r="A2442">
        <v>43</v>
      </c>
      <c r="B2442" s="1">
        <v>41064</v>
      </c>
      <c r="C2442">
        <v>6</v>
      </c>
      <c r="D2442">
        <v>2012</v>
      </c>
      <c r="E2442" s="2">
        <v>658468.27</v>
      </c>
      <c r="F2442">
        <v>0</v>
      </c>
      <c r="G2442" s="3">
        <v>64.7</v>
      </c>
      <c r="H2442" s="2">
        <v>3.891</v>
      </c>
      <c r="I2442">
        <v>212.88875350000001</v>
      </c>
      <c r="J2442" s="3">
        <v>9.5749999999999993</v>
      </c>
    </row>
    <row r="2443" spans="1:10" x14ac:dyDescent="0.25">
      <c r="A2443">
        <v>43</v>
      </c>
      <c r="B2443" s="1">
        <v>41004</v>
      </c>
      <c r="C2443">
        <v>4</v>
      </c>
      <c r="D2443">
        <v>2012</v>
      </c>
      <c r="E2443" s="2">
        <v>637964.19999999995</v>
      </c>
      <c r="F2443">
        <v>0</v>
      </c>
      <c r="G2443" s="3">
        <v>77.47</v>
      </c>
      <c r="H2443" s="2">
        <v>3.7490000000000001</v>
      </c>
      <c r="I2443">
        <v>213.11258570000001</v>
      </c>
      <c r="J2443" s="3">
        <v>9.5749999999999993</v>
      </c>
    </row>
    <row r="2444" spans="1:10" x14ac:dyDescent="0.25">
      <c r="A2444">
        <v>43</v>
      </c>
      <c r="B2444" s="1">
        <v>41218</v>
      </c>
      <c r="C2444">
        <v>11</v>
      </c>
      <c r="D2444">
        <v>2012</v>
      </c>
      <c r="E2444" s="2">
        <v>640159.04</v>
      </c>
      <c r="F2444">
        <v>0</v>
      </c>
      <c r="G2444" s="3">
        <v>67.59</v>
      </c>
      <c r="H2444" s="2">
        <v>3.6880000000000002</v>
      </c>
      <c r="I2444">
        <v>213.1623524</v>
      </c>
      <c r="J2444" s="3">
        <v>9.5749999999999993</v>
      </c>
    </row>
    <row r="2445" spans="1:10" x14ac:dyDescent="0.25">
      <c r="A2445">
        <v>43</v>
      </c>
      <c r="B2445" s="1">
        <v>40914</v>
      </c>
      <c r="C2445">
        <v>1</v>
      </c>
      <c r="D2445">
        <v>2012</v>
      </c>
      <c r="E2445" s="2">
        <v>605078.62</v>
      </c>
      <c r="F2445">
        <v>0</v>
      </c>
      <c r="G2445" s="3">
        <v>80.89</v>
      </c>
      <c r="H2445" s="2">
        <v>3.5009999999999999</v>
      </c>
      <c r="I2445">
        <v>213.17197469999999</v>
      </c>
      <c r="J2445" s="3">
        <v>9.5749999999999993</v>
      </c>
    </row>
    <row r="2446" spans="1:10" x14ac:dyDescent="0.25">
      <c r="A2446">
        <v>43</v>
      </c>
      <c r="B2446" s="1">
        <v>41127</v>
      </c>
      <c r="C2446">
        <v>8</v>
      </c>
      <c r="D2446">
        <v>2012</v>
      </c>
      <c r="E2446" s="2">
        <v>643032.51</v>
      </c>
      <c r="F2446">
        <v>0</v>
      </c>
      <c r="G2446" s="3">
        <v>85.73</v>
      </c>
      <c r="H2446" s="2">
        <v>3.452</v>
      </c>
      <c r="I2446">
        <v>213.17028110000001</v>
      </c>
      <c r="J2446" s="3">
        <v>9.5749999999999993</v>
      </c>
    </row>
    <row r="2447" spans="1:10" x14ac:dyDescent="0.25">
      <c r="A2447">
        <v>43</v>
      </c>
      <c r="B2447" s="1">
        <v>41067</v>
      </c>
      <c r="C2447">
        <v>6</v>
      </c>
      <c r="D2447">
        <v>2012</v>
      </c>
      <c r="E2447" s="2">
        <v>645618.59</v>
      </c>
      <c r="F2447">
        <v>0</v>
      </c>
      <c r="G2447" s="3">
        <v>82.68</v>
      </c>
      <c r="H2447" s="2">
        <v>3.2269999999999999</v>
      </c>
      <c r="I2447">
        <v>213.27974520000001</v>
      </c>
      <c r="J2447" s="3">
        <v>9.2850000000000001</v>
      </c>
    </row>
    <row r="2448" spans="1:10" x14ac:dyDescent="0.25">
      <c r="A2448">
        <v>43</v>
      </c>
      <c r="B2448" s="1">
        <v>40976</v>
      </c>
      <c r="C2448">
        <v>3</v>
      </c>
      <c r="D2448">
        <v>2012</v>
      </c>
      <c r="E2448" s="2">
        <v>614378.93999999994</v>
      </c>
      <c r="F2448">
        <v>0</v>
      </c>
      <c r="G2448" s="3">
        <v>85.06</v>
      </c>
      <c r="H2448" s="2">
        <v>3.4169999999999998</v>
      </c>
      <c r="I2448">
        <v>213.33888020000001</v>
      </c>
      <c r="J2448" s="3">
        <v>9.2850000000000001</v>
      </c>
    </row>
    <row r="2449" spans="1:10" x14ac:dyDescent="0.25">
      <c r="A2449">
        <v>43</v>
      </c>
      <c r="B2449" s="1">
        <v>41190</v>
      </c>
      <c r="C2449">
        <v>10</v>
      </c>
      <c r="D2449">
        <v>2012</v>
      </c>
      <c r="E2449" s="2">
        <v>643558.78</v>
      </c>
      <c r="F2449">
        <v>0</v>
      </c>
      <c r="G2449" s="3">
        <v>86.36</v>
      </c>
      <c r="H2449" s="2">
        <v>3.4940000000000002</v>
      </c>
      <c r="I2449">
        <v>213.34736409999999</v>
      </c>
      <c r="J2449" s="3">
        <v>9.2850000000000001</v>
      </c>
    </row>
    <row r="2450" spans="1:10" x14ac:dyDescent="0.25">
      <c r="A2450">
        <v>43</v>
      </c>
      <c r="B2450" s="1">
        <v>41099</v>
      </c>
      <c r="C2450">
        <v>7</v>
      </c>
      <c r="D2450">
        <v>2012</v>
      </c>
      <c r="E2450" s="2">
        <v>663814.18000000005</v>
      </c>
      <c r="F2450">
        <v>1</v>
      </c>
      <c r="G2450" s="3">
        <v>84.99</v>
      </c>
      <c r="H2450" s="2">
        <v>3.73</v>
      </c>
      <c r="I2450">
        <v>213.79909910000001</v>
      </c>
      <c r="J2450" s="3">
        <v>9.2850000000000001</v>
      </c>
    </row>
    <row r="2451" spans="1:10" x14ac:dyDescent="0.25">
      <c r="A2451">
        <v>43</v>
      </c>
      <c r="B2451" s="1">
        <v>41039</v>
      </c>
      <c r="C2451">
        <v>5</v>
      </c>
      <c r="D2451">
        <v>2012</v>
      </c>
      <c r="E2451" s="2">
        <v>642614.89</v>
      </c>
      <c r="F2451">
        <v>0</v>
      </c>
      <c r="G2451" s="3">
        <v>74.09</v>
      </c>
      <c r="H2451" s="2">
        <v>3.617</v>
      </c>
      <c r="I2451">
        <v>214.49126670000001</v>
      </c>
      <c r="J2451" s="3">
        <v>8.8390000000000004</v>
      </c>
    </row>
    <row r="2452" spans="1:10" x14ac:dyDescent="0.25">
      <c r="A2452">
        <v>43</v>
      </c>
      <c r="B2452" s="1">
        <v>41253</v>
      </c>
      <c r="C2452">
        <v>12</v>
      </c>
      <c r="D2452">
        <v>2012</v>
      </c>
      <c r="E2452" s="2">
        <v>619369.72</v>
      </c>
      <c r="F2452">
        <v>0</v>
      </c>
      <c r="G2452" s="3">
        <v>71.14</v>
      </c>
      <c r="H2452" s="2">
        <v>3.601</v>
      </c>
      <c r="I2452">
        <v>214.6772833</v>
      </c>
      <c r="J2452" s="3">
        <v>8.8390000000000004</v>
      </c>
    </row>
    <row r="2453" spans="1:10" x14ac:dyDescent="0.25">
      <c r="A2453">
        <v>44</v>
      </c>
      <c r="B2453" s="1">
        <v>40300</v>
      </c>
      <c r="C2453">
        <v>5</v>
      </c>
      <c r="D2453">
        <v>2010</v>
      </c>
      <c r="E2453" s="2">
        <v>281090.95</v>
      </c>
      <c r="F2453">
        <v>0</v>
      </c>
      <c r="G2453" s="3">
        <v>31.53</v>
      </c>
      <c r="H2453" s="2">
        <v>2.6659999999999999</v>
      </c>
      <c r="I2453">
        <v>126.4420645</v>
      </c>
      <c r="J2453" s="3">
        <v>8.1189999999999998</v>
      </c>
    </row>
    <row r="2454" spans="1:10" x14ac:dyDescent="0.25">
      <c r="A2454">
        <v>44</v>
      </c>
      <c r="B2454" s="1">
        <v>40514</v>
      </c>
      <c r="C2454">
        <v>12</v>
      </c>
      <c r="D2454">
        <v>2010</v>
      </c>
      <c r="E2454" s="2">
        <v>286857.13</v>
      </c>
      <c r="F2454">
        <v>1</v>
      </c>
      <c r="G2454" s="3">
        <v>33.159999999999997</v>
      </c>
      <c r="H2454" s="2">
        <v>2.6709999999999998</v>
      </c>
      <c r="I2454">
        <v>126.49625810000001</v>
      </c>
      <c r="J2454" s="3">
        <v>8.1189999999999998</v>
      </c>
    </row>
    <row r="2455" spans="1:10" x14ac:dyDescent="0.25">
      <c r="A2455">
        <v>44</v>
      </c>
      <c r="B2455" s="1">
        <v>40301</v>
      </c>
      <c r="C2455">
        <v>5</v>
      </c>
      <c r="D2455">
        <v>2010</v>
      </c>
      <c r="E2455" s="2">
        <v>284617.27</v>
      </c>
      <c r="F2455">
        <v>0</v>
      </c>
      <c r="G2455" s="3">
        <v>40.65</v>
      </c>
      <c r="H2455" s="2">
        <v>2.681</v>
      </c>
      <c r="I2455">
        <v>126.5782857</v>
      </c>
      <c r="J2455" s="3">
        <v>8.1189999999999998</v>
      </c>
    </row>
    <row r="2456" spans="1:10" x14ac:dyDescent="0.25">
      <c r="A2456">
        <v>44</v>
      </c>
      <c r="B2456" s="1">
        <v>40515</v>
      </c>
      <c r="C2456">
        <v>12</v>
      </c>
      <c r="D2456">
        <v>2010</v>
      </c>
      <c r="E2456" s="2">
        <v>272190.83</v>
      </c>
      <c r="F2456">
        <v>0</v>
      </c>
      <c r="G2456" s="3">
        <v>37.619999999999997</v>
      </c>
      <c r="H2456" s="2">
        <v>2.7330000000000001</v>
      </c>
      <c r="I2456">
        <v>126.60428570000001</v>
      </c>
      <c r="J2456" s="3">
        <v>8.1189999999999998</v>
      </c>
    </row>
    <row r="2457" spans="1:10" x14ac:dyDescent="0.25">
      <c r="A2457">
        <v>44</v>
      </c>
      <c r="B2457" s="1">
        <v>40213</v>
      </c>
      <c r="C2457">
        <v>2</v>
      </c>
      <c r="D2457">
        <v>2010</v>
      </c>
      <c r="E2457" s="2">
        <v>286197.5</v>
      </c>
      <c r="F2457">
        <v>0</v>
      </c>
      <c r="G2457" s="3">
        <v>42.15</v>
      </c>
      <c r="H2457" s="2">
        <v>2.8420000000000001</v>
      </c>
      <c r="I2457">
        <v>126.6034839</v>
      </c>
      <c r="J2457" s="3">
        <v>7.9720000000000004</v>
      </c>
    </row>
    <row r="2458" spans="1:10" x14ac:dyDescent="0.25">
      <c r="A2458">
        <v>44</v>
      </c>
      <c r="B2458" s="1">
        <v>40425</v>
      </c>
      <c r="C2458">
        <v>9</v>
      </c>
      <c r="D2458">
        <v>2010</v>
      </c>
      <c r="E2458" s="2">
        <v>257361.3</v>
      </c>
      <c r="F2458">
        <v>0</v>
      </c>
      <c r="G2458" s="3">
        <v>38.97</v>
      </c>
      <c r="H2458" s="2">
        <v>2.8769999999999998</v>
      </c>
      <c r="I2458">
        <v>126.6019032</v>
      </c>
      <c r="J2458" s="3">
        <v>7.9720000000000004</v>
      </c>
    </row>
    <row r="2459" spans="1:10" x14ac:dyDescent="0.25">
      <c r="A2459">
        <v>44</v>
      </c>
      <c r="B2459" s="1">
        <v>40364</v>
      </c>
      <c r="C2459">
        <v>7</v>
      </c>
      <c r="D2459">
        <v>2010</v>
      </c>
      <c r="E2459" s="2">
        <v>285379.86</v>
      </c>
      <c r="F2459">
        <v>0</v>
      </c>
      <c r="G2459" s="3">
        <v>44.42</v>
      </c>
      <c r="H2459" s="2">
        <v>2.948</v>
      </c>
      <c r="I2459">
        <v>126.2898</v>
      </c>
      <c r="J2459" s="3">
        <v>7.9720000000000004</v>
      </c>
    </row>
    <row r="2460" spans="1:10" x14ac:dyDescent="0.25">
      <c r="A2460">
        <v>44</v>
      </c>
      <c r="B2460" s="1">
        <v>40274</v>
      </c>
      <c r="C2460">
        <v>4</v>
      </c>
      <c r="D2460">
        <v>2010</v>
      </c>
      <c r="E2460" s="2">
        <v>282351.82</v>
      </c>
      <c r="F2460">
        <v>0</v>
      </c>
      <c r="G2460" s="3">
        <v>59.85</v>
      </c>
      <c r="H2460" s="2">
        <v>2.871</v>
      </c>
      <c r="I2460">
        <v>126.1360645</v>
      </c>
      <c r="J2460" s="3">
        <v>7.9720000000000004</v>
      </c>
    </row>
    <row r="2461" spans="1:10" x14ac:dyDescent="0.25">
      <c r="A2461">
        <v>44</v>
      </c>
      <c r="B2461" s="1">
        <v>40488</v>
      </c>
      <c r="C2461">
        <v>11</v>
      </c>
      <c r="D2461">
        <v>2010</v>
      </c>
      <c r="E2461" s="2">
        <v>296818.2</v>
      </c>
      <c r="F2461">
        <v>0</v>
      </c>
      <c r="G2461" s="3">
        <v>65.239999999999995</v>
      </c>
      <c r="H2461" s="2">
        <v>2.8410000000000002</v>
      </c>
      <c r="I2461">
        <v>126.1119032</v>
      </c>
      <c r="J2461" s="3">
        <v>7.9720000000000004</v>
      </c>
    </row>
    <row r="2462" spans="1:10" x14ac:dyDescent="0.25">
      <c r="A2462">
        <v>44</v>
      </c>
      <c r="B2462" s="1">
        <v>40216</v>
      </c>
      <c r="C2462">
        <v>2</v>
      </c>
      <c r="D2462">
        <v>2010</v>
      </c>
      <c r="E2462" s="2">
        <v>300628.19</v>
      </c>
      <c r="F2462">
        <v>0</v>
      </c>
      <c r="G2462" s="3">
        <v>78.819999999999993</v>
      </c>
      <c r="H2462" s="2">
        <v>2.8140000000000001</v>
      </c>
      <c r="I2462">
        <v>126.1392</v>
      </c>
      <c r="J2462" s="3">
        <v>7.8040000000000003</v>
      </c>
    </row>
    <row r="2463" spans="1:10" x14ac:dyDescent="0.25">
      <c r="A2463">
        <v>44</v>
      </c>
      <c r="B2463" s="1">
        <v>40428</v>
      </c>
      <c r="C2463">
        <v>9</v>
      </c>
      <c r="D2463">
        <v>2010</v>
      </c>
      <c r="E2463" s="2">
        <v>280472.78000000003</v>
      </c>
      <c r="F2463">
        <v>0</v>
      </c>
      <c r="G2463" s="3">
        <v>71.33</v>
      </c>
      <c r="H2463" s="2">
        <v>2.802</v>
      </c>
      <c r="I2463">
        <v>126.15179999999999</v>
      </c>
      <c r="J2463" s="3">
        <v>7.8040000000000003</v>
      </c>
    </row>
    <row r="2464" spans="1:10" x14ac:dyDescent="0.25">
      <c r="A2464">
        <v>44</v>
      </c>
      <c r="B2464" s="1">
        <v>40337</v>
      </c>
      <c r="C2464">
        <v>6</v>
      </c>
      <c r="D2464">
        <v>2010</v>
      </c>
      <c r="E2464" s="2">
        <v>296804.49</v>
      </c>
      <c r="F2464">
        <v>0</v>
      </c>
      <c r="G2464" s="3">
        <v>81.239999999999995</v>
      </c>
      <c r="H2464" s="2">
        <v>2.802</v>
      </c>
      <c r="I2464">
        <v>126.0854516</v>
      </c>
      <c r="J2464" s="3">
        <v>7.8040000000000003</v>
      </c>
    </row>
    <row r="2465" spans="1:10" x14ac:dyDescent="0.25">
      <c r="A2465">
        <v>44</v>
      </c>
      <c r="B2465" s="1">
        <v>40246</v>
      </c>
      <c r="C2465">
        <v>3</v>
      </c>
      <c r="D2465">
        <v>2010</v>
      </c>
      <c r="E2465" s="2">
        <v>295880.12</v>
      </c>
      <c r="F2465">
        <v>0</v>
      </c>
      <c r="G2465" s="3">
        <v>65.709999999999994</v>
      </c>
      <c r="H2465" s="2">
        <v>2.8679999999999999</v>
      </c>
      <c r="I2465">
        <v>126.1019355</v>
      </c>
      <c r="J2465" s="3">
        <v>7.8040000000000003</v>
      </c>
    </row>
    <row r="2466" spans="1:10" x14ac:dyDescent="0.25">
      <c r="A2466">
        <v>44</v>
      </c>
      <c r="B2466" s="1">
        <v>40460</v>
      </c>
      <c r="C2466">
        <v>10</v>
      </c>
      <c r="D2466">
        <v>2010</v>
      </c>
      <c r="E2466" s="2">
        <v>283455.13</v>
      </c>
      <c r="F2466">
        <v>1</v>
      </c>
      <c r="G2466" s="3">
        <v>65.739999999999995</v>
      </c>
      <c r="H2466" s="2">
        <v>2.87</v>
      </c>
      <c r="I2466">
        <v>126.1145806</v>
      </c>
      <c r="J2466" s="3">
        <v>7.8040000000000003</v>
      </c>
    </row>
    <row r="2467" spans="1:10" x14ac:dyDescent="0.25">
      <c r="A2467">
        <v>44</v>
      </c>
      <c r="B2467" s="1">
        <v>40188</v>
      </c>
      <c r="C2467">
        <v>1</v>
      </c>
      <c r="D2467">
        <v>2010</v>
      </c>
      <c r="E2467" s="2">
        <v>300152.45</v>
      </c>
      <c r="F2467">
        <v>0</v>
      </c>
      <c r="G2467" s="3">
        <v>68.739999999999995</v>
      </c>
      <c r="H2467" s="2">
        <v>2.8530000000000002</v>
      </c>
      <c r="I2467">
        <v>126.2346</v>
      </c>
      <c r="J2467" s="3">
        <v>7.61</v>
      </c>
    </row>
    <row r="2468" spans="1:10" x14ac:dyDescent="0.25">
      <c r="A2468">
        <v>44</v>
      </c>
      <c r="B2468" s="1">
        <v>40400</v>
      </c>
      <c r="C2468">
        <v>8</v>
      </c>
      <c r="D2468">
        <v>2010</v>
      </c>
      <c r="E2468" s="2">
        <v>279524.44</v>
      </c>
      <c r="F2468">
        <v>0</v>
      </c>
      <c r="G2468" s="3">
        <v>63.03</v>
      </c>
      <c r="H2468" s="2">
        <v>2.8410000000000002</v>
      </c>
      <c r="I2468">
        <v>126.2791667</v>
      </c>
      <c r="J2468" s="3">
        <v>7.61</v>
      </c>
    </row>
    <row r="2469" spans="1:10" x14ac:dyDescent="0.25">
      <c r="A2469">
        <v>44</v>
      </c>
      <c r="B2469" s="1">
        <v>40309</v>
      </c>
      <c r="C2469">
        <v>5</v>
      </c>
      <c r="D2469">
        <v>2010</v>
      </c>
      <c r="E2469" s="2">
        <v>270516.84000000003</v>
      </c>
      <c r="F2469">
        <v>0</v>
      </c>
      <c r="G2469" s="3">
        <v>49.96</v>
      </c>
      <c r="H2469" s="2">
        <v>2.831</v>
      </c>
      <c r="I2469">
        <v>126.4912903</v>
      </c>
      <c r="J2469" s="3">
        <v>7.61</v>
      </c>
    </row>
    <row r="2470" spans="1:10" x14ac:dyDescent="0.25">
      <c r="A2470">
        <v>44</v>
      </c>
      <c r="B2470" s="1">
        <v>40523</v>
      </c>
      <c r="C2470">
        <v>12</v>
      </c>
      <c r="D2470">
        <v>2010</v>
      </c>
      <c r="E2470" s="2">
        <v>281909.78999999998</v>
      </c>
      <c r="F2470">
        <v>0</v>
      </c>
      <c r="G2470" s="3">
        <v>42.55</v>
      </c>
      <c r="H2470" s="2">
        <v>2.831</v>
      </c>
      <c r="I2470">
        <v>126.54616129999999</v>
      </c>
      <c r="J2470" s="3">
        <v>7.61</v>
      </c>
    </row>
    <row r="2471" spans="1:10" x14ac:dyDescent="0.25">
      <c r="A2471">
        <v>44</v>
      </c>
      <c r="B2471" s="1">
        <v>40249</v>
      </c>
      <c r="C2471">
        <v>3</v>
      </c>
      <c r="D2471">
        <v>2010</v>
      </c>
      <c r="E2471" s="2">
        <v>264214.12</v>
      </c>
      <c r="F2471">
        <v>0</v>
      </c>
      <c r="G2471" s="3">
        <v>25.8</v>
      </c>
      <c r="H2471" s="2">
        <v>2.8119999999999998</v>
      </c>
      <c r="I2471">
        <v>126.7313333</v>
      </c>
      <c r="J2471" s="3">
        <v>7.61</v>
      </c>
    </row>
    <row r="2472" spans="1:10" x14ac:dyDescent="0.25">
      <c r="A2472">
        <v>44</v>
      </c>
      <c r="B2472" s="1">
        <v>40463</v>
      </c>
      <c r="C2472">
        <v>10</v>
      </c>
      <c r="D2472">
        <v>2010</v>
      </c>
      <c r="E2472" s="2">
        <v>278253.28000000003</v>
      </c>
      <c r="F2472">
        <v>0</v>
      </c>
      <c r="G2472" s="3">
        <v>36.78</v>
      </c>
      <c r="H2472" s="2">
        <v>2.8170000000000002</v>
      </c>
      <c r="I2472">
        <v>126.79340000000001</v>
      </c>
      <c r="J2472" s="3">
        <v>7.61</v>
      </c>
    </row>
    <row r="2473" spans="1:10" x14ac:dyDescent="0.25">
      <c r="A2473">
        <v>44</v>
      </c>
      <c r="B2473" s="1">
        <v>40725</v>
      </c>
      <c r="C2473">
        <v>7</v>
      </c>
      <c r="D2473">
        <v>2011</v>
      </c>
      <c r="E2473" s="2">
        <v>288320.38</v>
      </c>
      <c r="F2473">
        <v>0</v>
      </c>
      <c r="G2473" s="3">
        <v>16.940000000000001</v>
      </c>
      <c r="H2473" s="2">
        <v>2.891</v>
      </c>
      <c r="I2473">
        <v>127.1917742</v>
      </c>
      <c r="J2473" s="3">
        <v>7.2240000000000002</v>
      </c>
    </row>
    <row r="2474" spans="1:10" x14ac:dyDescent="0.25">
      <c r="A2474">
        <v>44</v>
      </c>
      <c r="B2474" s="1">
        <v>40635</v>
      </c>
      <c r="C2474">
        <v>4</v>
      </c>
      <c r="D2474">
        <v>2011</v>
      </c>
      <c r="E2474" s="2">
        <v>293953.08</v>
      </c>
      <c r="F2474">
        <v>0</v>
      </c>
      <c r="G2474" s="3">
        <v>23.35</v>
      </c>
      <c r="H2474" s="2">
        <v>2.9740000000000002</v>
      </c>
      <c r="I2474">
        <v>127.7195806</v>
      </c>
      <c r="J2474" s="3">
        <v>7.2240000000000002</v>
      </c>
    </row>
    <row r="2475" spans="1:10" x14ac:dyDescent="0.25">
      <c r="A2475">
        <v>44</v>
      </c>
      <c r="B2475" s="1">
        <v>40849</v>
      </c>
      <c r="C2475">
        <v>11</v>
      </c>
      <c r="D2475">
        <v>2011</v>
      </c>
      <c r="E2475" s="2">
        <v>307486.73</v>
      </c>
      <c r="F2475">
        <v>1</v>
      </c>
      <c r="G2475" s="3">
        <v>30.83</v>
      </c>
      <c r="H2475" s="2">
        <v>3.0339999999999998</v>
      </c>
      <c r="I2475">
        <v>127.859129</v>
      </c>
      <c r="J2475" s="3">
        <v>7.2240000000000002</v>
      </c>
    </row>
    <row r="2476" spans="1:10" x14ac:dyDescent="0.25">
      <c r="A2476">
        <v>44</v>
      </c>
      <c r="B2476" s="1">
        <v>40636</v>
      </c>
      <c r="C2476">
        <v>4</v>
      </c>
      <c r="D2476">
        <v>2011</v>
      </c>
      <c r="E2476" s="2">
        <v>293984.53999999998</v>
      </c>
      <c r="F2476">
        <v>0</v>
      </c>
      <c r="G2476" s="3">
        <v>34.229999999999997</v>
      </c>
      <c r="H2476" s="2">
        <v>3.23</v>
      </c>
      <c r="I2476">
        <v>128.26474999999999</v>
      </c>
      <c r="J2476" s="3">
        <v>7.2240000000000002</v>
      </c>
    </row>
    <row r="2477" spans="1:10" x14ac:dyDescent="0.25">
      <c r="A2477">
        <v>44</v>
      </c>
      <c r="B2477" s="1">
        <v>40850</v>
      </c>
      <c r="C2477">
        <v>11</v>
      </c>
      <c r="D2477">
        <v>2011</v>
      </c>
      <c r="E2477" s="2">
        <v>284496.14</v>
      </c>
      <c r="F2477">
        <v>0</v>
      </c>
      <c r="G2477" s="3">
        <v>41.28</v>
      </c>
      <c r="H2477" s="2">
        <v>3.3460000000000001</v>
      </c>
      <c r="I2477">
        <v>128.39949999999999</v>
      </c>
      <c r="J2477" s="3">
        <v>7.2240000000000002</v>
      </c>
    </row>
    <row r="2478" spans="1:10" x14ac:dyDescent="0.25">
      <c r="A2478">
        <v>44</v>
      </c>
      <c r="B2478" s="1">
        <v>40547</v>
      </c>
      <c r="C2478">
        <v>1</v>
      </c>
      <c r="D2478">
        <v>2011</v>
      </c>
      <c r="E2478" s="2">
        <v>281514.26</v>
      </c>
      <c r="F2478">
        <v>0</v>
      </c>
      <c r="G2478" s="3">
        <v>42.49</v>
      </c>
      <c r="H2478" s="2">
        <v>3.4870000000000001</v>
      </c>
      <c r="I2478">
        <v>128.71993549999999</v>
      </c>
      <c r="J2478" s="3">
        <v>6.9059999999999997</v>
      </c>
    </row>
    <row r="2479" spans="1:10" x14ac:dyDescent="0.25">
      <c r="A2479">
        <v>44</v>
      </c>
      <c r="B2479" s="1">
        <v>40759</v>
      </c>
      <c r="C2479">
        <v>8</v>
      </c>
      <c r="D2479">
        <v>2011</v>
      </c>
      <c r="E2479" s="2">
        <v>292498.61</v>
      </c>
      <c r="F2479">
        <v>0</v>
      </c>
      <c r="G2479" s="3">
        <v>42.75</v>
      </c>
      <c r="H2479" s="2">
        <v>3.5470000000000002</v>
      </c>
      <c r="I2479">
        <v>128.82380649999999</v>
      </c>
      <c r="J2479" s="3">
        <v>6.9059999999999997</v>
      </c>
    </row>
    <row r="2480" spans="1:10" x14ac:dyDescent="0.25">
      <c r="A2480">
        <v>44</v>
      </c>
      <c r="B2480" s="1">
        <v>40699</v>
      </c>
      <c r="C2480">
        <v>6</v>
      </c>
      <c r="D2480">
        <v>2011</v>
      </c>
      <c r="E2480" s="2">
        <v>299354.67</v>
      </c>
      <c r="F2480">
        <v>0</v>
      </c>
      <c r="G2480" s="3">
        <v>47.75</v>
      </c>
      <c r="H2480" s="2">
        <v>3.7440000000000002</v>
      </c>
      <c r="I2480">
        <v>129.04443330000001</v>
      </c>
      <c r="J2480" s="3">
        <v>6.9059999999999997</v>
      </c>
    </row>
    <row r="2481" spans="1:10" x14ac:dyDescent="0.25">
      <c r="A2481">
        <v>44</v>
      </c>
      <c r="B2481" s="1">
        <v>40608</v>
      </c>
      <c r="C2481">
        <v>3</v>
      </c>
      <c r="D2481">
        <v>2011</v>
      </c>
      <c r="E2481" s="2">
        <v>308950.03999999998</v>
      </c>
      <c r="F2481">
        <v>0</v>
      </c>
      <c r="G2481" s="3">
        <v>52.76</v>
      </c>
      <c r="H2481" s="2">
        <v>3.7519999999999998</v>
      </c>
      <c r="I2481">
        <v>129.04903229999999</v>
      </c>
      <c r="J2481" s="3">
        <v>6.9059999999999997</v>
      </c>
    </row>
    <row r="2482" spans="1:10" x14ac:dyDescent="0.25">
      <c r="A2482">
        <v>44</v>
      </c>
      <c r="B2482" s="1">
        <v>40822</v>
      </c>
      <c r="C2482">
        <v>10</v>
      </c>
      <c r="D2482">
        <v>2011</v>
      </c>
      <c r="E2482" s="2">
        <v>308770.42</v>
      </c>
      <c r="F2482">
        <v>0</v>
      </c>
      <c r="G2482" s="3">
        <v>61.39</v>
      </c>
      <c r="H2482" s="2">
        <v>3.7320000000000002</v>
      </c>
      <c r="I2482">
        <v>129.03570970000001</v>
      </c>
      <c r="J2482" s="3">
        <v>6.9059999999999997</v>
      </c>
    </row>
    <row r="2483" spans="1:10" x14ac:dyDescent="0.25">
      <c r="A2483">
        <v>44</v>
      </c>
      <c r="B2483" s="1">
        <v>40550</v>
      </c>
      <c r="C2483">
        <v>1</v>
      </c>
      <c r="D2483">
        <v>2011</v>
      </c>
      <c r="E2483" s="2">
        <v>315273.08</v>
      </c>
      <c r="F2483">
        <v>0</v>
      </c>
      <c r="G2483" s="3">
        <v>74.290000000000006</v>
      </c>
      <c r="H2483" s="2">
        <v>3.613</v>
      </c>
      <c r="I2483">
        <v>129.08940000000001</v>
      </c>
      <c r="J2483" s="3">
        <v>6.56</v>
      </c>
    </row>
    <row r="2484" spans="1:10" x14ac:dyDescent="0.25">
      <c r="A2484">
        <v>44</v>
      </c>
      <c r="B2484" s="1">
        <v>40762</v>
      </c>
      <c r="C2484">
        <v>8</v>
      </c>
      <c r="D2484">
        <v>2011</v>
      </c>
      <c r="E2484" s="2">
        <v>295339.01</v>
      </c>
      <c r="F2484">
        <v>0</v>
      </c>
      <c r="G2484" s="3">
        <v>77.3</v>
      </c>
      <c r="H2484" s="2">
        <v>3.5630000000000002</v>
      </c>
      <c r="I2484">
        <v>129.11250000000001</v>
      </c>
      <c r="J2484" s="3">
        <v>6.56</v>
      </c>
    </row>
    <row r="2485" spans="1:10" x14ac:dyDescent="0.25">
      <c r="A2485">
        <v>44</v>
      </c>
      <c r="B2485" s="1">
        <v>40671</v>
      </c>
      <c r="C2485">
        <v>5</v>
      </c>
      <c r="D2485">
        <v>2011</v>
      </c>
      <c r="E2485" s="2">
        <v>298080.45</v>
      </c>
      <c r="F2485">
        <v>0</v>
      </c>
      <c r="G2485" s="3">
        <v>75.56</v>
      </c>
      <c r="H2485" s="2">
        <v>3.5950000000000002</v>
      </c>
      <c r="I2485">
        <v>129.18464520000001</v>
      </c>
      <c r="J2485" s="3">
        <v>6.56</v>
      </c>
    </row>
    <row r="2486" spans="1:10" x14ac:dyDescent="0.25">
      <c r="A2486">
        <v>44</v>
      </c>
      <c r="B2486" s="1">
        <v>40885</v>
      </c>
      <c r="C2486">
        <v>12</v>
      </c>
      <c r="D2486">
        <v>2011</v>
      </c>
      <c r="E2486" s="2">
        <v>290399.65999999997</v>
      </c>
      <c r="F2486">
        <v>0</v>
      </c>
      <c r="G2486" s="3">
        <v>75.95</v>
      </c>
      <c r="H2486" s="2">
        <v>3.6059999999999999</v>
      </c>
      <c r="I2486">
        <v>129.2015806</v>
      </c>
      <c r="J2486" s="3">
        <v>6.56</v>
      </c>
    </row>
    <row r="2487" spans="1:10" x14ac:dyDescent="0.25">
      <c r="A2487">
        <v>44</v>
      </c>
      <c r="B2487" s="1">
        <v>40583</v>
      </c>
      <c r="C2487">
        <v>2</v>
      </c>
      <c r="D2487">
        <v>2011</v>
      </c>
      <c r="E2487" s="2">
        <v>309543.52</v>
      </c>
      <c r="F2487">
        <v>0</v>
      </c>
      <c r="G2487" s="3">
        <v>77</v>
      </c>
      <c r="H2487" s="2">
        <v>3.58</v>
      </c>
      <c r="I2487">
        <v>129.32593550000001</v>
      </c>
      <c r="J2487" s="3">
        <v>6.56</v>
      </c>
    </row>
    <row r="2488" spans="1:10" x14ac:dyDescent="0.25">
      <c r="A2488">
        <v>44</v>
      </c>
      <c r="B2488" s="1">
        <v>40795</v>
      </c>
      <c r="C2488">
        <v>9</v>
      </c>
      <c r="D2488">
        <v>2011</v>
      </c>
      <c r="E2488" s="2">
        <v>295811.25</v>
      </c>
      <c r="F2488">
        <v>1</v>
      </c>
      <c r="G2488" s="3">
        <v>70.19</v>
      </c>
      <c r="H2488" s="2">
        <v>3.6190000000000002</v>
      </c>
      <c r="I2488">
        <v>129.36861289999999</v>
      </c>
      <c r="J2488" s="3">
        <v>6.56</v>
      </c>
    </row>
    <row r="2489" spans="1:10" x14ac:dyDescent="0.25">
      <c r="A2489">
        <v>44</v>
      </c>
      <c r="B2489" s="1">
        <v>40734</v>
      </c>
      <c r="C2489">
        <v>7</v>
      </c>
      <c r="D2489">
        <v>2011</v>
      </c>
      <c r="E2489" s="2">
        <v>312577.36</v>
      </c>
      <c r="F2489">
        <v>0</v>
      </c>
      <c r="G2489" s="3">
        <v>60.62</v>
      </c>
      <c r="H2489" s="2">
        <v>3.5920000000000001</v>
      </c>
      <c r="I2489">
        <v>129.69380000000001</v>
      </c>
      <c r="J2489" s="3">
        <v>6.0780000000000003</v>
      </c>
    </row>
    <row r="2490" spans="1:10" x14ac:dyDescent="0.25">
      <c r="A2490">
        <v>44</v>
      </c>
      <c r="B2490" s="1">
        <v>40644</v>
      </c>
      <c r="C2490">
        <v>4</v>
      </c>
      <c r="D2490">
        <v>2011</v>
      </c>
      <c r="E2490" s="2">
        <v>307126.34000000003</v>
      </c>
      <c r="F2490">
        <v>0</v>
      </c>
      <c r="G2490" s="3">
        <v>43.51</v>
      </c>
      <c r="H2490" s="2">
        <v>3.5379999999999998</v>
      </c>
      <c r="I2490">
        <v>129.8051935</v>
      </c>
      <c r="J2490" s="3">
        <v>6.0780000000000003</v>
      </c>
    </row>
    <row r="2491" spans="1:10" x14ac:dyDescent="0.25">
      <c r="A2491">
        <v>44</v>
      </c>
      <c r="B2491" s="1">
        <v>40858</v>
      </c>
      <c r="C2491">
        <v>11</v>
      </c>
      <c r="D2491">
        <v>2011</v>
      </c>
      <c r="E2491" s="2">
        <v>312233.56</v>
      </c>
      <c r="F2491">
        <v>0</v>
      </c>
      <c r="G2491" s="3">
        <v>33.799999999999997</v>
      </c>
      <c r="H2491" s="2">
        <v>3.5129999999999999</v>
      </c>
      <c r="I2491">
        <v>129.81670969999999</v>
      </c>
      <c r="J2491" s="3">
        <v>6.0780000000000003</v>
      </c>
    </row>
    <row r="2492" spans="1:10" x14ac:dyDescent="0.25">
      <c r="A2492">
        <v>44</v>
      </c>
      <c r="B2492" s="1">
        <v>40586</v>
      </c>
      <c r="C2492">
        <v>2</v>
      </c>
      <c r="D2492">
        <v>2011</v>
      </c>
      <c r="E2492" s="2">
        <v>284309.34000000003</v>
      </c>
      <c r="F2492">
        <v>0</v>
      </c>
      <c r="G2492" s="3">
        <v>33.94</v>
      </c>
      <c r="H2492" s="2">
        <v>3.3889999999999998</v>
      </c>
      <c r="I2492">
        <v>129.84596669999999</v>
      </c>
      <c r="J2492" s="3">
        <v>6.0780000000000003</v>
      </c>
    </row>
    <row r="2493" spans="1:10" x14ac:dyDescent="0.25">
      <c r="A2493">
        <v>44</v>
      </c>
      <c r="B2493" s="1">
        <v>40798</v>
      </c>
      <c r="C2493">
        <v>9</v>
      </c>
      <c r="D2493">
        <v>2011</v>
      </c>
      <c r="E2493" s="2">
        <v>304300.90999999997</v>
      </c>
      <c r="F2493">
        <v>0</v>
      </c>
      <c r="G2493" s="3">
        <v>24.82</v>
      </c>
      <c r="H2493" s="2">
        <v>3.3410000000000002</v>
      </c>
      <c r="I2493">
        <v>129.85553329999999</v>
      </c>
      <c r="J2493" s="3">
        <v>6.0780000000000003</v>
      </c>
    </row>
    <row r="2494" spans="1:10" x14ac:dyDescent="0.25">
      <c r="A2494">
        <v>44</v>
      </c>
      <c r="B2494" s="1">
        <v>41061</v>
      </c>
      <c r="C2494">
        <v>6</v>
      </c>
      <c r="D2494">
        <v>2012</v>
      </c>
      <c r="E2494" s="2">
        <v>325327.93</v>
      </c>
      <c r="F2494">
        <v>0</v>
      </c>
      <c r="G2494" s="3">
        <v>33.799999999999997</v>
      </c>
      <c r="H2494" s="2">
        <v>3.08</v>
      </c>
      <c r="I2494">
        <v>130.15751610000001</v>
      </c>
      <c r="J2494" s="3">
        <v>5.774</v>
      </c>
    </row>
    <row r="2495" spans="1:10" x14ac:dyDescent="0.25">
      <c r="A2495">
        <v>44</v>
      </c>
      <c r="B2495" s="1">
        <v>40970</v>
      </c>
      <c r="C2495">
        <v>3</v>
      </c>
      <c r="D2495">
        <v>2012</v>
      </c>
      <c r="E2495" s="2">
        <v>325986.05</v>
      </c>
      <c r="F2495">
        <v>0</v>
      </c>
      <c r="G2495" s="3">
        <v>31.39</v>
      </c>
      <c r="H2495" s="2">
        <v>3.077</v>
      </c>
      <c r="I2495">
        <v>130.34967739999999</v>
      </c>
      <c r="J2495" s="3">
        <v>5.774</v>
      </c>
    </row>
    <row r="2496" spans="1:10" x14ac:dyDescent="0.25">
      <c r="A2496">
        <v>44</v>
      </c>
      <c r="B2496" s="1">
        <v>41184</v>
      </c>
      <c r="C2496">
        <v>10</v>
      </c>
      <c r="D2496">
        <v>2012</v>
      </c>
      <c r="E2496" s="2">
        <v>325377.96999999997</v>
      </c>
      <c r="F2496">
        <v>1</v>
      </c>
      <c r="G2496" s="3">
        <v>33.729999999999997</v>
      </c>
      <c r="H2496" s="2">
        <v>3.1160000000000001</v>
      </c>
      <c r="I2496">
        <v>130.3849032</v>
      </c>
      <c r="J2496" s="3">
        <v>5.774</v>
      </c>
    </row>
    <row r="2497" spans="1:10" x14ac:dyDescent="0.25">
      <c r="A2497">
        <v>44</v>
      </c>
      <c r="B2497" s="1">
        <v>40942</v>
      </c>
      <c r="C2497">
        <v>2</v>
      </c>
      <c r="D2497">
        <v>2012</v>
      </c>
      <c r="E2497" s="2">
        <v>316687.21999999997</v>
      </c>
      <c r="F2497">
        <v>0</v>
      </c>
      <c r="G2497" s="3">
        <v>32.36</v>
      </c>
      <c r="H2497" s="2">
        <v>3.242</v>
      </c>
      <c r="I2497">
        <v>130.64579309999999</v>
      </c>
      <c r="J2497" s="3">
        <v>5.774</v>
      </c>
    </row>
    <row r="2498" spans="1:10" x14ac:dyDescent="0.25">
      <c r="A2498">
        <v>44</v>
      </c>
      <c r="B2498" s="1">
        <v>41155</v>
      </c>
      <c r="C2498">
        <v>9</v>
      </c>
      <c r="D2498">
        <v>2012</v>
      </c>
      <c r="E2498" s="2">
        <v>303438.24</v>
      </c>
      <c r="F2498">
        <v>0</v>
      </c>
      <c r="G2498" s="3">
        <v>38.24</v>
      </c>
      <c r="H2498" s="2">
        <v>3.38</v>
      </c>
      <c r="I2498">
        <v>130.74137930000001</v>
      </c>
      <c r="J2498" s="3">
        <v>5.774</v>
      </c>
    </row>
    <row r="2499" spans="1:10" x14ac:dyDescent="0.25">
      <c r="A2499">
        <v>44</v>
      </c>
      <c r="B2499" s="1">
        <v>41064</v>
      </c>
      <c r="C2499">
        <v>6</v>
      </c>
      <c r="D2499">
        <v>2012</v>
      </c>
      <c r="E2499" s="2">
        <v>320021.09999999998</v>
      </c>
      <c r="F2499">
        <v>0</v>
      </c>
      <c r="G2499" s="3">
        <v>48.85</v>
      </c>
      <c r="H2499" s="2">
        <v>3.7930000000000001</v>
      </c>
      <c r="I2499">
        <v>131.03754839999999</v>
      </c>
      <c r="J2499" s="3">
        <v>5.6210000000000004</v>
      </c>
    </row>
    <row r="2500" spans="1:10" x14ac:dyDescent="0.25">
      <c r="A2500">
        <v>44</v>
      </c>
      <c r="B2500" s="1">
        <v>41004</v>
      </c>
      <c r="C2500">
        <v>4</v>
      </c>
      <c r="D2500">
        <v>2012</v>
      </c>
      <c r="E2500" s="2">
        <v>326053.28000000003</v>
      </c>
      <c r="F2500">
        <v>0</v>
      </c>
      <c r="G2500" s="3">
        <v>54.41</v>
      </c>
      <c r="H2500" s="2">
        <v>3.831</v>
      </c>
      <c r="I2500">
        <v>131.136</v>
      </c>
      <c r="J2500" s="3">
        <v>5.6210000000000004</v>
      </c>
    </row>
    <row r="2501" spans="1:10" x14ac:dyDescent="0.25">
      <c r="A2501">
        <v>44</v>
      </c>
      <c r="B2501" s="1">
        <v>41218</v>
      </c>
      <c r="C2501">
        <v>11</v>
      </c>
      <c r="D2501">
        <v>2012</v>
      </c>
      <c r="E2501" s="2">
        <v>341381.08</v>
      </c>
      <c r="F2501">
        <v>0</v>
      </c>
      <c r="G2501" s="3">
        <v>56.47</v>
      </c>
      <c r="H2501" s="2">
        <v>3.8090000000000002</v>
      </c>
      <c r="I2501">
        <v>131.1453333</v>
      </c>
      <c r="J2501" s="3">
        <v>5.6210000000000004</v>
      </c>
    </row>
    <row r="2502" spans="1:10" x14ac:dyDescent="0.25">
      <c r="A2502">
        <v>44</v>
      </c>
      <c r="B2502" s="1">
        <v>40914</v>
      </c>
      <c r="C2502">
        <v>1</v>
      </c>
      <c r="D2502">
        <v>2012</v>
      </c>
      <c r="E2502" s="2">
        <v>323410.94</v>
      </c>
      <c r="F2502">
        <v>0</v>
      </c>
      <c r="G2502" s="3">
        <v>61.11</v>
      </c>
      <c r="H2502" s="2">
        <v>3.7879999999999998</v>
      </c>
      <c r="I2502">
        <v>130.95922580000001</v>
      </c>
      <c r="J2502" s="3">
        <v>5.6210000000000004</v>
      </c>
    </row>
    <row r="2503" spans="1:10" x14ac:dyDescent="0.25">
      <c r="A2503">
        <v>44</v>
      </c>
      <c r="B2503" s="1">
        <v>41127</v>
      </c>
      <c r="C2503">
        <v>8</v>
      </c>
      <c r="D2503">
        <v>2012</v>
      </c>
      <c r="E2503" s="2">
        <v>340238.38</v>
      </c>
      <c r="F2503">
        <v>0</v>
      </c>
      <c r="G2503" s="3">
        <v>68.400000000000006</v>
      </c>
      <c r="H2503" s="2">
        <v>3.7759999999999998</v>
      </c>
      <c r="I2503">
        <v>130.88967740000001</v>
      </c>
      <c r="J2503" s="3">
        <v>5.6210000000000004</v>
      </c>
    </row>
    <row r="2504" spans="1:10" x14ac:dyDescent="0.25">
      <c r="A2504">
        <v>44</v>
      </c>
      <c r="B2504" s="1">
        <v>41067</v>
      </c>
      <c r="C2504">
        <v>6</v>
      </c>
      <c r="D2504">
        <v>2012</v>
      </c>
      <c r="E2504" s="2">
        <v>358461.58</v>
      </c>
      <c r="F2504">
        <v>0</v>
      </c>
      <c r="G2504" s="3">
        <v>79.23</v>
      </c>
      <c r="H2504" s="2">
        <v>3.63</v>
      </c>
      <c r="I2504">
        <v>130.7196333</v>
      </c>
      <c r="J2504" s="3">
        <v>5.407</v>
      </c>
    </row>
    <row r="2505" spans="1:10" x14ac:dyDescent="0.25">
      <c r="A2505">
        <v>44</v>
      </c>
      <c r="B2505" s="1">
        <v>40976</v>
      </c>
      <c r="C2505">
        <v>3</v>
      </c>
      <c r="D2505">
        <v>2012</v>
      </c>
      <c r="E2505" s="2">
        <v>342385.38</v>
      </c>
      <c r="F2505">
        <v>0</v>
      </c>
      <c r="G2505" s="3">
        <v>81.99</v>
      </c>
      <c r="H2505" s="2">
        <v>3.512</v>
      </c>
      <c r="I2505">
        <v>130.73787100000001</v>
      </c>
      <c r="J2505" s="3">
        <v>5.407</v>
      </c>
    </row>
    <row r="2506" spans="1:10" x14ac:dyDescent="0.25">
      <c r="A2506">
        <v>44</v>
      </c>
      <c r="B2506" s="1">
        <v>41190</v>
      </c>
      <c r="C2506">
        <v>10</v>
      </c>
      <c r="D2506">
        <v>2012</v>
      </c>
      <c r="E2506" s="2">
        <v>333594.81</v>
      </c>
      <c r="F2506">
        <v>0</v>
      </c>
      <c r="G2506" s="3">
        <v>81.69</v>
      </c>
      <c r="H2506" s="2">
        <v>3.5089999999999999</v>
      </c>
      <c r="I2506">
        <v>130.7561613</v>
      </c>
      <c r="J2506" s="3">
        <v>5.407</v>
      </c>
    </row>
    <row r="2507" spans="1:10" x14ac:dyDescent="0.25">
      <c r="A2507">
        <v>44</v>
      </c>
      <c r="B2507" s="1">
        <v>41099</v>
      </c>
      <c r="C2507">
        <v>7</v>
      </c>
      <c r="D2507">
        <v>2012</v>
      </c>
      <c r="E2507" s="2">
        <v>338737.33</v>
      </c>
      <c r="F2507">
        <v>1</v>
      </c>
      <c r="G2507" s="3">
        <v>70.650000000000006</v>
      </c>
      <c r="H2507" s="2">
        <v>3.6890000000000001</v>
      </c>
      <c r="I2507">
        <v>130.9325484</v>
      </c>
      <c r="J2507" s="3">
        <v>5.407</v>
      </c>
    </row>
    <row r="2508" spans="1:10" x14ac:dyDescent="0.25">
      <c r="A2508">
        <v>44</v>
      </c>
      <c r="B2508" s="1">
        <v>41039</v>
      </c>
      <c r="C2508">
        <v>5</v>
      </c>
      <c r="D2508">
        <v>2012</v>
      </c>
      <c r="E2508" s="2">
        <v>337390.44</v>
      </c>
      <c r="F2508">
        <v>0</v>
      </c>
      <c r="G2508" s="3">
        <v>61.79</v>
      </c>
      <c r="H2508" s="2">
        <v>3.8149999999999999</v>
      </c>
      <c r="I2508">
        <v>131.0756667</v>
      </c>
      <c r="J2508" s="3">
        <v>5.2169999999999996</v>
      </c>
    </row>
    <row r="2509" spans="1:10" x14ac:dyDescent="0.25">
      <c r="A2509">
        <v>44</v>
      </c>
      <c r="B2509" s="1">
        <v>41253</v>
      </c>
      <c r="C2509">
        <v>12</v>
      </c>
      <c r="D2509">
        <v>2012</v>
      </c>
      <c r="E2509" s="2">
        <v>337796.13</v>
      </c>
      <c r="F2509">
        <v>0</v>
      </c>
      <c r="G2509" s="3">
        <v>55.1</v>
      </c>
      <c r="H2509" s="2">
        <v>3.7970000000000002</v>
      </c>
      <c r="I2509">
        <v>131.1083333</v>
      </c>
      <c r="J2509" s="3">
        <v>5.2169999999999996</v>
      </c>
    </row>
    <row r="2510" spans="1:10" x14ac:dyDescent="0.25">
      <c r="A2510">
        <v>45</v>
      </c>
      <c r="B2510" s="1">
        <v>40300</v>
      </c>
      <c r="C2510">
        <v>5</v>
      </c>
      <c r="D2510">
        <v>2010</v>
      </c>
      <c r="E2510" s="2">
        <v>890689.51</v>
      </c>
      <c r="F2510">
        <v>0</v>
      </c>
      <c r="G2510" s="3">
        <v>27.31</v>
      </c>
      <c r="H2510" s="2">
        <v>2.7839999999999998</v>
      </c>
      <c r="I2510">
        <v>181.8711898</v>
      </c>
      <c r="J2510" s="3">
        <v>8.9920000000000009</v>
      </c>
    </row>
    <row r="2511" spans="1:10" x14ac:dyDescent="0.25">
      <c r="A2511">
        <v>45</v>
      </c>
      <c r="B2511" s="1">
        <v>40514</v>
      </c>
      <c r="C2511">
        <v>12</v>
      </c>
      <c r="D2511">
        <v>2010</v>
      </c>
      <c r="E2511" s="2">
        <v>656988.64</v>
      </c>
      <c r="F2511">
        <v>1</v>
      </c>
      <c r="G2511" s="3">
        <v>27.73</v>
      </c>
      <c r="H2511" s="2">
        <v>2.7730000000000001</v>
      </c>
      <c r="I2511">
        <v>181.98231699999999</v>
      </c>
      <c r="J2511" s="3">
        <v>8.9920000000000009</v>
      </c>
    </row>
    <row r="2512" spans="1:10" x14ac:dyDescent="0.25">
      <c r="A2512">
        <v>45</v>
      </c>
      <c r="B2512" s="1">
        <v>40301</v>
      </c>
      <c r="C2512">
        <v>5</v>
      </c>
      <c r="D2512">
        <v>2010</v>
      </c>
      <c r="E2512" s="2">
        <v>777951.22</v>
      </c>
      <c r="F2512">
        <v>0</v>
      </c>
      <c r="G2512" s="3">
        <v>37.130000000000003</v>
      </c>
      <c r="H2512" s="2">
        <v>2.7770000000000001</v>
      </c>
      <c r="I2512">
        <v>182.1201566</v>
      </c>
      <c r="J2512" s="3">
        <v>8.9920000000000009</v>
      </c>
    </row>
    <row r="2513" spans="1:10" x14ac:dyDescent="0.25">
      <c r="A2513">
        <v>45</v>
      </c>
      <c r="B2513" s="1">
        <v>40515</v>
      </c>
      <c r="C2513">
        <v>12</v>
      </c>
      <c r="D2513">
        <v>2010</v>
      </c>
      <c r="E2513" s="2">
        <v>765687.42</v>
      </c>
      <c r="F2513">
        <v>0</v>
      </c>
      <c r="G2513" s="3">
        <v>45.8</v>
      </c>
      <c r="H2513" s="2">
        <v>2.8180000000000001</v>
      </c>
      <c r="I2513">
        <v>182.1628441</v>
      </c>
      <c r="J2513" s="3">
        <v>8.9920000000000009</v>
      </c>
    </row>
    <row r="2514" spans="1:10" x14ac:dyDescent="0.25">
      <c r="A2514">
        <v>45</v>
      </c>
      <c r="B2514" s="1">
        <v>40213</v>
      </c>
      <c r="C2514">
        <v>2</v>
      </c>
      <c r="D2514">
        <v>2010</v>
      </c>
      <c r="E2514" s="2">
        <v>877235.96</v>
      </c>
      <c r="F2514">
        <v>0</v>
      </c>
      <c r="G2514" s="3">
        <v>47.74</v>
      </c>
      <c r="H2514" s="2">
        <v>2.85</v>
      </c>
      <c r="I2514">
        <v>181.8657537</v>
      </c>
      <c r="J2514" s="3">
        <v>8.8989999999999991</v>
      </c>
    </row>
    <row r="2515" spans="1:10" x14ac:dyDescent="0.25">
      <c r="A2515">
        <v>45</v>
      </c>
      <c r="B2515" s="1">
        <v>40425</v>
      </c>
      <c r="C2515">
        <v>9</v>
      </c>
      <c r="D2515">
        <v>2010</v>
      </c>
      <c r="E2515" s="2">
        <v>833782.7</v>
      </c>
      <c r="F2515">
        <v>0</v>
      </c>
      <c r="G2515" s="3">
        <v>65.45</v>
      </c>
      <c r="H2515" s="2">
        <v>2.8690000000000002</v>
      </c>
      <c r="I2515">
        <v>181.75963770000001</v>
      </c>
      <c r="J2515" s="3">
        <v>8.8989999999999991</v>
      </c>
    </row>
    <row r="2516" spans="1:10" x14ac:dyDescent="0.25">
      <c r="A2516">
        <v>45</v>
      </c>
      <c r="B2516" s="1">
        <v>40364</v>
      </c>
      <c r="C2516">
        <v>7</v>
      </c>
      <c r="D2516">
        <v>2010</v>
      </c>
      <c r="E2516" s="2">
        <v>812190.76</v>
      </c>
      <c r="F2516">
        <v>0</v>
      </c>
      <c r="G2516" s="3">
        <v>70.75</v>
      </c>
      <c r="H2516" s="2">
        <v>2.9660000000000002</v>
      </c>
      <c r="I2516">
        <v>181.64681540000001</v>
      </c>
      <c r="J2516" s="3">
        <v>8.8989999999999991</v>
      </c>
    </row>
    <row r="2517" spans="1:10" x14ac:dyDescent="0.25">
      <c r="A2517">
        <v>45</v>
      </c>
      <c r="B2517" s="1">
        <v>40274</v>
      </c>
      <c r="C2517">
        <v>4</v>
      </c>
      <c r="D2517">
        <v>2010</v>
      </c>
      <c r="E2517" s="2">
        <v>837548.62</v>
      </c>
      <c r="F2517">
        <v>0</v>
      </c>
      <c r="G2517" s="3">
        <v>75.930000000000007</v>
      </c>
      <c r="H2517" s="2">
        <v>2.847</v>
      </c>
      <c r="I2517">
        <v>182.2389876</v>
      </c>
      <c r="J2517" s="3">
        <v>8.8989999999999991</v>
      </c>
    </row>
    <row r="2518" spans="1:10" x14ac:dyDescent="0.25">
      <c r="A2518">
        <v>45</v>
      </c>
      <c r="B2518" s="1">
        <v>40488</v>
      </c>
      <c r="C2518">
        <v>11</v>
      </c>
      <c r="D2518">
        <v>2010</v>
      </c>
      <c r="E2518" s="2">
        <v>794698.77</v>
      </c>
      <c r="F2518">
        <v>0</v>
      </c>
      <c r="G2518" s="3">
        <v>69.709999999999994</v>
      </c>
      <c r="H2518" s="2">
        <v>2.8090000000000002</v>
      </c>
      <c r="I2518">
        <v>182.43155709999999</v>
      </c>
      <c r="J2518" s="3">
        <v>8.8989999999999991</v>
      </c>
    </row>
    <row r="2519" spans="1:10" x14ac:dyDescent="0.25">
      <c r="A2519">
        <v>45</v>
      </c>
      <c r="B2519" s="1">
        <v>40216</v>
      </c>
      <c r="C2519">
        <v>2</v>
      </c>
      <c r="D2519">
        <v>2010</v>
      </c>
      <c r="E2519" s="2">
        <v>800147.84</v>
      </c>
      <c r="F2519">
        <v>0</v>
      </c>
      <c r="G2519" s="3">
        <v>76.61</v>
      </c>
      <c r="H2519" s="2">
        <v>2.8149999999999999</v>
      </c>
      <c r="I2519">
        <v>182.3187801</v>
      </c>
      <c r="J2519" s="3">
        <v>8.7430000000000003</v>
      </c>
    </row>
    <row r="2520" spans="1:10" x14ac:dyDescent="0.25">
      <c r="A2520">
        <v>45</v>
      </c>
      <c r="B2520" s="1">
        <v>40428</v>
      </c>
      <c r="C2520">
        <v>9</v>
      </c>
      <c r="D2520">
        <v>2010</v>
      </c>
      <c r="E2520" s="2">
        <v>787062</v>
      </c>
      <c r="F2520">
        <v>0</v>
      </c>
      <c r="G2520" s="3">
        <v>82.45</v>
      </c>
      <c r="H2520" s="2">
        <v>2.7930000000000001</v>
      </c>
      <c r="I2520">
        <v>182.2569603</v>
      </c>
      <c r="J2520" s="3">
        <v>8.7430000000000003</v>
      </c>
    </row>
    <row r="2521" spans="1:10" x14ac:dyDescent="0.25">
      <c r="A2521">
        <v>45</v>
      </c>
      <c r="B2521" s="1">
        <v>40337</v>
      </c>
      <c r="C2521">
        <v>6</v>
      </c>
      <c r="D2521">
        <v>2010</v>
      </c>
      <c r="E2521" s="2">
        <v>746517.32</v>
      </c>
      <c r="F2521">
        <v>0</v>
      </c>
      <c r="G2521" s="3">
        <v>77.17</v>
      </c>
      <c r="H2521" s="2">
        <v>2.7839999999999998</v>
      </c>
      <c r="I2521">
        <v>182.53208620000001</v>
      </c>
      <c r="J2521" s="3">
        <v>8.7430000000000003</v>
      </c>
    </row>
    <row r="2522" spans="1:10" x14ac:dyDescent="0.25">
      <c r="A2522">
        <v>45</v>
      </c>
      <c r="B2522" s="1">
        <v>40246</v>
      </c>
      <c r="C2522">
        <v>3</v>
      </c>
      <c r="D2522">
        <v>2010</v>
      </c>
      <c r="E2522" s="2">
        <v>790144.7</v>
      </c>
      <c r="F2522">
        <v>0</v>
      </c>
      <c r="G2522" s="3">
        <v>78.37</v>
      </c>
      <c r="H2522" s="2">
        <v>2.7149999999999999</v>
      </c>
      <c r="I2522">
        <v>182.6042922</v>
      </c>
      <c r="J2522" s="3">
        <v>8.7430000000000003</v>
      </c>
    </row>
    <row r="2523" spans="1:10" x14ac:dyDescent="0.25">
      <c r="A2523">
        <v>45</v>
      </c>
      <c r="B2523" s="1">
        <v>40460</v>
      </c>
      <c r="C2523">
        <v>10</v>
      </c>
      <c r="D2523">
        <v>2010</v>
      </c>
      <c r="E2523" s="2">
        <v>721460.22</v>
      </c>
      <c r="F2523">
        <v>1</v>
      </c>
      <c r="G2523" s="3">
        <v>70.87</v>
      </c>
      <c r="H2523" s="2">
        <v>2.6989999999999998</v>
      </c>
      <c r="I2523">
        <v>182.59817799999999</v>
      </c>
      <c r="J2523" s="3">
        <v>8.7430000000000003</v>
      </c>
    </row>
    <row r="2524" spans="1:10" x14ac:dyDescent="0.25">
      <c r="A2524">
        <v>45</v>
      </c>
      <c r="B2524" s="1">
        <v>40188</v>
      </c>
      <c r="C2524">
        <v>1</v>
      </c>
      <c r="D2524">
        <v>2010</v>
      </c>
      <c r="E2524" s="2">
        <v>690007.76</v>
      </c>
      <c r="F2524">
        <v>0</v>
      </c>
      <c r="G2524" s="3">
        <v>70.58</v>
      </c>
      <c r="H2524" s="2">
        <v>2.7069999999999999</v>
      </c>
      <c r="I2524">
        <v>182.71683849999999</v>
      </c>
      <c r="J2524" s="3">
        <v>8.7240000000000002</v>
      </c>
    </row>
    <row r="2525" spans="1:10" x14ac:dyDescent="0.25">
      <c r="A2525">
        <v>45</v>
      </c>
      <c r="B2525" s="1">
        <v>40400</v>
      </c>
      <c r="C2525">
        <v>8</v>
      </c>
      <c r="D2525">
        <v>2010</v>
      </c>
      <c r="E2525" s="2">
        <v>745782.1</v>
      </c>
      <c r="F2525">
        <v>0</v>
      </c>
      <c r="G2525" s="3">
        <v>56.49</v>
      </c>
      <c r="H2525" s="2">
        <v>2.7639999999999998</v>
      </c>
      <c r="I2525">
        <v>182.76400319999999</v>
      </c>
      <c r="J2525" s="3">
        <v>8.7240000000000002</v>
      </c>
    </row>
    <row r="2526" spans="1:10" x14ac:dyDescent="0.25">
      <c r="A2526">
        <v>45</v>
      </c>
      <c r="B2526" s="1">
        <v>40309</v>
      </c>
      <c r="C2526">
        <v>5</v>
      </c>
      <c r="D2526">
        <v>2010</v>
      </c>
      <c r="E2526" s="2">
        <v>764014.06</v>
      </c>
      <c r="F2526">
        <v>0</v>
      </c>
      <c r="G2526" s="3">
        <v>45.65</v>
      </c>
      <c r="H2526" s="2">
        <v>2.9169999999999998</v>
      </c>
      <c r="I2526">
        <v>182.9463648</v>
      </c>
      <c r="J2526" s="3">
        <v>8.7240000000000002</v>
      </c>
    </row>
    <row r="2527" spans="1:10" x14ac:dyDescent="0.25">
      <c r="A2527">
        <v>45</v>
      </c>
      <c r="B2527" s="1">
        <v>40523</v>
      </c>
      <c r="C2527">
        <v>12</v>
      </c>
      <c r="D2527">
        <v>2010</v>
      </c>
      <c r="E2527" s="2">
        <v>765648.93</v>
      </c>
      <c r="F2527">
        <v>0</v>
      </c>
      <c r="G2527" s="3">
        <v>46.14</v>
      </c>
      <c r="H2527" s="2">
        <v>2.931</v>
      </c>
      <c r="I2527">
        <v>182.99161290000001</v>
      </c>
      <c r="J2527" s="3">
        <v>8.7240000000000002</v>
      </c>
    </row>
    <row r="2528" spans="1:10" x14ac:dyDescent="0.25">
      <c r="A2528">
        <v>45</v>
      </c>
      <c r="B2528" s="1">
        <v>40249</v>
      </c>
      <c r="C2528">
        <v>3</v>
      </c>
      <c r="D2528">
        <v>2010</v>
      </c>
      <c r="E2528" s="2">
        <v>879244.9</v>
      </c>
      <c r="F2528">
        <v>0</v>
      </c>
      <c r="G2528" s="3">
        <v>40.93</v>
      </c>
      <c r="H2528" s="2">
        <v>3.0459999999999998</v>
      </c>
      <c r="I2528">
        <v>182.66761539999999</v>
      </c>
      <c r="J2528" s="3">
        <v>8.7240000000000002</v>
      </c>
    </row>
    <row r="2529" spans="1:10" x14ac:dyDescent="0.25">
      <c r="A2529">
        <v>45</v>
      </c>
      <c r="B2529" s="1">
        <v>40463</v>
      </c>
      <c r="C2529">
        <v>10</v>
      </c>
      <c r="D2529">
        <v>2010</v>
      </c>
      <c r="E2529" s="2">
        <v>1002364.34</v>
      </c>
      <c r="F2529">
        <v>0</v>
      </c>
      <c r="G2529" s="3">
        <v>30.54</v>
      </c>
      <c r="H2529" s="2">
        <v>3.109</v>
      </c>
      <c r="I2529">
        <v>182.55195380000001</v>
      </c>
      <c r="J2529" s="3">
        <v>8.7240000000000002</v>
      </c>
    </row>
    <row r="2530" spans="1:10" x14ac:dyDescent="0.25">
      <c r="A2530">
        <v>45</v>
      </c>
      <c r="B2530" s="1">
        <v>40725</v>
      </c>
      <c r="C2530">
        <v>7</v>
      </c>
      <c r="D2530">
        <v>2011</v>
      </c>
      <c r="E2530" s="2">
        <v>680254.35</v>
      </c>
      <c r="F2530">
        <v>0</v>
      </c>
      <c r="G2530" s="3">
        <v>34.32</v>
      </c>
      <c r="H2530" s="2">
        <v>3.1930000000000001</v>
      </c>
      <c r="I2530">
        <v>182.59830579999999</v>
      </c>
      <c r="J2530" s="3">
        <v>8.5489999999999995</v>
      </c>
    </row>
    <row r="2531" spans="1:10" x14ac:dyDescent="0.25">
      <c r="A2531">
        <v>45</v>
      </c>
      <c r="B2531" s="1">
        <v>40635</v>
      </c>
      <c r="C2531">
        <v>4</v>
      </c>
      <c r="D2531">
        <v>2011</v>
      </c>
      <c r="E2531" s="2">
        <v>759442.33</v>
      </c>
      <c r="F2531">
        <v>0</v>
      </c>
      <c r="G2531" s="3">
        <v>28.73</v>
      </c>
      <c r="H2531" s="2">
        <v>3.2309999999999999</v>
      </c>
      <c r="I2531">
        <v>183.44085419999999</v>
      </c>
      <c r="J2531" s="3">
        <v>8.5489999999999995</v>
      </c>
    </row>
    <row r="2532" spans="1:10" x14ac:dyDescent="0.25">
      <c r="A2532">
        <v>45</v>
      </c>
      <c r="B2532" s="1">
        <v>40849</v>
      </c>
      <c r="C2532">
        <v>11</v>
      </c>
      <c r="D2532">
        <v>2011</v>
      </c>
      <c r="E2532" s="2">
        <v>766456</v>
      </c>
      <c r="F2532">
        <v>1</v>
      </c>
      <c r="G2532" s="3">
        <v>30.3</v>
      </c>
      <c r="H2532" s="2">
        <v>3.2389999999999999</v>
      </c>
      <c r="I2532">
        <v>183.70161289999999</v>
      </c>
      <c r="J2532" s="3">
        <v>8.5489999999999995</v>
      </c>
    </row>
    <row r="2533" spans="1:10" x14ac:dyDescent="0.25">
      <c r="A2533">
        <v>45</v>
      </c>
      <c r="B2533" s="1">
        <v>40636</v>
      </c>
      <c r="C2533">
        <v>4</v>
      </c>
      <c r="D2533">
        <v>2011</v>
      </c>
      <c r="E2533" s="2">
        <v>761880.36</v>
      </c>
      <c r="F2533">
        <v>0</v>
      </c>
      <c r="G2533" s="3">
        <v>38.65</v>
      </c>
      <c r="H2533" s="2">
        <v>3.4329999999999998</v>
      </c>
      <c r="I2533">
        <v>184.38799109999999</v>
      </c>
      <c r="J2533" s="3">
        <v>8.5489999999999995</v>
      </c>
    </row>
    <row r="2534" spans="1:10" x14ac:dyDescent="0.25">
      <c r="A2534">
        <v>45</v>
      </c>
      <c r="B2534" s="1">
        <v>40850</v>
      </c>
      <c r="C2534">
        <v>11</v>
      </c>
      <c r="D2534">
        <v>2011</v>
      </c>
      <c r="E2534" s="2">
        <v>714014.73</v>
      </c>
      <c r="F2534">
        <v>0</v>
      </c>
      <c r="G2534" s="3">
        <v>45.01</v>
      </c>
      <c r="H2534" s="2">
        <v>3.5819999999999999</v>
      </c>
      <c r="I2534">
        <v>184.61341899999999</v>
      </c>
      <c r="J2534" s="3">
        <v>8.5489999999999995</v>
      </c>
    </row>
    <row r="2535" spans="1:10" x14ac:dyDescent="0.25">
      <c r="A2535">
        <v>45</v>
      </c>
      <c r="B2535" s="1">
        <v>40547</v>
      </c>
      <c r="C2535">
        <v>1</v>
      </c>
      <c r="D2535">
        <v>2011</v>
      </c>
      <c r="E2535" s="2">
        <v>712425.76</v>
      </c>
      <c r="F2535">
        <v>0</v>
      </c>
      <c r="G2535" s="3">
        <v>37.270000000000003</v>
      </c>
      <c r="H2535" s="2">
        <v>3.6379999999999999</v>
      </c>
      <c r="I2535">
        <v>185.17901670000001</v>
      </c>
      <c r="J2535" s="3">
        <v>8.5210000000000008</v>
      </c>
    </row>
    <row r="2536" spans="1:10" x14ac:dyDescent="0.25">
      <c r="A2536">
        <v>45</v>
      </c>
      <c r="B2536" s="1">
        <v>40759</v>
      </c>
      <c r="C2536">
        <v>8</v>
      </c>
      <c r="D2536">
        <v>2011</v>
      </c>
      <c r="E2536" s="2">
        <v>750182.71</v>
      </c>
      <c r="F2536">
        <v>0</v>
      </c>
      <c r="G2536" s="3">
        <v>48.71</v>
      </c>
      <c r="H2536" s="2">
        <v>3.72</v>
      </c>
      <c r="I2536">
        <v>185.36366559999999</v>
      </c>
      <c r="J2536" s="3">
        <v>8.5210000000000008</v>
      </c>
    </row>
    <row r="2537" spans="1:10" x14ac:dyDescent="0.25">
      <c r="A2537">
        <v>45</v>
      </c>
      <c r="B2537" s="1">
        <v>40699</v>
      </c>
      <c r="C2537">
        <v>6</v>
      </c>
      <c r="D2537">
        <v>2011</v>
      </c>
      <c r="E2537" s="2">
        <v>810150.64</v>
      </c>
      <c r="F2537">
        <v>0</v>
      </c>
      <c r="G2537" s="3">
        <v>58.21</v>
      </c>
      <c r="H2537" s="2">
        <v>4.0460000000000003</v>
      </c>
      <c r="I2537">
        <v>185.9374378</v>
      </c>
      <c r="J2537" s="3">
        <v>8.5210000000000008</v>
      </c>
    </row>
    <row r="2538" spans="1:10" x14ac:dyDescent="0.25">
      <c r="A2538">
        <v>45</v>
      </c>
      <c r="B2538" s="1">
        <v>40608</v>
      </c>
      <c r="C2538">
        <v>3</v>
      </c>
      <c r="D2538">
        <v>2011</v>
      </c>
      <c r="E2538" s="2">
        <v>877423.45</v>
      </c>
      <c r="F2538">
        <v>0</v>
      </c>
      <c r="G2538" s="3">
        <v>76.38</v>
      </c>
      <c r="H2538" s="2">
        <v>3.9220000000000002</v>
      </c>
      <c r="I2538">
        <v>185.75450000000001</v>
      </c>
      <c r="J2538" s="3">
        <v>8.5210000000000008</v>
      </c>
    </row>
    <row r="2539" spans="1:10" x14ac:dyDescent="0.25">
      <c r="A2539">
        <v>45</v>
      </c>
      <c r="B2539" s="1">
        <v>40822</v>
      </c>
      <c r="C2539">
        <v>10</v>
      </c>
      <c r="D2539">
        <v>2011</v>
      </c>
      <c r="E2539" s="2">
        <v>814395.17</v>
      </c>
      <c r="F2539">
        <v>0</v>
      </c>
      <c r="G2539" s="3">
        <v>73.88</v>
      </c>
      <c r="H2539" s="2">
        <v>3.8809999999999998</v>
      </c>
      <c r="I2539">
        <v>185.64869229999999</v>
      </c>
      <c r="J2539" s="3">
        <v>8.5210000000000008</v>
      </c>
    </row>
    <row r="2540" spans="1:10" x14ac:dyDescent="0.25">
      <c r="A2540">
        <v>45</v>
      </c>
      <c r="B2540" s="1">
        <v>40550</v>
      </c>
      <c r="C2540">
        <v>1</v>
      </c>
      <c r="D2540">
        <v>2011</v>
      </c>
      <c r="E2540" s="2">
        <v>791495.25</v>
      </c>
      <c r="F2540">
        <v>0</v>
      </c>
      <c r="G2540" s="3">
        <v>74.040000000000006</v>
      </c>
      <c r="H2540" s="2">
        <v>3.7480000000000002</v>
      </c>
      <c r="I2540">
        <v>185.91198850000001</v>
      </c>
      <c r="J2540" s="3">
        <v>8.625</v>
      </c>
    </row>
    <row r="2541" spans="1:10" x14ac:dyDescent="0.25">
      <c r="A2541">
        <v>45</v>
      </c>
      <c r="B2541" s="1">
        <v>40762</v>
      </c>
      <c r="C2541">
        <v>8</v>
      </c>
      <c r="D2541">
        <v>2011</v>
      </c>
      <c r="E2541" s="2">
        <v>768718.11</v>
      </c>
      <c r="F2541">
        <v>0</v>
      </c>
      <c r="G2541" s="3">
        <v>77.489999999999995</v>
      </c>
      <c r="H2541" s="2">
        <v>3.7109999999999999</v>
      </c>
      <c r="I2541">
        <v>186.032016</v>
      </c>
      <c r="J2541" s="3">
        <v>8.625</v>
      </c>
    </row>
    <row r="2542" spans="1:10" x14ac:dyDescent="0.25">
      <c r="A2542">
        <v>45</v>
      </c>
      <c r="B2542" s="1">
        <v>40671</v>
      </c>
      <c r="C2542">
        <v>5</v>
      </c>
      <c r="D2542">
        <v>2011</v>
      </c>
      <c r="E2542" s="2">
        <v>765996.92</v>
      </c>
      <c r="F2542">
        <v>0</v>
      </c>
      <c r="G2542" s="3">
        <v>78.22</v>
      </c>
      <c r="H2542" s="2">
        <v>3.8420000000000001</v>
      </c>
      <c r="I2542">
        <v>186.37340380000001</v>
      </c>
      <c r="J2542" s="3">
        <v>8.625</v>
      </c>
    </row>
    <row r="2543" spans="1:10" x14ac:dyDescent="0.25">
      <c r="A2543">
        <v>45</v>
      </c>
      <c r="B2543" s="1">
        <v>40885</v>
      </c>
      <c r="C2543">
        <v>12</v>
      </c>
      <c r="D2543">
        <v>2011</v>
      </c>
      <c r="E2543" s="2">
        <v>724180.89</v>
      </c>
      <c r="F2543">
        <v>0</v>
      </c>
      <c r="G2543" s="3">
        <v>77</v>
      </c>
      <c r="H2543" s="2">
        <v>3.8119999999999998</v>
      </c>
      <c r="I2543">
        <v>186.4512115</v>
      </c>
      <c r="J2543" s="3">
        <v>8.625</v>
      </c>
    </row>
    <row r="2544" spans="1:10" x14ac:dyDescent="0.25">
      <c r="A2544">
        <v>45</v>
      </c>
      <c r="B2544" s="1">
        <v>40583</v>
      </c>
      <c r="C2544">
        <v>2</v>
      </c>
      <c r="D2544">
        <v>2011</v>
      </c>
      <c r="E2544" s="2">
        <v>726482.39</v>
      </c>
      <c r="F2544">
        <v>0</v>
      </c>
      <c r="G2544" s="3">
        <v>70.63</v>
      </c>
      <c r="H2544" s="2">
        <v>3.7029999999999998</v>
      </c>
      <c r="I2544">
        <v>186.61892739999999</v>
      </c>
      <c r="J2544" s="3">
        <v>8.625</v>
      </c>
    </row>
    <row r="2545" spans="1:10" x14ac:dyDescent="0.25">
      <c r="A2545">
        <v>45</v>
      </c>
      <c r="B2545" s="1">
        <v>40795</v>
      </c>
      <c r="C2545">
        <v>9</v>
      </c>
      <c r="D2545">
        <v>2011</v>
      </c>
      <c r="E2545" s="2">
        <v>746129.56</v>
      </c>
      <c r="F2545">
        <v>1</v>
      </c>
      <c r="G2545" s="3">
        <v>71.48</v>
      </c>
      <c r="H2545" s="2">
        <v>3.738</v>
      </c>
      <c r="I2545">
        <v>186.67373760000001</v>
      </c>
      <c r="J2545" s="3">
        <v>8.625</v>
      </c>
    </row>
    <row r="2546" spans="1:10" x14ac:dyDescent="0.25">
      <c r="A2546">
        <v>45</v>
      </c>
      <c r="B2546" s="1">
        <v>40734</v>
      </c>
      <c r="C2546">
        <v>7</v>
      </c>
      <c r="D2546">
        <v>2011</v>
      </c>
      <c r="E2546" s="2">
        <v>753447.05</v>
      </c>
      <c r="F2546">
        <v>0</v>
      </c>
      <c r="G2546" s="3">
        <v>55.82</v>
      </c>
      <c r="H2546" s="2">
        <v>3.5830000000000002</v>
      </c>
      <c r="I2546">
        <v>187.4837962</v>
      </c>
      <c r="J2546" s="3">
        <v>8.5229999999999997</v>
      </c>
    </row>
    <row r="2547" spans="1:10" x14ac:dyDescent="0.25">
      <c r="A2547">
        <v>45</v>
      </c>
      <c r="B2547" s="1">
        <v>40644</v>
      </c>
      <c r="C2547">
        <v>4</v>
      </c>
      <c r="D2547">
        <v>2011</v>
      </c>
      <c r="E2547" s="2">
        <v>833429.22</v>
      </c>
      <c r="F2547">
        <v>0</v>
      </c>
      <c r="G2547" s="3">
        <v>43.92</v>
      </c>
      <c r="H2547" s="2">
        <v>3.5510000000000002</v>
      </c>
      <c r="I2547">
        <v>187.9703629</v>
      </c>
      <c r="J2547" s="3">
        <v>8.5229999999999997</v>
      </c>
    </row>
    <row r="2548" spans="1:10" x14ac:dyDescent="0.25">
      <c r="A2548">
        <v>45</v>
      </c>
      <c r="B2548" s="1">
        <v>40858</v>
      </c>
      <c r="C2548">
        <v>11</v>
      </c>
      <c r="D2548">
        <v>2011</v>
      </c>
      <c r="E2548" s="2">
        <v>808624.82</v>
      </c>
      <c r="F2548">
        <v>0</v>
      </c>
      <c r="G2548" s="3">
        <v>47.65</v>
      </c>
      <c r="H2548" s="2">
        <v>3.53</v>
      </c>
      <c r="I2548">
        <v>188.06323449999999</v>
      </c>
      <c r="J2548" s="3">
        <v>8.5229999999999997</v>
      </c>
    </row>
    <row r="2549" spans="1:10" x14ac:dyDescent="0.25">
      <c r="A2549">
        <v>45</v>
      </c>
      <c r="B2549" s="1">
        <v>40586</v>
      </c>
      <c r="C2549">
        <v>2</v>
      </c>
      <c r="D2549">
        <v>2011</v>
      </c>
      <c r="E2549" s="2">
        <v>875699.81</v>
      </c>
      <c r="F2549">
        <v>0</v>
      </c>
      <c r="G2549" s="3">
        <v>50.19</v>
      </c>
      <c r="H2549" s="2">
        <v>3.452</v>
      </c>
      <c r="I2549">
        <v>188.50243459999999</v>
      </c>
      <c r="J2549" s="3">
        <v>8.5229999999999997</v>
      </c>
    </row>
    <row r="2550" spans="1:10" x14ac:dyDescent="0.25">
      <c r="A2550">
        <v>45</v>
      </c>
      <c r="B2550" s="1">
        <v>40798</v>
      </c>
      <c r="C2550">
        <v>9</v>
      </c>
      <c r="D2550">
        <v>2011</v>
      </c>
      <c r="E2550" s="2">
        <v>957155.31</v>
      </c>
      <c r="F2550">
        <v>0</v>
      </c>
      <c r="G2550" s="3">
        <v>46.57</v>
      </c>
      <c r="H2550" s="2">
        <v>3.415</v>
      </c>
      <c r="I2550">
        <v>188.65446919999999</v>
      </c>
      <c r="J2550" s="3">
        <v>8.5229999999999997</v>
      </c>
    </row>
    <row r="2551" spans="1:10" x14ac:dyDescent="0.25">
      <c r="A2551">
        <v>45</v>
      </c>
      <c r="B2551" s="1">
        <v>41061</v>
      </c>
      <c r="C2551">
        <v>6</v>
      </c>
      <c r="D2551">
        <v>2012</v>
      </c>
      <c r="E2551" s="2">
        <v>714081.05</v>
      </c>
      <c r="F2551">
        <v>0</v>
      </c>
      <c r="G2551" s="3">
        <v>35.880000000000003</v>
      </c>
      <c r="H2551" s="2">
        <v>3.4220000000000002</v>
      </c>
      <c r="I2551">
        <v>189.1940558</v>
      </c>
      <c r="J2551" s="3">
        <v>8.4239999999999995</v>
      </c>
    </row>
    <row r="2552" spans="1:10" x14ac:dyDescent="0.25">
      <c r="A2552">
        <v>45</v>
      </c>
      <c r="B2552" s="1">
        <v>40970</v>
      </c>
      <c r="C2552">
        <v>3</v>
      </c>
      <c r="D2552">
        <v>2012</v>
      </c>
      <c r="E2552" s="2">
        <v>757330.95</v>
      </c>
      <c r="F2552">
        <v>0</v>
      </c>
      <c r="G2552" s="3">
        <v>42.96</v>
      </c>
      <c r="H2552" s="2">
        <v>3.617</v>
      </c>
      <c r="I2552">
        <v>189.61222770000001</v>
      </c>
      <c r="J2552" s="3">
        <v>8.4239999999999995</v>
      </c>
    </row>
    <row r="2553" spans="1:10" x14ac:dyDescent="0.25">
      <c r="A2553">
        <v>45</v>
      </c>
      <c r="B2553" s="1">
        <v>41184</v>
      </c>
      <c r="C2553">
        <v>10</v>
      </c>
      <c r="D2553">
        <v>2012</v>
      </c>
      <c r="E2553" s="2">
        <v>803657.12</v>
      </c>
      <c r="F2553">
        <v>1</v>
      </c>
      <c r="G2553" s="3">
        <v>37</v>
      </c>
      <c r="H2553" s="2">
        <v>3.64</v>
      </c>
      <c r="I2553">
        <v>189.70760480000001</v>
      </c>
      <c r="J2553" s="3">
        <v>8.4239999999999995</v>
      </c>
    </row>
    <row r="2554" spans="1:10" x14ac:dyDescent="0.25">
      <c r="A2554">
        <v>45</v>
      </c>
      <c r="B2554" s="1">
        <v>40942</v>
      </c>
      <c r="C2554">
        <v>2</v>
      </c>
      <c r="D2554">
        <v>2012</v>
      </c>
      <c r="E2554" s="2">
        <v>782796.01</v>
      </c>
      <c r="F2554">
        <v>0</v>
      </c>
      <c r="G2554" s="3">
        <v>41.55</v>
      </c>
      <c r="H2554" s="2">
        <v>3.8159999999999998</v>
      </c>
      <c r="I2554">
        <v>190.17149269999999</v>
      </c>
      <c r="J2554" s="3">
        <v>8.4239999999999995</v>
      </c>
    </row>
    <row r="2555" spans="1:10" x14ac:dyDescent="0.25">
      <c r="A2555">
        <v>45</v>
      </c>
      <c r="B2555" s="1">
        <v>41155</v>
      </c>
      <c r="C2555">
        <v>9</v>
      </c>
      <c r="D2555">
        <v>2012</v>
      </c>
      <c r="E2555" s="2">
        <v>776968.87</v>
      </c>
      <c r="F2555">
        <v>0</v>
      </c>
      <c r="G2555" s="3">
        <v>45.52</v>
      </c>
      <c r="H2555" s="2">
        <v>3.8479999999999999</v>
      </c>
      <c r="I2555">
        <v>190.3359973</v>
      </c>
      <c r="J2555" s="3">
        <v>8.4239999999999995</v>
      </c>
    </row>
    <row r="2556" spans="1:10" x14ac:dyDescent="0.25">
      <c r="A2556">
        <v>45</v>
      </c>
      <c r="B2556" s="1">
        <v>41064</v>
      </c>
      <c r="C2556">
        <v>6</v>
      </c>
      <c r="D2556">
        <v>2012</v>
      </c>
      <c r="E2556" s="2">
        <v>899479.43</v>
      </c>
      <c r="F2556">
        <v>0</v>
      </c>
      <c r="G2556" s="3">
        <v>49.73</v>
      </c>
      <c r="H2556" s="2">
        <v>3.996</v>
      </c>
      <c r="I2556">
        <v>190.68517120000001</v>
      </c>
      <c r="J2556" s="3">
        <v>8.5670000000000002</v>
      </c>
    </row>
    <row r="2557" spans="1:10" x14ac:dyDescent="0.25">
      <c r="A2557">
        <v>45</v>
      </c>
      <c r="B2557" s="1">
        <v>41004</v>
      </c>
      <c r="C2557">
        <v>4</v>
      </c>
      <c r="D2557">
        <v>2012</v>
      </c>
      <c r="E2557" s="2">
        <v>782300.68</v>
      </c>
      <c r="F2557">
        <v>0</v>
      </c>
      <c r="G2557" s="3">
        <v>55.21</v>
      </c>
      <c r="H2557" s="2">
        <v>3.9510000000000001</v>
      </c>
      <c r="I2557">
        <v>190.9222115</v>
      </c>
      <c r="J2557" s="3">
        <v>8.5670000000000002</v>
      </c>
    </row>
    <row r="2558" spans="1:10" x14ac:dyDescent="0.25">
      <c r="A2558">
        <v>45</v>
      </c>
      <c r="B2558" s="1">
        <v>41218</v>
      </c>
      <c r="C2558">
        <v>11</v>
      </c>
      <c r="D2558">
        <v>2012</v>
      </c>
      <c r="E2558" s="2">
        <v>770487.37</v>
      </c>
      <c r="F2558">
        <v>0</v>
      </c>
      <c r="G2558" s="3">
        <v>61.24</v>
      </c>
      <c r="H2558" s="2">
        <v>3.8889999999999998</v>
      </c>
      <c r="I2558">
        <v>190.97641669999999</v>
      </c>
      <c r="J2558" s="3">
        <v>8.5670000000000002</v>
      </c>
    </row>
    <row r="2559" spans="1:10" x14ac:dyDescent="0.25">
      <c r="A2559">
        <v>45</v>
      </c>
      <c r="B2559" s="1">
        <v>40914</v>
      </c>
      <c r="C2559">
        <v>1</v>
      </c>
      <c r="D2559">
        <v>2012</v>
      </c>
      <c r="E2559" s="2">
        <v>837144.63</v>
      </c>
      <c r="F2559">
        <v>0</v>
      </c>
      <c r="G2559" s="3">
        <v>74.48</v>
      </c>
      <c r="H2559" s="2">
        <v>3.742</v>
      </c>
      <c r="I2559">
        <v>191.0091712</v>
      </c>
      <c r="J2559" s="3">
        <v>8.5670000000000002</v>
      </c>
    </row>
    <row r="2560" spans="1:10" x14ac:dyDescent="0.25">
      <c r="A2560">
        <v>45</v>
      </c>
      <c r="B2560" s="1">
        <v>41127</v>
      </c>
      <c r="C2560">
        <v>8</v>
      </c>
      <c r="D2560">
        <v>2012</v>
      </c>
      <c r="E2560" s="2">
        <v>795133</v>
      </c>
      <c r="F2560">
        <v>0</v>
      </c>
      <c r="G2560" s="3">
        <v>64.3</v>
      </c>
      <c r="H2560" s="2">
        <v>3.6890000000000001</v>
      </c>
      <c r="I2560">
        <v>191.01553290000001</v>
      </c>
      <c r="J2560" s="3">
        <v>8.5670000000000002</v>
      </c>
    </row>
    <row r="2561" spans="1:10" x14ac:dyDescent="0.25">
      <c r="A2561">
        <v>45</v>
      </c>
      <c r="B2561" s="1">
        <v>41067</v>
      </c>
      <c r="C2561">
        <v>6</v>
      </c>
      <c r="D2561">
        <v>2012</v>
      </c>
      <c r="E2561" s="2">
        <v>843361.1</v>
      </c>
      <c r="F2561">
        <v>0</v>
      </c>
      <c r="G2561" s="3">
        <v>82.99</v>
      </c>
      <c r="H2561" s="2">
        <v>3.4750000000000001</v>
      </c>
      <c r="I2561">
        <v>191.13388269999999</v>
      </c>
      <c r="J2561" s="3">
        <v>8.6839999999999993</v>
      </c>
    </row>
    <row r="2562" spans="1:10" x14ac:dyDescent="0.25">
      <c r="A2562">
        <v>45</v>
      </c>
      <c r="B2562" s="1">
        <v>40976</v>
      </c>
      <c r="C2562">
        <v>3</v>
      </c>
      <c r="D2562">
        <v>2012</v>
      </c>
      <c r="E2562" s="2">
        <v>725729.51</v>
      </c>
      <c r="F2562">
        <v>0</v>
      </c>
      <c r="G2562" s="3">
        <v>76.58</v>
      </c>
      <c r="H2562" s="2">
        <v>3.6539999999999999</v>
      </c>
      <c r="I2562">
        <v>191.16408999999999</v>
      </c>
      <c r="J2562" s="3">
        <v>8.6839999999999993</v>
      </c>
    </row>
    <row r="2563" spans="1:10" x14ac:dyDescent="0.25">
      <c r="A2563">
        <v>45</v>
      </c>
      <c r="B2563" s="1">
        <v>41190</v>
      </c>
      <c r="C2563">
        <v>10</v>
      </c>
      <c r="D2563">
        <v>2012</v>
      </c>
      <c r="E2563" s="2">
        <v>733037.32</v>
      </c>
      <c r="F2563">
        <v>0</v>
      </c>
      <c r="G2563" s="3">
        <v>78.650000000000006</v>
      </c>
      <c r="H2563" s="2">
        <v>3.722</v>
      </c>
      <c r="I2563">
        <v>191.16261349999999</v>
      </c>
      <c r="J2563" s="3">
        <v>8.6839999999999993</v>
      </c>
    </row>
    <row r="2564" spans="1:10" x14ac:dyDescent="0.25">
      <c r="A2564">
        <v>45</v>
      </c>
      <c r="B2564" s="1">
        <v>41099</v>
      </c>
      <c r="C2564">
        <v>7</v>
      </c>
      <c r="D2564">
        <v>2012</v>
      </c>
      <c r="E2564" s="2">
        <v>766512.66</v>
      </c>
      <c r="F2564">
        <v>1</v>
      </c>
      <c r="G2564" s="3">
        <v>75.7</v>
      </c>
      <c r="H2564" s="2">
        <v>3.911</v>
      </c>
      <c r="I2564">
        <v>191.57767559999999</v>
      </c>
      <c r="J2564" s="3">
        <v>8.6839999999999993</v>
      </c>
    </row>
    <row r="2565" spans="1:10" x14ac:dyDescent="0.25">
      <c r="A2565">
        <v>45</v>
      </c>
      <c r="B2565" s="1">
        <v>41039</v>
      </c>
      <c r="C2565">
        <v>5</v>
      </c>
      <c r="D2565">
        <v>2012</v>
      </c>
      <c r="E2565" s="2">
        <v>733455.07</v>
      </c>
      <c r="F2565">
        <v>0</v>
      </c>
      <c r="G2565" s="3">
        <v>64.89</v>
      </c>
      <c r="H2565" s="2">
        <v>3.9849999999999999</v>
      </c>
      <c r="I2565">
        <v>192.1704115</v>
      </c>
      <c r="J2565" s="3">
        <v>8.6669999999999998</v>
      </c>
    </row>
    <row r="2566" spans="1:10" x14ac:dyDescent="0.25">
      <c r="A2566">
        <v>45</v>
      </c>
      <c r="B2566" s="1">
        <v>41253</v>
      </c>
      <c r="C2566">
        <v>12</v>
      </c>
      <c r="D2566">
        <v>2012</v>
      </c>
      <c r="E2566" s="2">
        <v>734464.36</v>
      </c>
      <c r="F2566">
        <v>0</v>
      </c>
      <c r="G2566" s="3">
        <v>54.47</v>
      </c>
      <c r="H2566" s="2">
        <v>4</v>
      </c>
      <c r="I2566">
        <v>192.32726539999999</v>
      </c>
      <c r="J2566" s="3">
        <v>8.6669999999999998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7CB0-4DBD-45F0-9F67-F13D1340617E}">
  <dimension ref="A1"/>
  <sheetViews>
    <sheetView showGridLines="0" tabSelected="1" topLeftCell="A4" workbookViewId="0">
      <selection activeCell="T13" sqref="T13"/>
    </sheetView>
  </sheetViews>
  <sheetFormatPr defaultRowHeight="15" x14ac:dyDescent="0.25"/>
  <sheetData/>
  <sheetProtection algorithmName="SHA-512" hashValue="6wia4u3LFE1VmSgIE8R6b37aYtBsk1jIYNh6B56PGYk0zE3+6N3zTPXbx2VPzgdmeJzslcSl++1o5k70Yhd6cA==" saltValue="IfkeiRNo5vwSpoG1TXeZ2g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4278-BF1B-4CA5-91EB-9B777BDD8A84}">
  <dimension ref="A1:Z75"/>
  <sheetViews>
    <sheetView workbookViewId="0">
      <selection activeCell="I1" sqref="I1:J2"/>
    </sheetView>
  </sheetViews>
  <sheetFormatPr defaultRowHeight="15" x14ac:dyDescent="0.25"/>
  <cols>
    <col min="1" max="1" width="22" style="5" bestFit="1" customWidth="1"/>
    <col min="2" max="2" width="22" style="4" bestFit="1" customWidth="1"/>
    <col min="3" max="5" width="9.140625" style="5"/>
    <col min="6" max="6" width="16.7109375" style="5" bestFit="1" customWidth="1"/>
    <col min="7" max="7" width="24.5703125" style="5" bestFit="1" customWidth="1"/>
    <col min="8" max="8" width="37.28515625" style="5" bestFit="1" customWidth="1"/>
    <col min="9" max="9" width="37.5703125" style="5" bestFit="1" customWidth="1"/>
    <col min="10" max="10" width="38" style="5" bestFit="1" customWidth="1"/>
    <col min="11" max="26" width="9.140625" style="5"/>
  </cols>
  <sheetData>
    <row r="1" spans="1:10" x14ac:dyDescent="0.25">
      <c r="A1" s="4" t="s">
        <v>12</v>
      </c>
      <c r="B1" s="5"/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4">
        <v>2718571558.0100012</v>
      </c>
      <c r="B2" s="5"/>
      <c r="F2" s="9">
        <v>2565</v>
      </c>
      <c r="G2" s="10">
        <v>1059871.9524405464</v>
      </c>
      <c r="H2" s="10">
        <v>2752122.08</v>
      </c>
      <c r="I2" s="4">
        <v>209986.25</v>
      </c>
      <c r="J2" s="12">
        <v>557274.44003353699</v>
      </c>
    </row>
    <row r="3" spans="1:10" x14ac:dyDescent="0.25">
      <c r="B3" s="5"/>
    </row>
    <row r="4" spans="1:10" x14ac:dyDescent="0.25">
      <c r="B4" s="5"/>
    </row>
    <row r="5" spans="1:10" x14ac:dyDescent="0.25">
      <c r="B5" s="5"/>
    </row>
    <row r="6" spans="1:10" x14ac:dyDescent="0.25">
      <c r="A6" s="6" t="s">
        <v>14</v>
      </c>
      <c r="B6" s="5" t="s">
        <v>12</v>
      </c>
    </row>
    <row r="7" spans="1:10" x14ac:dyDescent="0.25">
      <c r="A7" s="5">
        <v>2010</v>
      </c>
      <c r="B7" s="4">
        <v>957867839.53000093</v>
      </c>
    </row>
    <row r="8" spans="1:10" x14ac:dyDescent="0.25">
      <c r="A8" s="5">
        <v>2011</v>
      </c>
      <c r="B8" s="4">
        <v>991658991.79999995</v>
      </c>
    </row>
    <row r="9" spans="1:10" x14ac:dyDescent="0.25">
      <c r="A9" s="5">
        <v>2012</v>
      </c>
      <c r="B9" s="4">
        <v>769044726.67999995</v>
      </c>
    </row>
    <row r="10" spans="1:10" x14ac:dyDescent="0.25">
      <c r="A10" s="5" t="s">
        <v>11</v>
      </c>
      <c r="B10" s="4">
        <v>2718571558.0100007</v>
      </c>
    </row>
    <row r="11" spans="1:10" x14ac:dyDescent="0.25">
      <c r="A11"/>
      <c r="B11"/>
    </row>
    <row r="12" spans="1:10" x14ac:dyDescent="0.25">
      <c r="A12" s="6" t="s">
        <v>13</v>
      </c>
      <c r="B12" s="5" t="s">
        <v>12</v>
      </c>
      <c r="C12"/>
    </row>
    <row r="13" spans="1:10" x14ac:dyDescent="0.25">
      <c r="A13" s="5">
        <v>1</v>
      </c>
      <c r="B13" s="4">
        <v>181559036.28000015</v>
      </c>
      <c r="C13"/>
    </row>
    <row r="14" spans="1:10" x14ac:dyDescent="0.25">
      <c r="A14" s="5">
        <v>2</v>
      </c>
      <c r="B14" s="4">
        <v>240969530.48999986</v>
      </c>
      <c r="C14"/>
    </row>
    <row r="15" spans="1:10" x14ac:dyDescent="0.25">
      <c r="A15" s="5">
        <v>3</v>
      </c>
      <c r="B15" s="4">
        <v>239446787.31999996</v>
      </c>
      <c r="C15"/>
    </row>
    <row r="16" spans="1:10" x14ac:dyDescent="0.25">
      <c r="A16" s="5">
        <v>4</v>
      </c>
      <c r="B16" s="4">
        <v>239102000.21000001</v>
      </c>
      <c r="C16"/>
    </row>
    <row r="17" spans="1:3" x14ac:dyDescent="0.25">
      <c r="A17" s="5">
        <v>5</v>
      </c>
      <c r="B17" s="4">
        <v>237986298.96999991</v>
      </c>
      <c r="C17"/>
    </row>
    <row r="18" spans="1:3" x14ac:dyDescent="0.25">
      <c r="A18" s="5">
        <v>6</v>
      </c>
      <c r="B18" s="4">
        <v>244777717.1100001</v>
      </c>
      <c r="C18"/>
    </row>
    <row r="19" spans="1:3" x14ac:dyDescent="0.25">
      <c r="A19" s="5">
        <v>7</v>
      </c>
      <c r="B19" s="4">
        <v>186820778.95999998</v>
      </c>
      <c r="C19"/>
    </row>
    <row r="20" spans="1:3" x14ac:dyDescent="0.25">
      <c r="A20" s="5">
        <v>8</v>
      </c>
      <c r="B20" s="4">
        <v>188500876.59000003</v>
      </c>
      <c r="C20"/>
    </row>
    <row r="21" spans="1:3" x14ac:dyDescent="0.25">
      <c r="A21" s="5">
        <v>9</v>
      </c>
      <c r="B21" s="4">
        <v>245069649.15000004</v>
      </c>
      <c r="C21"/>
    </row>
    <row r="22" spans="1:3" x14ac:dyDescent="0.25">
      <c r="A22" s="5">
        <v>10</v>
      </c>
      <c r="B22" s="4">
        <v>246383761.85000005</v>
      </c>
      <c r="C22"/>
    </row>
    <row r="23" spans="1:3" x14ac:dyDescent="0.25">
      <c r="A23" s="5">
        <v>11</v>
      </c>
      <c r="B23" s="4">
        <v>235190162.64999986</v>
      </c>
      <c r="C23"/>
    </row>
    <row r="24" spans="1:3" x14ac:dyDescent="0.25">
      <c r="A24" s="5">
        <v>12</v>
      </c>
      <c r="B24" s="4">
        <v>232764958.4299998</v>
      </c>
      <c r="C24"/>
    </row>
    <row r="25" spans="1:3" x14ac:dyDescent="0.25">
      <c r="A25" s="5" t="s">
        <v>11</v>
      </c>
      <c r="B25" s="4">
        <v>2718571558.0099998</v>
      </c>
      <c r="C25"/>
    </row>
    <row r="26" spans="1:3" x14ac:dyDescent="0.25">
      <c r="B26" s="5"/>
      <c r="C26"/>
    </row>
    <row r="27" spans="1:3" x14ac:dyDescent="0.25">
      <c r="B27" s="5"/>
      <c r="C27"/>
    </row>
    <row r="28" spans="1:3" x14ac:dyDescent="0.25">
      <c r="A28" s="6" t="s">
        <v>15</v>
      </c>
      <c r="B28" s="7" t="s">
        <v>12</v>
      </c>
      <c r="C28"/>
    </row>
    <row r="29" spans="1:3" x14ac:dyDescent="0.25">
      <c r="A29" s="5">
        <v>1</v>
      </c>
      <c r="B29" s="11">
        <v>91305173.030000016</v>
      </c>
      <c r="C29"/>
    </row>
    <row r="30" spans="1:3" x14ac:dyDescent="0.25">
      <c r="A30" s="5">
        <v>2</v>
      </c>
      <c r="B30" s="11">
        <v>111261408.29000002</v>
      </c>
      <c r="C30"/>
    </row>
    <row r="31" spans="1:3" x14ac:dyDescent="0.25">
      <c r="A31" s="5">
        <v>3</v>
      </c>
      <c r="B31" s="11">
        <v>23548991.5</v>
      </c>
      <c r="C31"/>
    </row>
    <row r="32" spans="1:3" x14ac:dyDescent="0.25">
      <c r="A32" s="5">
        <v>4</v>
      </c>
      <c r="B32" s="11">
        <v>119047758.56999999</v>
      </c>
      <c r="C32"/>
    </row>
    <row r="33" spans="1:3" x14ac:dyDescent="0.25">
      <c r="A33" s="5">
        <v>5</v>
      </c>
      <c r="B33" s="11">
        <v>18493210.620000001</v>
      </c>
      <c r="C33"/>
    </row>
    <row r="34" spans="1:3" x14ac:dyDescent="0.25">
      <c r="A34" s="5">
        <v>6</v>
      </c>
      <c r="B34" s="11">
        <v>90568529.220000044</v>
      </c>
      <c r="C34"/>
    </row>
    <row r="35" spans="1:3" x14ac:dyDescent="0.25">
      <c r="A35" s="5">
        <v>7</v>
      </c>
      <c r="B35" s="11">
        <v>32341729.079999994</v>
      </c>
      <c r="C35"/>
    </row>
    <row r="36" spans="1:3" x14ac:dyDescent="0.25">
      <c r="A36" s="5">
        <v>8</v>
      </c>
      <c r="B36" s="11">
        <v>52619595.950000003</v>
      </c>
      <c r="C36"/>
    </row>
    <row r="37" spans="1:3" x14ac:dyDescent="0.25">
      <c r="A37" s="5">
        <v>9</v>
      </c>
      <c r="B37" s="4">
        <v>31487839.230000004</v>
      </c>
      <c r="C37"/>
    </row>
    <row r="38" spans="1:3" x14ac:dyDescent="0.25">
      <c r="A38" s="5">
        <v>10</v>
      </c>
      <c r="B38" s="4">
        <v>108599830.23</v>
      </c>
      <c r="C38"/>
    </row>
    <row r="39" spans="1:3" x14ac:dyDescent="0.25">
      <c r="A39" s="5">
        <v>11</v>
      </c>
      <c r="B39" s="4">
        <v>78231038.799999997</v>
      </c>
      <c r="C39"/>
    </row>
    <row r="40" spans="1:3" x14ac:dyDescent="0.25">
      <c r="A40" s="5">
        <v>12</v>
      </c>
      <c r="B40" s="4">
        <v>58024045.580000006</v>
      </c>
      <c r="C40"/>
    </row>
    <row r="41" spans="1:3" x14ac:dyDescent="0.25">
      <c r="A41" s="5">
        <v>13</v>
      </c>
      <c r="B41" s="4">
        <v>113895600.75000001</v>
      </c>
      <c r="C41"/>
    </row>
    <row r="42" spans="1:3" x14ac:dyDescent="0.25">
      <c r="A42" s="5">
        <v>14</v>
      </c>
      <c r="B42" s="4">
        <v>118285799.76999997</v>
      </c>
      <c r="C42"/>
    </row>
    <row r="43" spans="1:3" x14ac:dyDescent="0.25">
      <c r="A43" s="5">
        <v>15</v>
      </c>
      <c r="B43" s="4">
        <v>35503840.100000009</v>
      </c>
      <c r="C43"/>
    </row>
    <row r="44" spans="1:3" x14ac:dyDescent="0.25">
      <c r="A44" s="5">
        <v>16</v>
      </c>
      <c r="B44" s="4">
        <v>29374670.950000003</v>
      </c>
      <c r="C44"/>
    </row>
    <row r="45" spans="1:3" x14ac:dyDescent="0.25">
      <c r="A45" s="5">
        <v>17</v>
      </c>
      <c r="B45" s="4">
        <v>51347414.190000005</v>
      </c>
      <c r="C45"/>
    </row>
    <row r="46" spans="1:3" x14ac:dyDescent="0.25">
      <c r="A46" s="5">
        <v>18</v>
      </c>
      <c r="B46" s="4">
        <v>62482538.569999993</v>
      </c>
    </row>
    <row r="47" spans="1:3" x14ac:dyDescent="0.25">
      <c r="A47" s="5">
        <v>19</v>
      </c>
      <c r="B47" s="4">
        <v>83715436.999999985</v>
      </c>
    </row>
    <row r="48" spans="1:3" x14ac:dyDescent="0.25">
      <c r="A48" s="5">
        <v>20</v>
      </c>
      <c r="B48" s="4">
        <v>123654115.52000001</v>
      </c>
    </row>
    <row r="49" spans="1:2" x14ac:dyDescent="0.25">
      <c r="A49" s="5">
        <v>21</v>
      </c>
      <c r="B49" s="4">
        <v>41859207.719999991</v>
      </c>
    </row>
    <row r="50" spans="1:2" x14ac:dyDescent="0.25">
      <c r="A50" s="5">
        <v>22</v>
      </c>
      <c r="B50" s="4">
        <v>59076630.18999999</v>
      </c>
    </row>
    <row r="51" spans="1:2" x14ac:dyDescent="0.25">
      <c r="A51" s="5">
        <v>23</v>
      </c>
      <c r="B51" s="4">
        <v>79390179.800000027</v>
      </c>
    </row>
    <row r="52" spans="1:2" x14ac:dyDescent="0.25">
      <c r="A52" s="5">
        <v>24</v>
      </c>
      <c r="B52" s="4">
        <v>79516727.180000007</v>
      </c>
    </row>
    <row r="53" spans="1:2" x14ac:dyDescent="0.25">
      <c r="A53" s="5">
        <v>25</v>
      </c>
      <c r="B53" s="4">
        <v>40068097.139999986</v>
      </c>
    </row>
    <row r="54" spans="1:2" x14ac:dyDescent="0.25">
      <c r="A54" s="5">
        <v>26</v>
      </c>
      <c r="B54" s="4">
        <v>59126473.479999997</v>
      </c>
    </row>
    <row r="55" spans="1:2" x14ac:dyDescent="0.25">
      <c r="A55" s="5">
        <v>27</v>
      </c>
      <c r="B55" s="4">
        <v>101618599.37000003</v>
      </c>
    </row>
    <row r="56" spans="1:2" x14ac:dyDescent="0.25">
      <c r="A56" s="5">
        <v>28</v>
      </c>
      <c r="B56" s="4">
        <v>81770506.329999983</v>
      </c>
    </row>
    <row r="57" spans="1:2" x14ac:dyDescent="0.25">
      <c r="A57" s="5">
        <v>29</v>
      </c>
      <c r="B57" s="4">
        <v>30806139.210000005</v>
      </c>
    </row>
    <row r="58" spans="1:2" x14ac:dyDescent="0.25">
      <c r="A58" s="5">
        <v>30</v>
      </c>
      <c r="B58" s="4">
        <v>25152040.160000004</v>
      </c>
    </row>
    <row r="59" spans="1:2" x14ac:dyDescent="0.25">
      <c r="A59" s="5">
        <v>31</v>
      </c>
      <c r="B59" s="4">
        <v>79764831.070000023</v>
      </c>
    </row>
    <row r="60" spans="1:2" x14ac:dyDescent="0.25">
      <c r="A60" s="5">
        <v>32</v>
      </c>
      <c r="B60" s="4">
        <v>65705390.340000018</v>
      </c>
    </row>
    <row r="61" spans="1:2" x14ac:dyDescent="0.25">
      <c r="A61" s="5">
        <v>33</v>
      </c>
      <c r="B61" s="4">
        <v>15238321.139999999</v>
      </c>
    </row>
    <row r="62" spans="1:2" x14ac:dyDescent="0.25">
      <c r="A62" s="5">
        <v>34</v>
      </c>
      <c r="B62" s="4">
        <v>55059912.460000008</v>
      </c>
    </row>
    <row r="63" spans="1:2" x14ac:dyDescent="0.25">
      <c r="A63" s="5">
        <v>35</v>
      </c>
      <c r="B63" s="4">
        <v>52739751.870000027</v>
      </c>
    </row>
    <row r="64" spans="1:2" x14ac:dyDescent="0.25">
      <c r="A64" s="5">
        <v>36</v>
      </c>
      <c r="B64" s="4">
        <v>21647564.54999999</v>
      </c>
    </row>
    <row r="65" spans="1:2" x14ac:dyDescent="0.25">
      <c r="A65" s="5">
        <v>37</v>
      </c>
      <c r="B65" s="4">
        <v>29863637.080000009</v>
      </c>
    </row>
    <row r="66" spans="1:2" x14ac:dyDescent="0.25">
      <c r="A66" s="5">
        <v>38</v>
      </c>
      <c r="B66" s="4">
        <v>23051454.650000002</v>
      </c>
    </row>
    <row r="67" spans="1:2" x14ac:dyDescent="0.25">
      <c r="A67" s="5">
        <v>39</v>
      </c>
      <c r="B67" s="4">
        <v>81809726.219999984</v>
      </c>
    </row>
    <row r="68" spans="1:2" x14ac:dyDescent="0.25">
      <c r="A68" s="5">
        <v>40</v>
      </c>
      <c r="B68" s="4">
        <v>57254759.219999991</v>
      </c>
    </row>
    <row r="69" spans="1:2" x14ac:dyDescent="0.25">
      <c r="A69" s="5">
        <v>41</v>
      </c>
      <c r="B69" s="4">
        <v>72218185.230000004</v>
      </c>
    </row>
    <row r="70" spans="1:2" x14ac:dyDescent="0.25">
      <c r="A70" s="5">
        <v>42</v>
      </c>
      <c r="B70" s="4">
        <v>33325351.510000005</v>
      </c>
    </row>
    <row r="71" spans="1:2" x14ac:dyDescent="0.25">
      <c r="A71" s="5">
        <v>43</v>
      </c>
      <c r="B71" s="4">
        <v>36681125.710000001</v>
      </c>
    </row>
    <row r="72" spans="1:2" x14ac:dyDescent="0.25">
      <c r="A72" s="5">
        <v>44</v>
      </c>
      <c r="B72" s="4">
        <v>17245287.700000003</v>
      </c>
    </row>
    <row r="73" spans="1:2" x14ac:dyDescent="0.25">
      <c r="A73" s="5">
        <v>45</v>
      </c>
      <c r="B73" s="4">
        <v>44793091.729999989</v>
      </c>
    </row>
    <row r="74" spans="1:2" x14ac:dyDescent="0.25">
      <c r="A74" s="5" t="s">
        <v>11</v>
      </c>
      <c r="B74" s="4">
        <v>2718571558.0099998</v>
      </c>
    </row>
    <row r="75" spans="1:2" x14ac:dyDescent="0.25">
      <c r="B75" s="5"/>
    </row>
  </sheetData>
  <sheetProtection algorithmName="SHA-512" hashValue="b737xEyuj4pkQuubLA623VTAPJ92sOmg2tS7w5rIS733pcEFfiGPP3ZP+G3PZn05S12L2erpt1j6eBIEQfccdQ==" saltValue="kBIus38PFG3XzAyc+j64zw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ACCD-369D-437F-A593-EC79C42F9AB8}">
  <dimension ref="A1"/>
  <sheetViews>
    <sheetView showGridLines="0" showRowColHeaders="0" view="pageBreakPreview" zoomScale="60" zoomScaleNormal="100" workbookViewId="0">
      <selection activeCell="AG44" sqref="AG44"/>
    </sheetView>
  </sheetViews>
  <sheetFormatPr defaultRowHeight="15" x14ac:dyDescent="0.25"/>
  <sheetData/>
  <sheetProtection algorithmName="SHA-512" hashValue="3kt6U2z00R+T6dzRSB16E67Da2v84jCN8Tr9+m3npsimccGzu7jIc+Y6E2mMO4KGh+mhWOUkCcw5ieAi1fhKYA==" saltValue="HS2R7LeYxEOsfAs32kOjCQ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A2E0-7F95-4B1B-BE5E-69E2A04F7C03}">
  <dimension ref="A1:AM120"/>
  <sheetViews>
    <sheetView topLeftCell="A16" zoomScale="85" zoomScaleNormal="85" workbookViewId="0">
      <selection activeCell="AC7" sqref="AC7:AC19"/>
    </sheetView>
  </sheetViews>
  <sheetFormatPr defaultRowHeight="15" x14ac:dyDescent="0.25"/>
  <cols>
    <col min="1" max="1" width="18.42578125" style="5" bestFit="1" customWidth="1"/>
    <col min="2" max="2" width="22" style="5" bestFit="1" customWidth="1"/>
    <col min="3" max="3" width="9.140625" style="5"/>
    <col min="4" max="4" width="15.7109375" style="5" bestFit="1" customWidth="1"/>
    <col min="5" max="5" width="21" style="5" bestFit="1" customWidth="1"/>
    <col min="6" max="12" width="9.140625" style="5"/>
    <col min="13" max="13" width="7.28515625" style="5" bestFit="1" customWidth="1"/>
    <col min="14" max="14" width="17.7109375" style="5" bestFit="1" customWidth="1"/>
    <col min="15" max="15" width="5.42578125" style="5" bestFit="1" customWidth="1"/>
    <col min="16" max="16" width="12.7109375" style="5" bestFit="1" customWidth="1"/>
    <col min="17" max="17" width="9.140625" style="5"/>
    <col min="18" max="19" width="9.140625" style="5" customWidth="1"/>
    <col min="20" max="20" width="10.5703125" style="5" customWidth="1"/>
    <col min="21" max="21" width="7.28515625" customWidth="1"/>
    <col min="22" max="26" width="9.140625" style="5" customWidth="1"/>
    <col min="27" max="28" width="9.140625" customWidth="1"/>
    <col min="29" max="29" width="10.5703125" customWidth="1"/>
    <col min="30" max="30" width="21" customWidth="1"/>
    <col min="31" max="31" width="12" bestFit="1" customWidth="1"/>
    <col min="34" max="34" width="4.5703125" bestFit="1" customWidth="1"/>
    <col min="35" max="35" width="12.28515625" bestFit="1" customWidth="1"/>
    <col min="36" max="36" width="18.42578125" bestFit="1" customWidth="1"/>
    <col min="37" max="37" width="5.7109375" style="5" bestFit="1" customWidth="1"/>
    <col min="38" max="38" width="12.85546875" style="5" bestFit="1" customWidth="1"/>
    <col min="39" max="39" width="12.5703125" style="5" customWidth="1"/>
    <col min="40" max="40" width="3.7109375" customWidth="1"/>
  </cols>
  <sheetData>
    <row r="1" spans="1:35" x14ac:dyDescent="0.25">
      <c r="A1" s="13" t="s">
        <v>10</v>
      </c>
      <c r="B1" s="13" t="s">
        <v>23</v>
      </c>
      <c r="S1"/>
      <c r="T1"/>
      <c r="AC1" s="13" t="s">
        <v>14</v>
      </c>
      <c r="AD1" s="13" t="s">
        <v>12</v>
      </c>
    </row>
    <row r="2" spans="1:35" x14ac:dyDescent="0.25">
      <c r="A2" s="5" t="s">
        <v>21</v>
      </c>
      <c r="B2" s="4">
        <v>2432161594.9900031</v>
      </c>
      <c r="AC2" s="5">
        <v>2010</v>
      </c>
      <c r="AD2" s="4">
        <v>957867839.53000093</v>
      </c>
    </row>
    <row r="3" spans="1:35" x14ac:dyDescent="0.25">
      <c r="A3" s="5" t="s">
        <v>22</v>
      </c>
      <c r="B3" s="4">
        <v>286409963.0200001</v>
      </c>
      <c r="AC3" s="5">
        <v>2011</v>
      </c>
      <c r="AD3" s="4">
        <v>991658991.79999995</v>
      </c>
    </row>
    <row r="4" spans="1:35" x14ac:dyDescent="0.25">
      <c r="A4" s="13" t="s">
        <v>11</v>
      </c>
      <c r="B4" s="14">
        <v>2718571558.0100031</v>
      </c>
      <c r="AC4" s="5">
        <v>2012</v>
      </c>
      <c r="AD4" s="4">
        <v>769044726.67999995</v>
      </c>
    </row>
    <row r="5" spans="1:35" x14ac:dyDescent="0.25">
      <c r="AC5" s="13" t="s">
        <v>11</v>
      </c>
      <c r="AD5" s="14">
        <v>2718571558.0100007</v>
      </c>
    </row>
    <row r="7" spans="1:35" x14ac:dyDescent="0.25">
      <c r="AC7" s="13" t="s">
        <v>13</v>
      </c>
      <c r="AD7" s="13" t="s">
        <v>12</v>
      </c>
      <c r="AE7" s="13" t="s">
        <v>24</v>
      </c>
    </row>
    <row r="8" spans="1:35" x14ac:dyDescent="0.25">
      <c r="AC8" s="5">
        <v>1</v>
      </c>
      <c r="AD8" s="4">
        <v>181559036.28000015</v>
      </c>
      <c r="AE8" s="15">
        <f xml:space="preserve"> AD8 / $AD$20</f>
        <v>6.678471852067111E-2</v>
      </c>
      <c r="AI8" s="15"/>
    </row>
    <row r="9" spans="1:35" x14ac:dyDescent="0.25">
      <c r="AC9" s="5">
        <v>2</v>
      </c>
      <c r="AD9" s="4">
        <v>240969530.48999986</v>
      </c>
      <c r="AE9" s="15">
        <f t="shared" ref="AE9:AE19" si="0" xml:space="preserve"> AD9 / $AD$20</f>
        <v>8.863828865567551E-2</v>
      </c>
      <c r="AI9" s="15"/>
    </row>
    <row r="10" spans="1:35" x14ac:dyDescent="0.25">
      <c r="AC10" s="5">
        <v>3</v>
      </c>
      <c r="AD10" s="4">
        <v>239446787.31999996</v>
      </c>
      <c r="AE10" s="15">
        <f t="shared" si="0"/>
        <v>8.8078162450605318E-2</v>
      </c>
      <c r="AI10" s="15"/>
    </row>
    <row r="11" spans="1:35" x14ac:dyDescent="0.25">
      <c r="AC11" s="5">
        <v>4</v>
      </c>
      <c r="AD11" s="4">
        <v>239102000.21000001</v>
      </c>
      <c r="AE11" s="15">
        <f t="shared" si="0"/>
        <v>8.7951335879134701E-2</v>
      </c>
      <c r="AI11" s="15"/>
    </row>
    <row r="12" spans="1:35" x14ac:dyDescent="0.25">
      <c r="AC12" s="5">
        <v>5</v>
      </c>
      <c r="AD12" s="4">
        <v>237986298.96999991</v>
      </c>
      <c r="AE12" s="15">
        <f t="shared" si="0"/>
        <v>8.7540936073136288E-2</v>
      </c>
      <c r="AI12" s="15"/>
    </row>
    <row r="13" spans="1:35" x14ac:dyDescent="0.25">
      <c r="AC13" s="5">
        <v>6</v>
      </c>
      <c r="AD13" s="4">
        <v>244777717.1100001</v>
      </c>
      <c r="AE13" s="15">
        <f t="shared" si="0"/>
        <v>9.0039092915831842E-2</v>
      </c>
      <c r="AI13" s="15"/>
    </row>
    <row r="14" spans="1:35" x14ac:dyDescent="0.25">
      <c r="AC14" s="5">
        <v>7</v>
      </c>
      <c r="AD14" s="4">
        <v>186820778.95999998</v>
      </c>
      <c r="AE14" s="15">
        <f t="shared" si="0"/>
        <v>6.872019918311556E-2</v>
      </c>
      <c r="AI14" s="15"/>
    </row>
    <row r="15" spans="1:35" x14ac:dyDescent="0.25">
      <c r="AC15" s="5">
        <v>8</v>
      </c>
      <c r="AD15" s="4">
        <v>188500876.59000003</v>
      </c>
      <c r="AE15" s="15">
        <f t="shared" si="0"/>
        <v>6.9338206689686363E-2</v>
      </c>
      <c r="AI15" s="15"/>
    </row>
    <row r="16" spans="1:35" x14ac:dyDescent="0.25">
      <c r="AC16" s="5">
        <v>9</v>
      </c>
      <c r="AD16" s="4">
        <v>245069649.15000004</v>
      </c>
      <c r="AE16" s="15">
        <f t="shared" si="0"/>
        <v>9.0146477265947544E-2</v>
      </c>
      <c r="AI16" s="15"/>
    </row>
    <row r="17" spans="29:35" x14ac:dyDescent="0.25">
      <c r="AC17" s="5">
        <v>10</v>
      </c>
      <c r="AD17" s="4">
        <v>246383761.85000005</v>
      </c>
      <c r="AE17" s="15">
        <f t="shared" si="0"/>
        <v>9.0629860789963351E-2</v>
      </c>
      <c r="AI17" s="15"/>
    </row>
    <row r="18" spans="29:35" x14ac:dyDescent="0.25">
      <c r="AC18" s="5">
        <v>11</v>
      </c>
      <c r="AD18" s="4">
        <v>235190162.64999986</v>
      </c>
      <c r="AE18" s="15">
        <f t="shared" si="0"/>
        <v>8.6512404632879916E-2</v>
      </c>
      <c r="AI18" s="15"/>
    </row>
    <row r="19" spans="29:35" x14ac:dyDescent="0.25">
      <c r="AC19" s="5">
        <v>12</v>
      </c>
      <c r="AD19" s="4">
        <v>232764958.4299998</v>
      </c>
      <c r="AE19" s="15">
        <f t="shared" si="0"/>
        <v>8.5620316943352509E-2</v>
      </c>
      <c r="AI19" s="15"/>
    </row>
    <row r="20" spans="29:35" x14ac:dyDescent="0.25">
      <c r="AC20" s="13" t="s">
        <v>11</v>
      </c>
      <c r="AD20" s="14">
        <v>2718571558.0099998</v>
      </c>
      <c r="AE20" s="17">
        <f>SUM(AE8:AE19)</f>
        <v>1.0000000000000002</v>
      </c>
    </row>
    <row r="24" spans="29:35" x14ac:dyDescent="0.25">
      <c r="AC24" s="13" t="s">
        <v>15</v>
      </c>
      <c r="AD24" s="13" t="s">
        <v>12</v>
      </c>
      <c r="AE24" s="13" t="s">
        <v>24</v>
      </c>
    </row>
    <row r="25" spans="29:35" x14ac:dyDescent="0.25">
      <c r="AC25" s="5">
        <v>1</v>
      </c>
      <c r="AD25" s="4">
        <v>91305173.030000016</v>
      </c>
      <c r="AE25" s="15">
        <f>AD25/$AD$70</f>
        <v>3.358571627845456E-2</v>
      </c>
    </row>
    <row r="26" spans="29:35" x14ac:dyDescent="0.25">
      <c r="AC26" s="5">
        <v>2</v>
      </c>
      <c r="AD26" s="4">
        <v>111261408.29000002</v>
      </c>
      <c r="AE26" s="15">
        <f t="shared" ref="AE26:AE69" si="1">AD26/$AD$70</f>
        <v>4.0926422540609381E-2</v>
      </c>
    </row>
    <row r="27" spans="29:35" x14ac:dyDescent="0.25">
      <c r="AC27" s="5">
        <v>3</v>
      </c>
      <c r="AD27" s="4">
        <v>23548991.5</v>
      </c>
      <c r="AE27" s="15">
        <f t="shared" si="1"/>
        <v>8.6622665607661662E-3</v>
      </c>
    </row>
    <row r="28" spans="29:35" x14ac:dyDescent="0.25">
      <c r="AC28" s="5">
        <v>4</v>
      </c>
      <c r="AD28" s="4">
        <v>119047758.56999999</v>
      </c>
      <c r="AE28" s="15">
        <f t="shared" si="1"/>
        <v>4.379055545521237E-2</v>
      </c>
    </row>
    <row r="29" spans="29:35" x14ac:dyDescent="0.25">
      <c r="AC29" s="5">
        <v>5</v>
      </c>
      <c r="AD29" s="4">
        <v>18493210.620000001</v>
      </c>
      <c r="AE29" s="15">
        <f t="shared" si="1"/>
        <v>6.8025469351768956E-3</v>
      </c>
    </row>
    <row r="30" spans="29:35" x14ac:dyDescent="0.25">
      <c r="AC30" s="5">
        <v>6</v>
      </c>
      <c r="AD30" s="4">
        <v>90568529.220000044</v>
      </c>
      <c r="AE30" s="15">
        <f t="shared" si="1"/>
        <v>3.331474904647954E-2</v>
      </c>
    </row>
    <row r="31" spans="29:35" x14ac:dyDescent="0.25">
      <c r="AC31" s="5">
        <v>7</v>
      </c>
      <c r="AD31" s="4">
        <v>32341729.079999994</v>
      </c>
      <c r="AE31" s="15">
        <f t="shared" si="1"/>
        <v>1.1896589216019831E-2</v>
      </c>
    </row>
    <row r="32" spans="29:35" x14ac:dyDescent="0.25">
      <c r="AC32" s="5">
        <v>8</v>
      </c>
      <c r="AD32" s="4">
        <v>52619595.950000003</v>
      </c>
      <c r="AE32" s="15">
        <f t="shared" si="1"/>
        <v>1.9355604525090251E-2</v>
      </c>
    </row>
    <row r="33" spans="29:31" x14ac:dyDescent="0.25">
      <c r="AC33" s="5">
        <v>9</v>
      </c>
      <c r="AD33" s="4">
        <v>31487839.230000004</v>
      </c>
      <c r="AE33" s="15">
        <f t="shared" si="1"/>
        <v>1.1582494173171285E-2</v>
      </c>
    </row>
    <row r="34" spans="29:31" x14ac:dyDescent="0.25">
      <c r="AC34" s="5">
        <v>10</v>
      </c>
      <c r="AD34" s="4">
        <v>108599830.23</v>
      </c>
      <c r="AE34" s="15">
        <f t="shared" si="1"/>
        <v>3.9947387042294856E-2</v>
      </c>
    </row>
    <row r="35" spans="29:31" x14ac:dyDescent="0.25">
      <c r="AC35" s="5">
        <v>11</v>
      </c>
      <c r="AD35" s="4">
        <v>78231038.799999997</v>
      </c>
      <c r="AE35" s="15">
        <f t="shared" si="1"/>
        <v>2.8776523674537847E-2</v>
      </c>
    </row>
    <row r="36" spans="29:31" x14ac:dyDescent="0.25">
      <c r="AC36" s="5">
        <v>12</v>
      </c>
      <c r="AD36" s="4">
        <v>58024045.580000006</v>
      </c>
      <c r="AE36" s="15">
        <f t="shared" si="1"/>
        <v>2.1343578545518858E-2</v>
      </c>
    </row>
    <row r="37" spans="29:31" x14ac:dyDescent="0.25">
      <c r="AC37" s="5">
        <v>13</v>
      </c>
      <c r="AD37" s="4">
        <v>113895600.75000001</v>
      </c>
      <c r="AE37" s="15">
        <f t="shared" si="1"/>
        <v>4.1895384513391969E-2</v>
      </c>
    </row>
    <row r="38" spans="29:31" x14ac:dyDescent="0.25">
      <c r="AC38" s="5">
        <v>14</v>
      </c>
      <c r="AD38" s="4">
        <v>118285799.76999997</v>
      </c>
      <c r="AE38" s="15">
        <f t="shared" si="1"/>
        <v>4.3510276351373819E-2</v>
      </c>
    </row>
    <row r="39" spans="29:31" x14ac:dyDescent="0.25">
      <c r="AC39" s="5">
        <v>15</v>
      </c>
      <c r="AD39" s="4">
        <v>35503840.100000009</v>
      </c>
      <c r="AE39" s="15">
        <f t="shared" si="1"/>
        <v>1.3059740875825574E-2</v>
      </c>
    </row>
    <row r="40" spans="29:31" x14ac:dyDescent="0.25">
      <c r="AC40" s="5">
        <v>16</v>
      </c>
      <c r="AD40" s="4">
        <v>29374670.950000003</v>
      </c>
      <c r="AE40" s="15">
        <f t="shared" si="1"/>
        <v>1.0805185857054403E-2</v>
      </c>
    </row>
    <row r="41" spans="29:31" x14ac:dyDescent="0.25">
      <c r="AC41" s="5">
        <v>17</v>
      </c>
      <c r="AD41" s="4">
        <v>51347414.190000005</v>
      </c>
      <c r="AE41" s="15">
        <f t="shared" si="1"/>
        <v>1.8887644887886058E-2</v>
      </c>
    </row>
    <row r="42" spans="29:31" x14ac:dyDescent="0.25">
      <c r="AC42" s="5">
        <v>18</v>
      </c>
      <c r="AD42" s="4">
        <v>62482538.569999993</v>
      </c>
      <c r="AE42" s="15">
        <f t="shared" si="1"/>
        <v>2.2983591653455444E-2</v>
      </c>
    </row>
    <row r="43" spans="29:31" x14ac:dyDescent="0.25">
      <c r="AC43" s="5">
        <v>19</v>
      </c>
      <c r="AD43" s="4">
        <v>83715436.999999985</v>
      </c>
      <c r="AE43" s="15">
        <f t="shared" si="1"/>
        <v>3.0793905995720731E-2</v>
      </c>
    </row>
    <row r="44" spans="29:31" x14ac:dyDescent="0.25">
      <c r="AC44" s="5">
        <v>20</v>
      </c>
      <c r="AD44" s="4">
        <v>123654115.52000001</v>
      </c>
      <c r="AE44" s="15">
        <f t="shared" si="1"/>
        <v>4.5484958876901918E-2</v>
      </c>
    </row>
    <row r="45" spans="29:31" x14ac:dyDescent="0.25">
      <c r="AC45" s="5">
        <v>21</v>
      </c>
      <c r="AD45" s="4">
        <v>41859207.719999991</v>
      </c>
      <c r="AE45" s="15">
        <f t="shared" si="1"/>
        <v>1.5397500792894715E-2</v>
      </c>
    </row>
    <row r="46" spans="29:31" x14ac:dyDescent="0.25">
      <c r="AC46" s="5">
        <v>22</v>
      </c>
      <c r="AD46" s="4">
        <v>59076630.18999999</v>
      </c>
      <c r="AE46" s="15">
        <f t="shared" si="1"/>
        <v>2.1730761515523327E-2</v>
      </c>
    </row>
    <row r="47" spans="29:31" x14ac:dyDescent="0.25">
      <c r="AC47" s="5">
        <v>23</v>
      </c>
      <c r="AD47" s="4">
        <v>79390179.800000027</v>
      </c>
      <c r="AE47" s="15">
        <f t="shared" si="1"/>
        <v>2.9202902372050789E-2</v>
      </c>
    </row>
    <row r="48" spans="29:31" x14ac:dyDescent="0.25">
      <c r="AC48" s="5">
        <v>24</v>
      </c>
      <c r="AD48" s="4">
        <v>79516727.180000007</v>
      </c>
      <c r="AE48" s="15">
        <f t="shared" si="1"/>
        <v>2.9249451590013111E-2</v>
      </c>
    </row>
    <row r="49" spans="29:31" x14ac:dyDescent="0.25">
      <c r="AC49" s="5">
        <v>25</v>
      </c>
      <c r="AD49" s="4">
        <v>40068097.139999986</v>
      </c>
      <c r="AE49" s="15">
        <f t="shared" si="1"/>
        <v>1.4738658256739035E-2</v>
      </c>
    </row>
    <row r="50" spans="29:31" x14ac:dyDescent="0.25">
      <c r="AC50" s="5">
        <v>26</v>
      </c>
      <c r="AD50" s="4">
        <v>59126473.479999997</v>
      </c>
      <c r="AE50" s="15">
        <f t="shared" si="1"/>
        <v>2.1749095883016118E-2</v>
      </c>
    </row>
    <row r="51" spans="29:31" x14ac:dyDescent="0.25">
      <c r="AC51" s="5">
        <v>27</v>
      </c>
      <c r="AD51" s="4">
        <v>101618599.37000003</v>
      </c>
      <c r="AE51" s="15">
        <f t="shared" si="1"/>
        <v>3.7379409444121853E-2</v>
      </c>
    </row>
    <row r="52" spans="29:31" x14ac:dyDescent="0.25">
      <c r="AC52" s="5">
        <v>28</v>
      </c>
      <c r="AD52" s="4">
        <v>81770506.329999983</v>
      </c>
      <c r="AE52" s="15">
        <f t="shared" si="1"/>
        <v>3.0078482241554887E-2</v>
      </c>
    </row>
    <row r="53" spans="29:31" x14ac:dyDescent="0.25">
      <c r="AC53" s="5">
        <v>29</v>
      </c>
      <c r="AD53" s="4">
        <v>30806139.210000005</v>
      </c>
      <c r="AE53" s="15">
        <f t="shared" si="1"/>
        <v>1.1331737477806237E-2</v>
      </c>
    </row>
    <row r="54" spans="29:31" x14ac:dyDescent="0.25">
      <c r="AC54" s="5">
        <v>30</v>
      </c>
      <c r="AD54" s="4">
        <v>25152040.160000004</v>
      </c>
      <c r="AE54" s="15">
        <f t="shared" si="1"/>
        <v>9.2519323561272571E-3</v>
      </c>
    </row>
    <row r="55" spans="29:31" x14ac:dyDescent="0.25">
      <c r="AC55" s="5">
        <v>31</v>
      </c>
      <c r="AD55" s="4">
        <v>79764831.070000023</v>
      </c>
      <c r="AE55" s="15">
        <f t="shared" si="1"/>
        <v>2.9340714183145523E-2</v>
      </c>
    </row>
    <row r="56" spans="29:31" x14ac:dyDescent="0.25">
      <c r="AC56" s="5">
        <v>32</v>
      </c>
      <c r="AD56" s="4">
        <v>65705390.340000018</v>
      </c>
      <c r="AE56" s="15">
        <f t="shared" si="1"/>
        <v>2.4169086204998226E-2</v>
      </c>
    </row>
    <row r="57" spans="29:31" x14ac:dyDescent="0.25">
      <c r="AC57" s="5">
        <v>33</v>
      </c>
      <c r="AD57" s="4">
        <v>15238321.139999999</v>
      </c>
      <c r="AE57" s="15">
        <f t="shared" si="1"/>
        <v>5.605267624867849E-3</v>
      </c>
    </row>
    <row r="58" spans="29:31" x14ac:dyDescent="0.25">
      <c r="AC58" s="5">
        <v>34</v>
      </c>
      <c r="AD58" s="4">
        <v>55059912.460000008</v>
      </c>
      <c r="AE58" s="15">
        <f t="shared" si="1"/>
        <v>2.0253251122918384E-2</v>
      </c>
    </row>
    <row r="59" spans="29:31" x14ac:dyDescent="0.25">
      <c r="AC59" s="5">
        <v>35</v>
      </c>
      <c r="AD59" s="4">
        <v>52739751.870000027</v>
      </c>
      <c r="AE59" s="15">
        <f t="shared" si="1"/>
        <v>1.9399802706905989E-2</v>
      </c>
    </row>
    <row r="60" spans="29:31" x14ac:dyDescent="0.25">
      <c r="AC60" s="5">
        <v>36</v>
      </c>
      <c r="AD60" s="4">
        <v>21647564.54999999</v>
      </c>
      <c r="AE60" s="15">
        <f t="shared" si="1"/>
        <v>7.9628452251762887E-3</v>
      </c>
    </row>
    <row r="61" spans="29:31" x14ac:dyDescent="0.25">
      <c r="AC61" s="5">
        <v>37</v>
      </c>
      <c r="AD61" s="4">
        <v>29863637.080000009</v>
      </c>
      <c r="AE61" s="15">
        <f t="shared" si="1"/>
        <v>1.0985047273083463E-2</v>
      </c>
    </row>
    <row r="62" spans="29:31" x14ac:dyDescent="0.25">
      <c r="AC62" s="5">
        <v>38</v>
      </c>
      <c r="AD62" s="4">
        <v>23051454.650000002</v>
      </c>
      <c r="AE62" s="15">
        <f t="shared" si="1"/>
        <v>8.4792524890805951E-3</v>
      </c>
    </row>
    <row r="63" spans="29:31" x14ac:dyDescent="0.25">
      <c r="AC63" s="5">
        <v>39</v>
      </c>
      <c r="AD63" s="4">
        <v>81809726.219999984</v>
      </c>
      <c r="AE63" s="15">
        <f t="shared" si="1"/>
        <v>3.009290889509816E-2</v>
      </c>
    </row>
    <row r="64" spans="29:31" x14ac:dyDescent="0.25">
      <c r="AC64" s="5">
        <v>40</v>
      </c>
      <c r="AD64" s="4">
        <v>57254759.219999991</v>
      </c>
      <c r="AE64" s="15">
        <f t="shared" si="1"/>
        <v>2.1060604070289986E-2</v>
      </c>
    </row>
    <row r="65" spans="13:39" x14ac:dyDescent="0.25">
      <c r="AC65" s="5">
        <v>41</v>
      </c>
      <c r="AD65" s="4">
        <v>72218185.230000004</v>
      </c>
      <c r="AE65" s="15">
        <f t="shared" si="1"/>
        <v>2.6564754206015409E-2</v>
      </c>
    </row>
    <row r="66" spans="13:39" x14ac:dyDescent="0.25">
      <c r="AC66" s="5">
        <v>42</v>
      </c>
      <c r="AD66" s="4">
        <v>33325351.510000005</v>
      </c>
      <c r="AE66" s="15">
        <f t="shared" si="1"/>
        <v>1.2258405121546344E-2</v>
      </c>
    </row>
    <row r="67" spans="13:39" x14ac:dyDescent="0.25">
      <c r="AC67" s="5">
        <v>43</v>
      </c>
      <c r="AD67" s="4">
        <v>36681125.710000001</v>
      </c>
      <c r="AE67" s="15">
        <f t="shared" si="1"/>
        <v>1.3492793890939794E-2</v>
      </c>
    </row>
    <row r="68" spans="13:39" x14ac:dyDescent="0.25">
      <c r="AC68" s="5">
        <v>44</v>
      </c>
      <c r="AD68" s="4">
        <v>17245287.700000003</v>
      </c>
      <c r="AE68" s="15">
        <f t="shared" si="1"/>
        <v>6.3435106753723233E-3</v>
      </c>
    </row>
    <row r="69" spans="13:39" x14ac:dyDescent="0.25">
      <c r="AC69" s="5">
        <v>45</v>
      </c>
      <c r="AD69" s="4">
        <v>44793091.729999989</v>
      </c>
      <c r="AE69" s="15">
        <f t="shared" si="1"/>
        <v>1.6476701375772736E-2</v>
      </c>
    </row>
    <row r="70" spans="13:39" x14ac:dyDescent="0.25">
      <c r="AC70" s="13" t="s">
        <v>11</v>
      </c>
      <c r="AD70" s="14">
        <v>2718571558.0099998</v>
      </c>
      <c r="AE70" s="16">
        <f>SUM(AE25:AE69)</f>
        <v>1.0000000000000004</v>
      </c>
    </row>
    <row r="73" spans="13:39" x14ac:dyDescent="0.25">
      <c r="M73" s="22" t="s">
        <v>27</v>
      </c>
      <c r="N73" s="4" t="s">
        <v>29</v>
      </c>
      <c r="O73" s="20" t="s">
        <v>25</v>
      </c>
      <c r="P73" s="20" t="s">
        <v>26</v>
      </c>
    </row>
    <row r="74" spans="13:39" x14ac:dyDescent="0.25">
      <c r="M74" s="22" t="s">
        <v>30</v>
      </c>
      <c r="N74" s="4">
        <v>123654115.52000001</v>
      </c>
      <c r="O74" s="20">
        <v>4.5484958876901925E-2</v>
      </c>
      <c r="P74" s="20">
        <v>4.5484958876901925E-2</v>
      </c>
      <c r="AC74" s="13" t="s">
        <v>15</v>
      </c>
      <c r="AD74" s="13" t="s">
        <v>12</v>
      </c>
      <c r="AJ74" s="6" t="s">
        <v>28</v>
      </c>
      <c r="AK74" s="5" t="s">
        <v>27</v>
      </c>
      <c r="AL74" s="13" t="s">
        <v>25</v>
      </c>
      <c r="AM74" s="13" t="s">
        <v>26</v>
      </c>
    </row>
    <row r="75" spans="13:39" x14ac:dyDescent="0.25">
      <c r="M75" s="22" t="s">
        <v>32</v>
      </c>
      <c r="N75" s="4">
        <v>119047758.56999999</v>
      </c>
      <c r="O75" s="20">
        <v>4.3790555455212377E-2</v>
      </c>
      <c r="P75" s="20">
        <v>8.9275514332114309E-2</v>
      </c>
      <c r="AC75" s="5">
        <v>1</v>
      </c>
      <c r="AD75" s="4">
        <v>91305173.030000016</v>
      </c>
      <c r="AJ75" s="19">
        <v>123654115.52000001</v>
      </c>
      <c r="AK75" s="5">
        <v>20</v>
      </c>
      <c r="AL75" s="20">
        <f>AJ75 / SUM($AJ$75:$AJ$119)</f>
        <v>4.5484958876901925E-2</v>
      </c>
      <c r="AM75" s="21">
        <f>AL75</f>
        <v>4.5484958876901925E-2</v>
      </c>
    </row>
    <row r="76" spans="13:39" x14ac:dyDescent="0.25">
      <c r="M76" s="22" t="s">
        <v>33</v>
      </c>
      <c r="N76" s="4">
        <v>118285799.76999997</v>
      </c>
      <c r="O76" s="20">
        <v>4.3510276351373826E-2</v>
      </c>
      <c r="P76" s="20">
        <v>0.13278579068348814</v>
      </c>
      <c r="AC76" s="5">
        <v>2</v>
      </c>
      <c r="AD76" s="4">
        <v>111261408.29000002</v>
      </c>
      <c r="AJ76" s="19">
        <v>119047758.56999999</v>
      </c>
      <c r="AK76" s="5">
        <v>4</v>
      </c>
      <c r="AL76" s="20">
        <f t="shared" ref="AL76:AL119" si="2">AJ76 / SUM($AJ$75:$AJ$119)</f>
        <v>4.3790555455212377E-2</v>
      </c>
      <c r="AM76" s="21">
        <f>AM75 + AL76</f>
        <v>8.9275514332114309E-2</v>
      </c>
    </row>
    <row r="77" spans="13:39" x14ac:dyDescent="0.25">
      <c r="M77" s="22" t="s">
        <v>34</v>
      </c>
      <c r="N77" s="4">
        <v>113895600.75000001</v>
      </c>
      <c r="O77" s="20">
        <v>4.1895384513391976E-2</v>
      </c>
      <c r="P77" s="20">
        <v>0.17468117519688012</v>
      </c>
      <c r="AC77" s="5">
        <v>3</v>
      </c>
      <c r="AD77" s="4">
        <v>23548991.5</v>
      </c>
      <c r="AJ77" s="19">
        <v>118285799.76999997</v>
      </c>
      <c r="AK77" s="5">
        <v>14</v>
      </c>
      <c r="AL77" s="20">
        <f t="shared" si="2"/>
        <v>4.3510276351373826E-2</v>
      </c>
      <c r="AM77" s="21">
        <f t="shared" ref="AM77:AM119" si="3">AM76 + AL77</f>
        <v>0.13278579068348814</v>
      </c>
    </row>
    <row r="78" spans="13:39" x14ac:dyDescent="0.25">
      <c r="M78" s="22" t="s">
        <v>35</v>
      </c>
      <c r="N78" s="4">
        <v>111261408.29000002</v>
      </c>
      <c r="O78" s="20">
        <v>4.0926422540609388E-2</v>
      </c>
      <c r="P78" s="20">
        <v>0.2156075977374895</v>
      </c>
      <c r="AC78" s="5">
        <v>4</v>
      </c>
      <c r="AD78" s="4">
        <v>119047758.56999999</v>
      </c>
      <c r="AJ78" s="19">
        <v>113895600.75000001</v>
      </c>
      <c r="AK78" s="5">
        <v>13</v>
      </c>
      <c r="AL78" s="20">
        <f t="shared" si="2"/>
        <v>4.1895384513391976E-2</v>
      </c>
      <c r="AM78" s="21">
        <f t="shared" si="3"/>
        <v>0.17468117519688012</v>
      </c>
    </row>
    <row r="79" spans="13:39" x14ac:dyDescent="0.25">
      <c r="M79" s="22" t="s">
        <v>36</v>
      </c>
      <c r="N79" s="4">
        <v>108599830.23</v>
      </c>
      <c r="O79" s="20">
        <v>3.9947387042294863E-2</v>
      </c>
      <c r="P79" s="20">
        <v>0.25555498477978433</v>
      </c>
      <c r="AC79" s="5">
        <v>5</v>
      </c>
      <c r="AD79" s="4">
        <v>18493210.620000001</v>
      </c>
      <c r="AJ79" s="19">
        <v>111261408.29000002</v>
      </c>
      <c r="AK79" s="5">
        <v>2</v>
      </c>
      <c r="AL79" s="20">
        <f t="shared" si="2"/>
        <v>4.0926422540609388E-2</v>
      </c>
      <c r="AM79" s="21">
        <f t="shared" si="3"/>
        <v>0.2156075977374895</v>
      </c>
    </row>
    <row r="80" spans="13:39" x14ac:dyDescent="0.25">
      <c r="M80" s="22" t="s">
        <v>37</v>
      </c>
      <c r="N80" s="4">
        <v>101618599.37000003</v>
      </c>
      <c r="O80" s="20">
        <v>3.7379409444121853E-2</v>
      </c>
      <c r="P80" s="20">
        <v>0.29293439422390621</v>
      </c>
      <c r="AC80" s="5">
        <v>6</v>
      </c>
      <c r="AD80" s="4">
        <v>90568529.220000044</v>
      </c>
      <c r="AJ80" s="19">
        <v>108599830.23</v>
      </c>
      <c r="AK80" s="5">
        <v>10</v>
      </c>
      <c r="AL80" s="20">
        <f t="shared" si="2"/>
        <v>3.9947387042294863E-2</v>
      </c>
      <c r="AM80" s="21">
        <f t="shared" si="3"/>
        <v>0.25555498477978433</v>
      </c>
    </row>
    <row r="81" spans="13:39" x14ac:dyDescent="0.25">
      <c r="M81" s="22" t="s">
        <v>38</v>
      </c>
      <c r="N81" s="4">
        <v>91305173.030000016</v>
      </c>
      <c r="O81" s="20">
        <v>3.358571627845456E-2</v>
      </c>
      <c r="P81" s="20">
        <v>0.32652011050236079</v>
      </c>
      <c r="AC81" s="5">
        <v>7</v>
      </c>
      <c r="AD81" s="4">
        <v>32341729.079999994</v>
      </c>
      <c r="AJ81" s="19">
        <v>101618599.37000003</v>
      </c>
      <c r="AK81" s="5">
        <v>27</v>
      </c>
      <c r="AL81" s="20">
        <f t="shared" si="2"/>
        <v>3.7379409444121853E-2</v>
      </c>
      <c r="AM81" s="21">
        <f t="shared" si="3"/>
        <v>0.29293439422390621</v>
      </c>
    </row>
    <row r="82" spans="13:39" x14ac:dyDescent="0.25">
      <c r="M82" s="22" t="s">
        <v>39</v>
      </c>
      <c r="N82" s="4">
        <v>90568529.220000044</v>
      </c>
      <c r="O82" s="20">
        <v>3.3314749046479547E-2</v>
      </c>
      <c r="P82" s="20">
        <v>0.35983485954884031</v>
      </c>
      <c r="AC82" s="5">
        <v>8</v>
      </c>
      <c r="AD82" s="4">
        <v>52619595.950000003</v>
      </c>
      <c r="AJ82" s="19">
        <v>91305173.030000016</v>
      </c>
      <c r="AK82" s="5">
        <v>1</v>
      </c>
      <c r="AL82" s="20">
        <f t="shared" si="2"/>
        <v>3.358571627845456E-2</v>
      </c>
      <c r="AM82" s="21">
        <f t="shared" si="3"/>
        <v>0.32652011050236079</v>
      </c>
    </row>
    <row r="83" spans="13:39" x14ac:dyDescent="0.25">
      <c r="M83" s="22" t="s">
        <v>40</v>
      </c>
      <c r="N83" s="4">
        <v>83715436.999999985</v>
      </c>
      <c r="O83" s="20">
        <v>3.0793905995720738E-2</v>
      </c>
      <c r="P83" s="20">
        <v>0.39062876554456105</v>
      </c>
      <c r="AC83" s="5">
        <v>9</v>
      </c>
      <c r="AD83" s="4">
        <v>31487839.230000004</v>
      </c>
      <c r="AJ83" s="19">
        <v>90568529.220000044</v>
      </c>
      <c r="AK83" s="5">
        <v>6</v>
      </c>
      <c r="AL83" s="20">
        <f t="shared" si="2"/>
        <v>3.3314749046479547E-2</v>
      </c>
      <c r="AM83" s="21">
        <f t="shared" si="3"/>
        <v>0.35983485954884031</v>
      </c>
    </row>
    <row r="84" spans="13:39" x14ac:dyDescent="0.25">
      <c r="M84" s="22" t="s">
        <v>41</v>
      </c>
      <c r="N84" s="4">
        <v>81809726.219999984</v>
      </c>
      <c r="O84" s="20">
        <v>3.0092908895098164E-2</v>
      </c>
      <c r="P84" s="20">
        <v>0.42072167443965924</v>
      </c>
      <c r="AC84" s="5">
        <v>10</v>
      </c>
      <c r="AD84" s="4">
        <v>108599830.23</v>
      </c>
      <c r="AJ84" s="19">
        <v>83715436.999999985</v>
      </c>
      <c r="AK84" s="5">
        <v>19</v>
      </c>
      <c r="AL84" s="20">
        <f t="shared" si="2"/>
        <v>3.0793905995720738E-2</v>
      </c>
      <c r="AM84" s="21">
        <f t="shared" si="3"/>
        <v>0.39062876554456105</v>
      </c>
    </row>
    <row r="85" spans="13:39" x14ac:dyDescent="0.25">
      <c r="M85" s="22" t="s">
        <v>42</v>
      </c>
      <c r="N85" s="4">
        <v>81770506.329999983</v>
      </c>
      <c r="O85" s="20">
        <v>3.0078482241554894E-2</v>
      </c>
      <c r="P85" s="20">
        <v>0.45080015668121415</v>
      </c>
      <c r="AC85" s="5">
        <v>11</v>
      </c>
      <c r="AD85" s="4">
        <v>78231038.799999997</v>
      </c>
      <c r="AJ85" s="19">
        <v>81809726.219999984</v>
      </c>
      <c r="AK85" s="5">
        <v>39</v>
      </c>
      <c r="AL85" s="20">
        <f t="shared" si="2"/>
        <v>3.0092908895098164E-2</v>
      </c>
      <c r="AM85" s="21">
        <f t="shared" si="3"/>
        <v>0.42072167443965924</v>
      </c>
    </row>
    <row r="86" spans="13:39" x14ac:dyDescent="0.25">
      <c r="M86" s="22" t="s">
        <v>43</v>
      </c>
      <c r="N86" s="4">
        <v>79764831.070000023</v>
      </c>
      <c r="O86" s="20">
        <v>2.9340714183145527E-2</v>
      </c>
      <c r="P86" s="20">
        <v>0.48014087086435969</v>
      </c>
      <c r="AC86" s="5">
        <v>12</v>
      </c>
      <c r="AD86" s="4">
        <v>58024045.580000006</v>
      </c>
      <c r="AJ86" s="19">
        <v>81770506.329999983</v>
      </c>
      <c r="AK86" s="5">
        <v>28</v>
      </c>
      <c r="AL86" s="20">
        <f t="shared" si="2"/>
        <v>3.0078482241554894E-2</v>
      </c>
      <c r="AM86" s="21">
        <f t="shared" si="3"/>
        <v>0.45080015668121415</v>
      </c>
    </row>
    <row r="87" spans="13:39" x14ac:dyDescent="0.25">
      <c r="M87" s="22" t="s">
        <v>44</v>
      </c>
      <c r="N87" s="4">
        <v>79516727.180000007</v>
      </c>
      <c r="O87" s="20">
        <v>2.9249451590013117E-2</v>
      </c>
      <c r="P87" s="20">
        <v>0.50939032245437277</v>
      </c>
      <c r="AC87" s="5">
        <v>13</v>
      </c>
      <c r="AD87" s="4">
        <v>113895600.75000001</v>
      </c>
      <c r="AJ87" s="19">
        <v>79764831.070000023</v>
      </c>
      <c r="AK87" s="5">
        <v>31</v>
      </c>
      <c r="AL87" s="20">
        <f t="shared" si="2"/>
        <v>2.9340714183145527E-2</v>
      </c>
      <c r="AM87" s="21">
        <f t="shared" si="3"/>
        <v>0.48014087086435969</v>
      </c>
    </row>
    <row r="88" spans="13:39" x14ac:dyDescent="0.25">
      <c r="M88" s="22" t="s">
        <v>45</v>
      </c>
      <c r="N88" s="4">
        <v>79390179.800000027</v>
      </c>
      <c r="O88" s="20">
        <v>2.9202902372050792E-2</v>
      </c>
      <c r="P88" s="20">
        <v>0.53859322482642358</v>
      </c>
      <c r="AC88" s="5">
        <v>14</v>
      </c>
      <c r="AD88" s="4">
        <v>118285799.76999997</v>
      </c>
      <c r="AJ88" s="19">
        <v>79516727.180000007</v>
      </c>
      <c r="AK88" s="5">
        <v>24</v>
      </c>
      <c r="AL88" s="20">
        <f t="shared" si="2"/>
        <v>2.9249451590013117E-2</v>
      </c>
      <c r="AM88" s="21">
        <f t="shared" si="3"/>
        <v>0.50939032245437277</v>
      </c>
    </row>
    <row r="89" spans="13:39" x14ac:dyDescent="0.25">
      <c r="M89" s="22" t="s">
        <v>46</v>
      </c>
      <c r="N89" s="4">
        <v>78231038.799999997</v>
      </c>
      <c r="O89" s="20">
        <v>2.8776523674537851E-2</v>
      </c>
      <c r="P89" s="20">
        <v>0.56736974850096145</v>
      </c>
      <c r="AC89" s="5">
        <v>15</v>
      </c>
      <c r="AD89" s="4">
        <v>35503840.100000009</v>
      </c>
      <c r="AJ89" s="19">
        <v>79390179.800000027</v>
      </c>
      <c r="AK89" s="5">
        <v>23</v>
      </c>
      <c r="AL89" s="20">
        <f t="shared" si="2"/>
        <v>2.9202902372050792E-2</v>
      </c>
      <c r="AM89" s="21">
        <f t="shared" si="3"/>
        <v>0.53859322482642358</v>
      </c>
    </row>
    <row r="90" spans="13:39" x14ac:dyDescent="0.25">
      <c r="M90" s="22" t="s">
        <v>47</v>
      </c>
      <c r="N90" s="4">
        <v>72218185.230000004</v>
      </c>
      <c r="O90" s="20">
        <v>2.6564754206015413E-2</v>
      </c>
      <c r="P90" s="20">
        <v>0.5939345027069769</v>
      </c>
      <c r="AC90" s="5">
        <v>16</v>
      </c>
      <c r="AD90" s="4">
        <v>29374670.950000003</v>
      </c>
      <c r="AJ90" s="19">
        <v>78231038.799999997</v>
      </c>
      <c r="AK90" s="5">
        <v>11</v>
      </c>
      <c r="AL90" s="20">
        <f t="shared" si="2"/>
        <v>2.8776523674537851E-2</v>
      </c>
      <c r="AM90" s="21">
        <f t="shared" si="3"/>
        <v>0.56736974850096145</v>
      </c>
    </row>
    <row r="91" spans="13:39" x14ac:dyDescent="0.25">
      <c r="M91" s="22" t="s">
        <v>48</v>
      </c>
      <c r="N91" s="4">
        <v>65705390.340000018</v>
      </c>
      <c r="O91" s="20">
        <v>2.416908620499823E-2</v>
      </c>
      <c r="P91" s="20">
        <v>0.61810358891197514</v>
      </c>
      <c r="AC91" s="5">
        <v>17</v>
      </c>
      <c r="AD91" s="4">
        <v>51347414.190000005</v>
      </c>
      <c r="AJ91" s="19">
        <v>72218185.230000004</v>
      </c>
      <c r="AK91" s="5">
        <v>41</v>
      </c>
      <c r="AL91" s="20">
        <f t="shared" si="2"/>
        <v>2.6564754206015413E-2</v>
      </c>
      <c r="AM91" s="21">
        <f t="shared" si="3"/>
        <v>0.5939345027069769</v>
      </c>
    </row>
    <row r="92" spans="13:39" x14ac:dyDescent="0.25">
      <c r="M92" s="22" t="s">
        <v>49</v>
      </c>
      <c r="N92" s="4">
        <v>62482538.569999993</v>
      </c>
      <c r="O92" s="20">
        <v>2.2983591653455447E-2</v>
      </c>
      <c r="P92" s="20">
        <v>0.64108718056543057</v>
      </c>
      <c r="AC92" s="5">
        <v>18</v>
      </c>
      <c r="AD92" s="4">
        <v>62482538.569999993</v>
      </c>
      <c r="AJ92" s="19">
        <v>65705390.340000018</v>
      </c>
      <c r="AK92" s="5">
        <v>32</v>
      </c>
      <c r="AL92" s="20">
        <f t="shared" si="2"/>
        <v>2.416908620499823E-2</v>
      </c>
      <c r="AM92" s="21">
        <f t="shared" si="3"/>
        <v>0.61810358891197514</v>
      </c>
    </row>
    <row r="93" spans="13:39" x14ac:dyDescent="0.25">
      <c r="M93" s="22" t="s">
        <v>50</v>
      </c>
      <c r="N93" s="4">
        <v>59126473.479999997</v>
      </c>
      <c r="O93" s="20">
        <v>2.1749095883016122E-2</v>
      </c>
      <c r="P93" s="20">
        <v>0.66283627644844667</v>
      </c>
      <c r="AC93" s="5">
        <v>19</v>
      </c>
      <c r="AD93" s="4">
        <v>83715436.999999985</v>
      </c>
      <c r="AJ93" s="19">
        <v>62482538.569999993</v>
      </c>
      <c r="AK93" s="5">
        <v>18</v>
      </c>
      <c r="AL93" s="20">
        <f t="shared" si="2"/>
        <v>2.2983591653455447E-2</v>
      </c>
      <c r="AM93" s="21">
        <f t="shared" si="3"/>
        <v>0.64108718056543057</v>
      </c>
    </row>
    <row r="94" spans="13:39" x14ac:dyDescent="0.25">
      <c r="M94" s="22" t="s">
        <v>51</v>
      </c>
      <c r="N94" s="4">
        <v>59076630.18999999</v>
      </c>
      <c r="O94" s="20">
        <v>2.173076151552333E-2</v>
      </c>
      <c r="P94" s="20">
        <v>0.68456703796397</v>
      </c>
      <c r="AC94" s="5">
        <v>20</v>
      </c>
      <c r="AD94" s="4">
        <v>123654115.52000001</v>
      </c>
      <c r="AJ94" s="19">
        <v>59126473.479999997</v>
      </c>
      <c r="AK94" s="5">
        <v>26</v>
      </c>
      <c r="AL94" s="20">
        <f t="shared" si="2"/>
        <v>2.1749095883016122E-2</v>
      </c>
      <c r="AM94" s="21">
        <f t="shared" si="3"/>
        <v>0.66283627644844667</v>
      </c>
    </row>
    <row r="95" spans="13:39" x14ac:dyDescent="0.25">
      <c r="M95" s="22" t="s">
        <v>52</v>
      </c>
      <c r="N95" s="4">
        <v>58024045.580000006</v>
      </c>
      <c r="O95" s="20">
        <v>2.1343578545518861E-2</v>
      </c>
      <c r="P95" s="20">
        <v>0.70591061650948883</v>
      </c>
      <c r="AC95" s="5">
        <v>21</v>
      </c>
      <c r="AD95" s="4">
        <v>41859207.719999991</v>
      </c>
      <c r="AJ95" s="19">
        <v>59076630.18999999</v>
      </c>
      <c r="AK95" s="5">
        <v>22</v>
      </c>
      <c r="AL95" s="20">
        <f t="shared" si="2"/>
        <v>2.173076151552333E-2</v>
      </c>
      <c r="AM95" s="21">
        <f t="shared" si="3"/>
        <v>0.68456703796397</v>
      </c>
    </row>
    <row r="96" spans="13:39" x14ac:dyDescent="0.25">
      <c r="M96" s="22" t="s">
        <v>53</v>
      </c>
      <c r="N96" s="4">
        <v>57254759.219999991</v>
      </c>
      <c r="O96" s="20">
        <v>2.1060604070289989E-2</v>
      </c>
      <c r="P96" s="20">
        <v>0.72697122057977881</v>
      </c>
      <c r="AC96" s="5">
        <v>22</v>
      </c>
      <c r="AD96" s="4">
        <v>59076630.18999999</v>
      </c>
      <c r="AJ96" s="19">
        <v>58024045.580000006</v>
      </c>
      <c r="AK96" s="5">
        <v>12</v>
      </c>
      <c r="AL96" s="20">
        <f t="shared" si="2"/>
        <v>2.1343578545518861E-2</v>
      </c>
      <c r="AM96" s="21">
        <f t="shared" si="3"/>
        <v>0.70591061650948883</v>
      </c>
    </row>
    <row r="97" spans="13:39" x14ac:dyDescent="0.25">
      <c r="M97" s="22" t="s">
        <v>54</v>
      </c>
      <c r="N97" s="4">
        <v>55059912.460000008</v>
      </c>
      <c r="O97" s="20">
        <v>2.0253251122918387E-2</v>
      </c>
      <c r="P97" s="20">
        <v>0.74722447170269723</v>
      </c>
      <c r="AC97" s="5">
        <v>23</v>
      </c>
      <c r="AD97" s="4">
        <v>79390179.800000027</v>
      </c>
      <c r="AJ97" s="19">
        <v>57254759.219999991</v>
      </c>
      <c r="AK97" s="5">
        <v>40</v>
      </c>
      <c r="AL97" s="20">
        <f t="shared" si="2"/>
        <v>2.1060604070289989E-2</v>
      </c>
      <c r="AM97" s="21">
        <f t="shared" si="3"/>
        <v>0.72697122057977881</v>
      </c>
    </row>
    <row r="98" spans="13:39" x14ac:dyDescent="0.25">
      <c r="M98" s="22" t="s">
        <v>55</v>
      </c>
      <c r="N98" s="4">
        <v>52739751.870000027</v>
      </c>
      <c r="O98" s="20">
        <v>1.9399802706905993E-2</v>
      </c>
      <c r="P98" s="20">
        <v>0.76662427440960323</v>
      </c>
      <c r="AC98" s="5">
        <v>24</v>
      </c>
      <c r="AD98" s="4">
        <v>79516727.180000007</v>
      </c>
      <c r="AJ98" s="19">
        <v>55059912.460000008</v>
      </c>
      <c r="AK98" s="5">
        <v>34</v>
      </c>
      <c r="AL98" s="20">
        <f t="shared" si="2"/>
        <v>2.0253251122918387E-2</v>
      </c>
      <c r="AM98" s="21">
        <f t="shared" si="3"/>
        <v>0.74722447170269723</v>
      </c>
    </row>
    <row r="99" spans="13:39" x14ac:dyDescent="0.25">
      <c r="M99" s="22" t="s">
        <v>56</v>
      </c>
      <c r="N99" s="4">
        <v>52619595.950000003</v>
      </c>
      <c r="O99" s="20">
        <v>1.9355604525090254E-2</v>
      </c>
      <c r="P99" s="20">
        <v>0.78597987893469345</v>
      </c>
      <c r="AC99" s="5">
        <v>25</v>
      </c>
      <c r="AD99" s="4">
        <v>40068097.139999986</v>
      </c>
      <c r="AJ99" s="19">
        <v>52739751.870000027</v>
      </c>
      <c r="AK99" s="5">
        <v>35</v>
      </c>
      <c r="AL99" s="20">
        <f t="shared" si="2"/>
        <v>1.9399802706905993E-2</v>
      </c>
      <c r="AM99" s="21">
        <f t="shared" si="3"/>
        <v>0.76662427440960323</v>
      </c>
    </row>
    <row r="100" spans="13:39" x14ac:dyDescent="0.25">
      <c r="M100" s="22" t="s">
        <v>57</v>
      </c>
      <c r="N100" s="4">
        <v>51347414.190000005</v>
      </c>
      <c r="O100" s="20">
        <v>1.8887644887886062E-2</v>
      </c>
      <c r="P100" s="20">
        <v>0.80486752382257953</v>
      </c>
      <c r="AC100" s="5">
        <v>26</v>
      </c>
      <c r="AD100" s="4">
        <v>59126473.479999997</v>
      </c>
      <c r="AJ100" s="19">
        <v>52619595.950000003</v>
      </c>
      <c r="AK100" s="5">
        <v>8</v>
      </c>
      <c r="AL100" s="20">
        <f t="shared" si="2"/>
        <v>1.9355604525090254E-2</v>
      </c>
      <c r="AM100" s="21">
        <f t="shared" si="3"/>
        <v>0.78597987893469345</v>
      </c>
    </row>
    <row r="101" spans="13:39" x14ac:dyDescent="0.25">
      <c r="M101" s="22" t="s">
        <v>58</v>
      </c>
      <c r="N101" s="4">
        <v>44793091.729999989</v>
      </c>
      <c r="O101" s="20">
        <v>1.6476701375772736E-2</v>
      </c>
      <c r="P101" s="20">
        <v>0.82134422519835226</v>
      </c>
      <c r="AC101" s="5">
        <v>27</v>
      </c>
      <c r="AD101" s="4">
        <v>101618599.37000003</v>
      </c>
      <c r="AJ101" s="19">
        <v>51347414.190000005</v>
      </c>
      <c r="AK101" s="5">
        <v>17</v>
      </c>
      <c r="AL101" s="20">
        <f t="shared" si="2"/>
        <v>1.8887644887886062E-2</v>
      </c>
      <c r="AM101" s="21">
        <f t="shared" si="3"/>
        <v>0.80486752382257953</v>
      </c>
    </row>
    <row r="102" spans="13:39" x14ac:dyDescent="0.25">
      <c r="M102" s="22" t="s">
        <v>31</v>
      </c>
      <c r="N102" s="4">
        <v>41859207.719999991</v>
      </c>
      <c r="O102" s="20">
        <v>1.5397500792894718E-2</v>
      </c>
      <c r="P102" s="20">
        <v>0.83674172599124697</v>
      </c>
      <c r="AC102" s="5">
        <v>28</v>
      </c>
      <c r="AD102" s="4">
        <v>81770506.329999983</v>
      </c>
      <c r="AJ102" s="19">
        <v>44793091.729999989</v>
      </c>
      <c r="AK102" s="5">
        <v>45</v>
      </c>
      <c r="AL102" s="20">
        <f t="shared" si="2"/>
        <v>1.6476701375772736E-2</v>
      </c>
      <c r="AM102" s="21">
        <f t="shared" si="3"/>
        <v>0.82134422519835226</v>
      </c>
    </row>
    <row r="103" spans="13:39" x14ac:dyDescent="0.25">
      <c r="M103" s="22" t="s">
        <v>59</v>
      </c>
      <c r="N103" s="4">
        <v>40068097.139999986</v>
      </c>
      <c r="O103" s="20">
        <v>1.4738658256739038E-2</v>
      </c>
      <c r="P103" s="20">
        <v>0.851480384247986</v>
      </c>
      <c r="AC103" s="5">
        <v>29</v>
      </c>
      <c r="AD103" s="4">
        <v>30806139.210000005</v>
      </c>
      <c r="AJ103" s="19">
        <v>41859207.719999991</v>
      </c>
      <c r="AK103" s="5">
        <v>21</v>
      </c>
      <c r="AL103" s="20">
        <f t="shared" si="2"/>
        <v>1.5397500792894718E-2</v>
      </c>
      <c r="AM103" s="21">
        <f t="shared" si="3"/>
        <v>0.83674172599124697</v>
      </c>
    </row>
    <row r="104" spans="13:39" x14ac:dyDescent="0.25">
      <c r="M104" s="22" t="s">
        <v>60</v>
      </c>
      <c r="N104" s="4">
        <v>36681125.710000001</v>
      </c>
      <c r="O104" s="20">
        <v>1.3492793890939795E-2</v>
      </c>
      <c r="P104" s="20">
        <v>0.86497317813892582</v>
      </c>
      <c r="AC104" s="5">
        <v>30</v>
      </c>
      <c r="AD104" s="4">
        <v>25152040.160000004</v>
      </c>
      <c r="AJ104" s="19">
        <v>40068097.139999986</v>
      </c>
      <c r="AK104" s="5">
        <v>25</v>
      </c>
      <c r="AL104" s="20">
        <f t="shared" si="2"/>
        <v>1.4738658256739038E-2</v>
      </c>
      <c r="AM104" s="21">
        <f t="shared" si="3"/>
        <v>0.851480384247986</v>
      </c>
    </row>
    <row r="105" spans="13:39" x14ac:dyDescent="0.25">
      <c r="M105" s="22" t="s">
        <v>61</v>
      </c>
      <c r="N105" s="4">
        <v>35503840.100000009</v>
      </c>
      <c r="O105" s="20">
        <v>1.3059740875825575E-2</v>
      </c>
      <c r="P105" s="20">
        <v>0.87803291901475145</v>
      </c>
      <c r="AC105" s="5">
        <v>31</v>
      </c>
      <c r="AD105" s="4">
        <v>79764831.070000023</v>
      </c>
      <c r="AJ105" s="19">
        <v>36681125.710000001</v>
      </c>
      <c r="AK105" s="5">
        <v>43</v>
      </c>
      <c r="AL105" s="20">
        <f t="shared" si="2"/>
        <v>1.3492793890939795E-2</v>
      </c>
      <c r="AM105" s="21">
        <f t="shared" si="3"/>
        <v>0.86497317813892582</v>
      </c>
    </row>
    <row r="106" spans="13:39" x14ac:dyDescent="0.25">
      <c r="M106" s="22" t="s">
        <v>62</v>
      </c>
      <c r="N106" s="4">
        <v>33325351.510000005</v>
      </c>
      <c r="O106" s="20">
        <v>1.2258405121546346E-2</v>
      </c>
      <c r="P106" s="20">
        <v>0.89029132413629775</v>
      </c>
      <c r="AC106" s="5">
        <v>32</v>
      </c>
      <c r="AD106" s="4">
        <v>65705390.340000018</v>
      </c>
      <c r="AJ106" s="19">
        <v>35503840.100000009</v>
      </c>
      <c r="AK106" s="5">
        <v>15</v>
      </c>
      <c r="AL106" s="20">
        <f t="shared" si="2"/>
        <v>1.3059740875825575E-2</v>
      </c>
      <c r="AM106" s="21">
        <f t="shared" si="3"/>
        <v>0.87803291901475145</v>
      </c>
    </row>
    <row r="107" spans="13:39" x14ac:dyDescent="0.25">
      <c r="M107" s="22" t="s">
        <v>63</v>
      </c>
      <c r="N107" s="4">
        <v>32341729.079999994</v>
      </c>
      <c r="O107" s="20">
        <v>1.1896589216019833E-2</v>
      </c>
      <c r="P107" s="20">
        <v>0.90218791335231763</v>
      </c>
      <c r="AC107" s="5">
        <v>33</v>
      </c>
      <c r="AD107" s="4">
        <v>15238321.139999999</v>
      </c>
      <c r="AJ107" s="19">
        <v>33325351.510000005</v>
      </c>
      <c r="AK107" s="5">
        <v>42</v>
      </c>
      <c r="AL107" s="20">
        <f t="shared" si="2"/>
        <v>1.2258405121546346E-2</v>
      </c>
      <c r="AM107" s="21">
        <f t="shared" si="3"/>
        <v>0.89029132413629775</v>
      </c>
    </row>
    <row r="108" spans="13:39" x14ac:dyDescent="0.25">
      <c r="M108" s="22" t="s">
        <v>64</v>
      </c>
      <c r="N108" s="4">
        <v>31487839.230000004</v>
      </c>
      <c r="O108" s="20">
        <v>1.1582494173171287E-2</v>
      </c>
      <c r="P108" s="20">
        <v>0.91377040752548888</v>
      </c>
      <c r="AC108" s="5">
        <v>34</v>
      </c>
      <c r="AD108" s="4">
        <v>55059912.460000008</v>
      </c>
      <c r="AJ108" s="19">
        <v>32341729.079999994</v>
      </c>
      <c r="AK108" s="5">
        <v>7</v>
      </c>
      <c r="AL108" s="20">
        <f t="shared" si="2"/>
        <v>1.1896589216019833E-2</v>
      </c>
      <c r="AM108" s="21">
        <f t="shared" si="3"/>
        <v>0.90218791335231763</v>
      </c>
    </row>
    <row r="109" spans="13:39" x14ac:dyDescent="0.25">
      <c r="M109" s="22" t="s">
        <v>65</v>
      </c>
      <c r="N109" s="4">
        <v>30806139.210000005</v>
      </c>
      <c r="O109" s="20">
        <v>1.1331737477806239E-2</v>
      </c>
      <c r="P109" s="20">
        <v>0.92510214500329513</v>
      </c>
      <c r="AC109" s="5">
        <v>35</v>
      </c>
      <c r="AD109" s="4">
        <v>52739751.870000027</v>
      </c>
      <c r="AJ109" s="19">
        <v>31487839.230000004</v>
      </c>
      <c r="AK109" s="5">
        <v>9</v>
      </c>
      <c r="AL109" s="20">
        <f t="shared" si="2"/>
        <v>1.1582494173171287E-2</v>
      </c>
      <c r="AM109" s="21">
        <f t="shared" si="3"/>
        <v>0.91377040752548888</v>
      </c>
    </row>
    <row r="110" spans="13:39" x14ac:dyDescent="0.25">
      <c r="M110" s="22" t="s">
        <v>66</v>
      </c>
      <c r="N110" s="4">
        <v>29863637.080000009</v>
      </c>
      <c r="O110" s="20">
        <v>1.0985047273083465E-2</v>
      </c>
      <c r="P110" s="20">
        <v>0.9360871922763786</v>
      </c>
      <c r="AC110" s="5">
        <v>36</v>
      </c>
      <c r="AD110" s="4">
        <v>21647564.54999999</v>
      </c>
      <c r="AJ110" s="19">
        <v>30806139.210000005</v>
      </c>
      <c r="AK110" s="5">
        <v>29</v>
      </c>
      <c r="AL110" s="20">
        <f t="shared" si="2"/>
        <v>1.1331737477806239E-2</v>
      </c>
      <c r="AM110" s="21">
        <f t="shared" si="3"/>
        <v>0.92510214500329513</v>
      </c>
    </row>
    <row r="111" spans="13:39" x14ac:dyDescent="0.25">
      <c r="M111" s="22" t="s">
        <v>67</v>
      </c>
      <c r="N111" s="4">
        <v>29374670.950000003</v>
      </c>
      <c r="O111" s="20">
        <v>1.0805185857054405E-2</v>
      </c>
      <c r="P111" s="20">
        <v>0.94689237813343297</v>
      </c>
      <c r="AC111" s="5">
        <v>37</v>
      </c>
      <c r="AD111" s="4">
        <v>29863637.080000009</v>
      </c>
      <c r="AJ111" s="19">
        <v>29863637.080000009</v>
      </c>
      <c r="AK111" s="5">
        <v>37</v>
      </c>
      <c r="AL111" s="20">
        <f t="shared" si="2"/>
        <v>1.0985047273083465E-2</v>
      </c>
      <c r="AM111" s="21">
        <f t="shared" si="3"/>
        <v>0.9360871922763786</v>
      </c>
    </row>
    <row r="112" spans="13:39" x14ac:dyDescent="0.25">
      <c r="M112" s="22" t="s">
        <v>68</v>
      </c>
      <c r="N112" s="4">
        <v>25152040.160000004</v>
      </c>
      <c r="O112" s="20">
        <v>9.2519323561272588E-3</v>
      </c>
      <c r="P112" s="20">
        <v>0.95614431048956028</v>
      </c>
      <c r="AC112" s="5">
        <v>38</v>
      </c>
      <c r="AD112" s="4">
        <v>23051454.650000002</v>
      </c>
      <c r="AJ112" s="19">
        <v>29374670.950000003</v>
      </c>
      <c r="AK112" s="5">
        <v>16</v>
      </c>
      <c r="AL112" s="20">
        <f t="shared" si="2"/>
        <v>1.0805185857054405E-2</v>
      </c>
      <c r="AM112" s="21">
        <f t="shared" si="3"/>
        <v>0.94689237813343297</v>
      </c>
    </row>
    <row r="113" spans="13:39" x14ac:dyDescent="0.25">
      <c r="M113" s="22" t="s">
        <v>69</v>
      </c>
      <c r="N113" s="4">
        <v>23548991.5</v>
      </c>
      <c r="O113" s="20">
        <v>8.6622665607661679E-3</v>
      </c>
      <c r="P113" s="20">
        <v>0.96480657705032646</v>
      </c>
      <c r="AC113" s="5">
        <v>39</v>
      </c>
      <c r="AD113" s="4">
        <v>81809726.219999984</v>
      </c>
      <c r="AJ113" s="19">
        <v>25152040.160000004</v>
      </c>
      <c r="AK113" s="5">
        <v>30</v>
      </c>
      <c r="AL113" s="20">
        <f t="shared" si="2"/>
        <v>9.2519323561272588E-3</v>
      </c>
      <c r="AM113" s="21">
        <f t="shared" si="3"/>
        <v>0.95614431048956028</v>
      </c>
    </row>
    <row r="114" spans="13:39" x14ac:dyDescent="0.25">
      <c r="M114" s="22" t="s">
        <v>70</v>
      </c>
      <c r="N114" s="4">
        <v>23051454.650000002</v>
      </c>
      <c r="O114" s="20">
        <v>8.4792524890805968E-3</v>
      </c>
      <c r="P114" s="20">
        <v>0.97328582953940701</v>
      </c>
      <c r="AC114" s="5">
        <v>40</v>
      </c>
      <c r="AD114" s="4">
        <v>57254759.219999991</v>
      </c>
      <c r="AJ114" s="19">
        <v>23548991.5</v>
      </c>
      <c r="AK114" s="5">
        <v>3</v>
      </c>
      <c r="AL114" s="20">
        <f t="shared" si="2"/>
        <v>8.6622665607661679E-3</v>
      </c>
      <c r="AM114" s="21">
        <f t="shared" si="3"/>
        <v>0.96480657705032646</v>
      </c>
    </row>
    <row r="115" spans="13:39" x14ac:dyDescent="0.25">
      <c r="M115" s="22" t="s">
        <v>71</v>
      </c>
      <c r="N115" s="4">
        <v>21647564.54999999</v>
      </c>
      <c r="O115" s="20">
        <v>7.9628452251762905E-3</v>
      </c>
      <c r="P115" s="20">
        <v>0.98124867476458333</v>
      </c>
      <c r="AC115" s="5">
        <v>41</v>
      </c>
      <c r="AD115" s="4">
        <v>72218185.230000004</v>
      </c>
      <c r="AJ115" s="19">
        <v>23051454.650000002</v>
      </c>
      <c r="AK115" s="5">
        <v>38</v>
      </c>
      <c r="AL115" s="20">
        <f t="shared" si="2"/>
        <v>8.4792524890805968E-3</v>
      </c>
      <c r="AM115" s="21">
        <f t="shared" si="3"/>
        <v>0.97328582953940701</v>
      </c>
    </row>
    <row r="116" spans="13:39" x14ac:dyDescent="0.25">
      <c r="M116" s="22" t="s">
        <v>72</v>
      </c>
      <c r="N116" s="4">
        <v>18493210.620000001</v>
      </c>
      <c r="O116" s="20">
        <v>6.8025469351768965E-3</v>
      </c>
      <c r="P116" s="20">
        <v>0.98805122169976023</v>
      </c>
      <c r="AC116" s="5">
        <v>42</v>
      </c>
      <c r="AD116" s="4">
        <v>33325351.510000005</v>
      </c>
      <c r="AJ116" s="19">
        <v>21647564.54999999</v>
      </c>
      <c r="AK116" s="5">
        <v>36</v>
      </c>
      <c r="AL116" s="20">
        <f t="shared" si="2"/>
        <v>7.9628452251762905E-3</v>
      </c>
      <c r="AM116" s="21">
        <f t="shared" si="3"/>
        <v>0.98124867476458333</v>
      </c>
    </row>
    <row r="117" spans="13:39" x14ac:dyDescent="0.25">
      <c r="M117" s="22" t="s">
        <v>73</v>
      </c>
      <c r="N117" s="4">
        <v>17245287.700000003</v>
      </c>
      <c r="O117" s="20">
        <v>6.3435106753723242E-3</v>
      </c>
      <c r="P117" s="20">
        <v>0.99439473237513254</v>
      </c>
      <c r="AC117" s="5">
        <v>43</v>
      </c>
      <c r="AD117" s="4">
        <v>36681125.710000001</v>
      </c>
      <c r="AJ117" s="19">
        <v>18493210.620000001</v>
      </c>
      <c r="AK117" s="5">
        <v>5</v>
      </c>
      <c r="AL117" s="20">
        <f t="shared" si="2"/>
        <v>6.8025469351768965E-3</v>
      </c>
      <c r="AM117" s="21">
        <f t="shared" si="3"/>
        <v>0.98805122169976023</v>
      </c>
    </row>
    <row r="118" spans="13:39" x14ac:dyDescent="0.25">
      <c r="M118" s="22" t="s">
        <v>74</v>
      </c>
      <c r="N118" s="4">
        <v>15238321.139999999</v>
      </c>
      <c r="O118" s="20">
        <v>5.6052676248678499E-3</v>
      </c>
      <c r="P118" s="20">
        <v>1.0000000000000004</v>
      </c>
      <c r="AC118" s="5">
        <v>44</v>
      </c>
      <c r="AD118" s="4">
        <v>17245287.700000003</v>
      </c>
      <c r="AJ118" s="19">
        <v>17245287.700000003</v>
      </c>
      <c r="AK118" s="5">
        <v>44</v>
      </c>
      <c r="AL118" s="20">
        <f t="shared" si="2"/>
        <v>6.3435106753723242E-3</v>
      </c>
      <c r="AM118" s="21">
        <f t="shared" si="3"/>
        <v>0.99439473237513254</v>
      </c>
    </row>
    <row r="119" spans="13:39" x14ac:dyDescent="0.25">
      <c r="AC119" s="5">
        <v>45</v>
      </c>
      <c r="AD119" s="4">
        <v>44793091.729999989</v>
      </c>
      <c r="AJ119" s="19">
        <v>15238321.139999999</v>
      </c>
      <c r="AK119" s="5">
        <v>33</v>
      </c>
      <c r="AL119" s="20">
        <f t="shared" si="2"/>
        <v>5.6052676248678499E-3</v>
      </c>
      <c r="AM119" s="21">
        <f t="shared" si="3"/>
        <v>1.0000000000000004</v>
      </c>
    </row>
    <row r="120" spans="13:39" x14ac:dyDescent="0.25">
      <c r="AJ120" s="19" t="s">
        <v>11</v>
      </c>
      <c r="AK120" s="5">
        <v>1035</v>
      </c>
    </row>
  </sheetData>
  <sheetProtection algorithmName="SHA-512" hashValue="4iQKWPK4Z3ZC4aak/q5MDTSmhwNPrYXqVelU2vewnOJ14R9BpfynC8fkP/QXGitmz5dVgD+dCDtsNknvjVaCxQ==" saltValue="wUTt7k01/UjJ0moLcgiVxg==" spinCount="100000" sheet="1" objects="1" scenarios="1"/>
  <phoneticPr fontId="4" type="noConversion"/>
  <conditionalFormatting sqref="AC25:AD6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{ACD92EEB-2DCA-4600-AB0C-ABFA82326177}</x14:id>
        </ext>
      </extLst>
    </cfRule>
  </conditionalFormatting>
  <conditionalFormatting sqref="AC75:AD1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{123371C1-2801-460A-90B2-742AB65C0AE2}</x14:id>
        </ext>
      </extLst>
    </cfRule>
  </conditionalFormatting>
  <conditionalFormatting sqref="AD2:AD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{B841F737-4BE2-4BB9-88FE-A7DDDAE5ABF5}</x14:id>
        </ext>
      </extLs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AD8:AD1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{BC89FBA4-95FE-4A2C-A065-F7D53CD315B9}</x14:id>
        </ext>
      </extLst>
    </cfRule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AD25:AD69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AD75:AD119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AE8:AE1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5:AE6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D92EEB-2DCA-4600-AB0C-ABFA82326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AC25:AD69</xm:sqref>
        </x14:conditionalFormatting>
        <x14:conditionalFormatting xmlns:xm="http://schemas.microsoft.com/office/excel/2006/main">
          <x14:cfRule type="dataBar" id="{123371C1-2801-460A-90B2-742AB65C0A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AC75:AD119</xm:sqref>
        </x14:conditionalFormatting>
        <x14:conditionalFormatting xmlns:xm="http://schemas.microsoft.com/office/excel/2006/main">
          <x14:cfRule type="dataBar" id="{B841F737-4BE2-4BB9-88FE-A7DDDAE5AB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AD2:AD4</xm:sqref>
        </x14:conditionalFormatting>
        <x14:conditionalFormatting xmlns:xm="http://schemas.microsoft.com/office/excel/2006/main">
          <x14:cfRule type="dataBar" id="{BC89FBA4-95FE-4A2C-A065-F7D53CD31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AD8:AD19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4A82-DC85-43CA-B923-573908D173BF}">
  <dimension ref="AG9"/>
  <sheetViews>
    <sheetView showGridLines="0" view="pageBreakPreview" topLeftCell="H1" zoomScale="70" zoomScaleNormal="40" zoomScaleSheetLayoutView="70" workbookViewId="0">
      <selection activeCell="AW115" sqref="AW115:BL115"/>
    </sheetView>
  </sheetViews>
  <sheetFormatPr defaultRowHeight="15" x14ac:dyDescent="0.25"/>
  <sheetData>
    <row r="9" spans="33:33" x14ac:dyDescent="0.25">
      <c r="AG9" s="18"/>
    </row>
  </sheetData>
  <sheetProtection algorithmName="SHA-512" hashValue="xc0PVfPpVlQVBPvGWPxu8u1wkBI4gn8s8Qnw8hRnzDSc5k6DB/Zo5QWN60pOH18GD6WetCXlYvMyQzGvLZL3Ow==" saltValue="M5NghSzBmrOJiymbNtusjg==" spinCount="100000" sheet="1" objects="1" scenarios="1"/>
  <pageMargins left="0.7" right="0.7" top="0.75" bottom="0.75" header="0.3" footer="0.3"/>
  <pageSetup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51C3-9F8E-443F-AFC1-82F9769D034D}">
  <dimension ref="A1:P49"/>
  <sheetViews>
    <sheetView zoomScaleNormal="100" workbookViewId="0">
      <selection activeCell="F5" sqref="F5"/>
    </sheetView>
  </sheetViews>
  <sheetFormatPr defaultRowHeight="15" x14ac:dyDescent="0.25"/>
  <cols>
    <col min="2" max="3" width="9.140625" style="5"/>
    <col min="4" max="4" width="16.42578125" style="4" bestFit="1" customWidth="1"/>
    <col min="5" max="5" width="16.85546875" style="24" bestFit="1" customWidth="1"/>
    <col min="6" max="6" width="18.42578125" style="5" bestFit="1" customWidth="1"/>
    <col min="7" max="7" width="21.7109375" style="30" bestFit="1" customWidth="1"/>
    <col min="8" max="8" width="13.5703125" style="31" bestFit="1" customWidth="1"/>
    <col min="9" max="9" width="15.42578125" style="29" bestFit="1" customWidth="1"/>
    <col min="10" max="12" width="15.42578125" style="5" bestFit="1" customWidth="1"/>
    <col min="13" max="13" width="23.85546875" style="4" bestFit="1" customWidth="1"/>
    <col min="14" max="14" width="15.7109375" style="5" bestFit="1" customWidth="1"/>
    <col min="15" max="15" width="23.85546875" style="4" bestFit="1" customWidth="1"/>
    <col min="16" max="16" width="15.42578125" style="5" bestFit="1" customWidth="1"/>
    <col min="20" max="20" width="9.140625" customWidth="1"/>
  </cols>
  <sheetData>
    <row r="1" spans="1:16" x14ac:dyDescent="0.25">
      <c r="A1" s="13" t="s">
        <v>75</v>
      </c>
      <c r="B1" s="13" t="s">
        <v>14</v>
      </c>
      <c r="C1" s="13" t="s">
        <v>13</v>
      </c>
      <c r="D1" s="13" t="s">
        <v>76</v>
      </c>
      <c r="E1" s="23" t="s">
        <v>77</v>
      </c>
      <c r="F1" s="23" t="s">
        <v>78</v>
      </c>
      <c r="G1" s="28" t="s">
        <v>88</v>
      </c>
      <c r="H1" s="28" t="s">
        <v>85</v>
      </c>
      <c r="I1" s="28" t="s">
        <v>87</v>
      </c>
      <c r="J1" s="28" t="s">
        <v>86</v>
      </c>
      <c r="K1" s="27" t="s">
        <v>79</v>
      </c>
      <c r="L1" s="17" t="s">
        <v>80</v>
      </c>
      <c r="M1" s="28" t="s">
        <v>81</v>
      </c>
      <c r="N1" s="28" t="s">
        <v>82</v>
      </c>
      <c r="O1" s="28" t="s">
        <v>83</v>
      </c>
      <c r="P1" s="28" t="s">
        <v>84</v>
      </c>
    </row>
    <row r="2" spans="1:16" x14ac:dyDescent="0.25">
      <c r="A2" s="5">
        <v>1</v>
      </c>
      <c r="B2" s="5">
        <v>2010</v>
      </c>
      <c r="C2" s="5">
        <v>1</v>
      </c>
      <c r="D2" s="4">
        <v>42239875.870000005</v>
      </c>
      <c r="F2" s="4"/>
      <c r="G2" s="4">
        <f>$H$2 * 31 + $I$2</f>
        <v>70728418.253179297</v>
      </c>
      <c r="H2" s="4">
        <f>SLOPE(D1:D36, A1:A36)</f>
        <v>-432853.63714005629</v>
      </c>
      <c r="I2" s="4">
        <f>INTERCEPT(D1:D36, A1:A36)</f>
        <v>84146881.004521042</v>
      </c>
      <c r="J2" s="4">
        <v>48330059.310000002</v>
      </c>
      <c r="K2" s="4">
        <f>ABS(J2-G2)</f>
        <v>22398358.943179294</v>
      </c>
      <c r="L2" s="31">
        <f>ABS((J2-G2)/J2)</f>
        <v>0.46344571604001394</v>
      </c>
      <c r="M2" s="4">
        <f>K2^2</f>
        <v>501686483347499.88</v>
      </c>
      <c r="N2" s="32">
        <f>AVERAGE(L2:L7)</f>
        <v>0.43243469284460012</v>
      </c>
      <c r="O2" s="4">
        <f>AVERAGE(M2:M7)</f>
        <v>533730590288480.31</v>
      </c>
      <c r="P2" s="5">
        <f>SQRT(O2)</f>
        <v>23102610.031952672</v>
      </c>
    </row>
    <row r="3" spans="1:16" x14ac:dyDescent="0.25">
      <c r="A3" s="5">
        <v>2</v>
      </c>
      <c r="B3" s="5">
        <v>2010</v>
      </c>
      <c r="C3" s="5">
        <v>2</v>
      </c>
      <c r="D3" s="4">
        <v>99341315.76000002</v>
      </c>
      <c r="F3" s="4">
        <f>AVERAGE(D1:D3)</f>
        <v>70790595.815000013</v>
      </c>
      <c r="G3" s="4">
        <f>$H$2 * 32 + $I$2</f>
        <v>70295564.616039246</v>
      </c>
      <c r="H3" s="5"/>
      <c r="I3" s="4"/>
      <c r="J3" s="4">
        <v>49651171.779999994</v>
      </c>
      <c r="K3" s="4">
        <f t="shared" ref="K3:K7" si="0">ABS(J3-G3)</f>
        <v>20644392.836039253</v>
      </c>
      <c r="L3" s="31">
        <f t="shared" ref="L3:L7" si="1">ABS((J3-G3)/J3)</f>
        <v>0.41578863289496476</v>
      </c>
      <c r="M3" s="4">
        <f t="shared" ref="M3:M7" si="2">K3^2</f>
        <v>426190955568708.81</v>
      </c>
    </row>
    <row r="4" spans="1:16" x14ac:dyDescent="0.25">
      <c r="A4" s="5">
        <v>3</v>
      </c>
      <c r="B4" s="5">
        <v>2010</v>
      </c>
      <c r="C4" s="5">
        <v>3</v>
      </c>
      <c r="D4" s="4">
        <v>97103285.490000039</v>
      </c>
      <c r="F4" s="4">
        <f t="shared" ref="F4:F37" si="3">AVERAGE(D2:D4)</f>
        <v>79561492.37333335</v>
      </c>
      <c r="G4" s="4">
        <f>$H$2 * 33+ $I$2</f>
        <v>69862710.978899181</v>
      </c>
      <c r="H4" s="5"/>
      <c r="I4" s="4"/>
      <c r="J4" s="4">
        <v>47480454.110000007</v>
      </c>
      <c r="K4" s="4">
        <f t="shared" si="0"/>
        <v>22382256.868899174</v>
      </c>
      <c r="L4" s="31">
        <f t="shared" si="1"/>
        <v>0.47139938504053136</v>
      </c>
      <c r="M4" s="4">
        <f t="shared" si="2"/>
        <v>500965422545384.25</v>
      </c>
    </row>
    <row r="5" spans="1:16" x14ac:dyDescent="0.25">
      <c r="A5" s="5">
        <v>4</v>
      </c>
      <c r="B5" s="5">
        <v>2010</v>
      </c>
      <c r="C5" s="5">
        <v>4</v>
      </c>
      <c r="D5" s="4">
        <v>50188543.12000002</v>
      </c>
      <c r="F5" s="4">
        <f t="shared" si="3"/>
        <v>82211048.12333335</v>
      </c>
      <c r="G5" s="4">
        <f>$H$2 * 34 + $I$2</f>
        <v>69429857.34175913</v>
      </c>
      <c r="H5" s="5"/>
      <c r="I5" s="4"/>
      <c r="J5" s="4">
        <v>97412858.960000038</v>
      </c>
      <c r="K5" s="4">
        <f t="shared" si="0"/>
        <v>27983001.618240908</v>
      </c>
      <c r="L5" s="31">
        <f t="shared" si="1"/>
        <v>0.28726188633608807</v>
      </c>
      <c r="M5" s="4">
        <f t="shared" si="2"/>
        <v>783048379566473.25</v>
      </c>
    </row>
    <row r="6" spans="1:16" x14ac:dyDescent="0.25">
      <c r="A6" s="5">
        <v>5</v>
      </c>
      <c r="B6" s="5">
        <v>2010</v>
      </c>
      <c r="C6" s="5">
        <v>5</v>
      </c>
      <c r="D6" s="4">
        <v>142404192.69</v>
      </c>
      <c r="F6" s="4">
        <f t="shared" si="3"/>
        <v>96565340.433333352</v>
      </c>
      <c r="G6" s="4">
        <f>$H$2 * 35 + $I$2</f>
        <v>68997003.70461908</v>
      </c>
      <c r="H6" s="5"/>
      <c r="I6" s="4"/>
      <c r="J6" s="4">
        <v>46925878.99000001</v>
      </c>
      <c r="K6" s="4">
        <f t="shared" si="0"/>
        <v>22071124.71461907</v>
      </c>
      <c r="L6" s="31">
        <f t="shared" si="1"/>
        <v>0.47034014470613256</v>
      </c>
      <c r="M6" s="4">
        <f t="shared" si="2"/>
        <v>487134546168268.75</v>
      </c>
    </row>
    <row r="7" spans="1:16" x14ac:dyDescent="0.25">
      <c r="A7" s="5">
        <v>6</v>
      </c>
      <c r="B7" s="5">
        <v>2010</v>
      </c>
      <c r="C7" s="5">
        <v>6</v>
      </c>
      <c r="D7" s="4">
        <v>48204999.120000005</v>
      </c>
      <c r="F7" s="4">
        <f t="shared" si="3"/>
        <v>80265911.643333331</v>
      </c>
      <c r="G7" s="4">
        <f>$H$2 * 36+ $I$2</f>
        <v>68564150.067479014</v>
      </c>
      <c r="H7" s="5"/>
      <c r="I7" s="4"/>
      <c r="J7" s="4">
        <v>46128514.25</v>
      </c>
      <c r="K7" s="4">
        <f t="shared" si="0"/>
        <v>22435635.817479014</v>
      </c>
      <c r="L7" s="31">
        <f t="shared" si="1"/>
        <v>0.48637239204986998</v>
      </c>
      <c r="M7" s="4">
        <f t="shared" si="2"/>
        <v>503357754534547.25</v>
      </c>
    </row>
    <row r="8" spans="1:16" x14ac:dyDescent="0.25">
      <c r="A8" s="5">
        <v>7</v>
      </c>
      <c r="B8" s="5">
        <v>2010</v>
      </c>
      <c r="C8" s="5">
        <v>7</v>
      </c>
      <c r="D8" s="4">
        <v>48503243.519999996</v>
      </c>
      <c r="F8" s="4">
        <f t="shared" si="3"/>
        <v>79704145.109999999</v>
      </c>
    </row>
    <row r="9" spans="1:16" x14ac:dyDescent="0.25">
      <c r="A9" s="5">
        <v>8</v>
      </c>
      <c r="B9" s="5">
        <v>2010</v>
      </c>
      <c r="C9" s="5">
        <v>8</v>
      </c>
      <c r="D9" s="4">
        <v>45102974.230000004</v>
      </c>
      <c r="F9" s="4">
        <f t="shared" si="3"/>
        <v>47270405.623333335</v>
      </c>
    </row>
    <row r="10" spans="1:16" x14ac:dyDescent="0.25">
      <c r="A10" s="5">
        <v>9</v>
      </c>
      <c r="B10" s="5">
        <v>2010</v>
      </c>
      <c r="C10" s="5">
        <v>9</v>
      </c>
      <c r="D10" s="4">
        <v>95264819.810000047</v>
      </c>
      <c r="F10" s="4">
        <f t="shared" si="3"/>
        <v>62957012.520000018</v>
      </c>
    </row>
    <row r="11" spans="1:16" x14ac:dyDescent="0.25">
      <c r="A11" s="5">
        <v>10</v>
      </c>
      <c r="B11" s="5">
        <v>2010</v>
      </c>
      <c r="C11" s="5">
        <v>10</v>
      </c>
      <c r="D11" s="4">
        <v>101301168.22999996</v>
      </c>
      <c r="F11" s="4">
        <f t="shared" si="3"/>
        <v>80556320.756666675</v>
      </c>
    </row>
    <row r="12" spans="1:16" x14ac:dyDescent="0.25">
      <c r="A12" s="5">
        <v>11</v>
      </c>
      <c r="B12" s="5">
        <v>2010</v>
      </c>
      <c r="C12" s="5">
        <v>11</v>
      </c>
      <c r="D12" s="4">
        <v>47826546.720000006</v>
      </c>
      <c r="F12" s="4">
        <f t="shared" si="3"/>
        <v>81464178.253333345</v>
      </c>
    </row>
    <row r="13" spans="1:16" x14ac:dyDescent="0.25">
      <c r="A13" s="5">
        <v>12</v>
      </c>
      <c r="B13" s="5">
        <v>2010</v>
      </c>
      <c r="C13" s="5">
        <v>12</v>
      </c>
      <c r="D13" s="4">
        <v>140386874.97000003</v>
      </c>
      <c r="F13" s="4">
        <f t="shared" si="3"/>
        <v>96504863.306666657</v>
      </c>
    </row>
    <row r="14" spans="1:16" x14ac:dyDescent="0.25">
      <c r="A14" s="5">
        <v>13</v>
      </c>
      <c r="B14" s="5">
        <v>2011</v>
      </c>
      <c r="C14" s="5">
        <v>1</v>
      </c>
      <c r="D14" s="4">
        <v>91037510.689999998</v>
      </c>
      <c r="F14" s="4">
        <f t="shared" si="3"/>
        <v>93083644.126666665</v>
      </c>
    </row>
    <row r="15" spans="1:16" x14ac:dyDescent="0.25">
      <c r="A15" s="5">
        <v>14</v>
      </c>
      <c r="B15" s="5">
        <v>2011</v>
      </c>
      <c r="C15" s="5">
        <v>2</v>
      </c>
      <c r="D15" s="4">
        <v>94767179.760000005</v>
      </c>
      <c r="F15" s="4">
        <f t="shared" si="3"/>
        <v>108730521.80666667</v>
      </c>
    </row>
    <row r="16" spans="1:16" x14ac:dyDescent="0.25">
      <c r="A16" s="5">
        <v>15</v>
      </c>
      <c r="B16" s="5">
        <v>2011</v>
      </c>
      <c r="C16" s="5">
        <v>3</v>
      </c>
      <c r="D16" s="4">
        <v>48771994.180000007</v>
      </c>
      <c r="F16" s="4">
        <f t="shared" si="3"/>
        <v>78192228.209999993</v>
      </c>
    </row>
    <row r="17" spans="1:6" x14ac:dyDescent="0.25">
      <c r="A17" s="5">
        <v>16</v>
      </c>
      <c r="B17" s="5">
        <v>2011</v>
      </c>
      <c r="C17" s="5">
        <v>4</v>
      </c>
      <c r="D17" s="4">
        <v>141789259.16000015</v>
      </c>
      <c r="F17" s="4">
        <f t="shared" si="3"/>
        <v>95109477.700000048</v>
      </c>
    </row>
    <row r="18" spans="1:6" x14ac:dyDescent="0.25">
      <c r="A18" s="5">
        <v>17</v>
      </c>
      <c r="B18" s="5">
        <v>2011</v>
      </c>
      <c r="C18" s="5">
        <v>5</v>
      </c>
      <c r="D18" s="4">
        <v>48015466.970000014</v>
      </c>
      <c r="F18" s="4">
        <f t="shared" si="3"/>
        <v>79525573.436666727</v>
      </c>
    </row>
    <row r="19" spans="1:6" x14ac:dyDescent="0.25">
      <c r="A19" s="5">
        <v>18</v>
      </c>
      <c r="B19" s="5">
        <v>2011</v>
      </c>
      <c r="C19" s="5">
        <v>6</v>
      </c>
      <c r="D19" s="4">
        <v>46861958.289999992</v>
      </c>
      <c r="F19" s="4">
        <f t="shared" si="3"/>
        <v>78888894.806666717</v>
      </c>
    </row>
    <row r="20" spans="1:6" x14ac:dyDescent="0.25">
      <c r="A20" s="5">
        <v>19</v>
      </c>
      <c r="B20" s="5">
        <v>2011</v>
      </c>
      <c r="C20" s="5">
        <v>7</v>
      </c>
      <c r="D20" s="4">
        <v>89987476.129999995</v>
      </c>
      <c r="F20" s="4">
        <f t="shared" si="3"/>
        <v>61621633.796666659</v>
      </c>
    </row>
    <row r="21" spans="1:6" x14ac:dyDescent="0.25">
      <c r="A21" s="5">
        <v>20</v>
      </c>
      <c r="B21" s="5">
        <v>2011</v>
      </c>
      <c r="C21" s="5">
        <v>8</v>
      </c>
      <c r="D21" s="4">
        <v>93746730.579999939</v>
      </c>
      <c r="F21" s="4">
        <f t="shared" si="3"/>
        <v>76865388.333333313</v>
      </c>
    </row>
    <row r="22" spans="1:6" x14ac:dyDescent="0.25">
      <c r="A22" s="5">
        <v>21</v>
      </c>
      <c r="B22" s="5">
        <v>2011</v>
      </c>
      <c r="C22" s="5">
        <v>9</v>
      </c>
      <c r="D22" s="4">
        <v>102324375.22999996</v>
      </c>
      <c r="F22" s="4">
        <f t="shared" si="3"/>
        <v>95352860.646666631</v>
      </c>
    </row>
    <row r="23" spans="1:6" x14ac:dyDescent="0.25">
      <c r="A23" s="5">
        <v>22</v>
      </c>
      <c r="B23" s="5">
        <v>2011</v>
      </c>
      <c r="C23" s="5">
        <v>10</v>
      </c>
      <c r="D23" s="4">
        <v>47669734.659999996</v>
      </c>
      <c r="F23" s="4">
        <f t="shared" si="3"/>
        <v>81246946.823333293</v>
      </c>
    </row>
    <row r="24" spans="1:6" x14ac:dyDescent="0.25">
      <c r="A24" s="5">
        <v>23</v>
      </c>
      <c r="B24" s="5">
        <v>2011</v>
      </c>
      <c r="C24" s="5">
        <v>11</v>
      </c>
      <c r="D24" s="4">
        <v>140437736.93999991</v>
      </c>
      <c r="F24" s="4">
        <f t="shared" si="3"/>
        <v>96810615.609999955</v>
      </c>
    </row>
    <row r="25" spans="1:6" x14ac:dyDescent="0.25">
      <c r="A25" s="5">
        <v>24</v>
      </c>
      <c r="B25" s="5">
        <v>2011</v>
      </c>
      <c r="C25" s="5">
        <v>12</v>
      </c>
      <c r="D25" s="4">
        <v>46249569.210000008</v>
      </c>
      <c r="F25" s="4">
        <f t="shared" si="3"/>
        <v>78119013.603333309</v>
      </c>
    </row>
    <row r="26" spans="1:6" x14ac:dyDescent="0.25">
      <c r="A26" s="5">
        <v>25</v>
      </c>
      <c r="B26" s="5">
        <v>2012</v>
      </c>
      <c r="C26" s="5">
        <v>1</v>
      </c>
      <c r="D26" s="4">
        <v>48281649.720000014</v>
      </c>
      <c r="F26" s="4">
        <f t="shared" si="3"/>
        <v>78322985.289999977</v>
      </c>
    </row>
    <row r="27" spans="1:6" x14ac:dyDescent="0.25">
      <c r="A27" s="5">
        <v>26</v>
      </c>
      <c r="B27" s="5">
        <v>2012</v>
      </c>
      <c r="C27" s="5">
        <v>2</v>
      </c>
      <c r="D27" s="4">
        <v>46861034.969999999</v>
      </c>
      <c r="F27" s="4">
        <f t="shared" si="3"/>
        <v>47130751.300000012</v>
      </c>
    </row>
    <row r="28" spans="1:6" x14ac:dyDescent="0.25">
      <c r="A28" s="5">
        <v>27</v>
      </c>
      <c r="B28" s="5">
        <v>2012</v>
      </c>
      <c r="C28" s="5">
        <v>3</v>
      </c>
      <c r="D28" s="4">
        <v>93571507.649999961</v>
      </c>
      <c r="F28" s="4">
        <f t="shared" si="3"/>
        <v>62904730.779999994</v>
      </c>
    </row>
    <row r="29" spans="1:6" x14ac:dyDescent="0.25">
      <c r="A29" s="5">
        <v>28</v>
      </c>
      <c r="B29" s="5">
        <v>2012</v>
      </c>
      <c r="C29" s="5">
        <v>4</v>
      </c>
      <c r="D29" s="4">
        <v>47124197.930000015</v>
      </c>
      <c r="F29" s="4">
        <f t="shared" si="3"/>
        <v>62518913.516666651</v>
      </c>
    </row>
    <row r="30" spans="1:6" x14ac:dyDescent="0.25">
      <c r="A30" s="5">
        <v>29</v>
      </c>
      <c r="B30" s="5">
        <v>2012</v>
      </c>
      <c r="C30" s="5">
        <v>5</v>
      </c>
      <c r="D30" s="4">
        <v>47566639.309999995</v>
      </c>
      <c r="F30" s="4">
        <f t="shared" si="3"/>
        <v>62754114.963333331</v>
      </c>
    </row>
    <row r="31" spans="1:6" x14ac:dyDescent="0.25">
      <c r="A31" s="5">
        <v>30</v>
      </c>
      <c r="B31" s="5">
        <v>2012</v>
      </c>
      <c r="C31" s="5">
        <v>6</v>
      </c>
      <c r="D31" s="4">
        <v>149710759.70000008</v>
      </c>
      <c r="F31" s="4">
        <f t="shared" si="3"/>
        <v>81467198.980000034</v>
      </c>
    </row>
    <row r="32" spans="1:6" x14ac:dyDescent="0.25">
      <c r="A32" s="5">
        <v>31</v>
      </c>
      <c r="B32" s="5">
        <v>2012</v>
      </c>
      <c r="C32" s="5">
        <v>7</v>
      </c>
      <c r="D32" s="4">
        <v>48330059.310000002</v>
      </c>
      <c r="F32" s="4">
        <f t="shared" si="3"/>
        <v>81869152.773333356</v>
      </c>
    </row>
    <row r="33" spans="1:9" x14ac:dyDescent="0.25">
      <c r="A33" s="5">
        <v>32</v>
      </c>
      <c r="B33" s="5">
        <v>2012</v>
      </c>
      <c r="C33" s="5">
        <v>8</v>
      </c>
      <c r="D33" s="4">
        <v>49651171.779999994</v>
      </c>
      <c r="F33" s="4">
        <f t="shared" si="3"/>
        <v>82563996.930000022</v>
      </c>
    </row>
    <row r="34" spans="1:9" x14ac:dyDescent="0.25">
      <c r="A34" s="5">
        <v>33</v>
      </c>
      <c r="B34" s="5">
        <v>2012</v>
      </c>
      <c r="C34" s="5">
        <v>9</v>
      </c>
      <c r="D34" s="4">
        <v>47480454.110000007</v>
      </c>
      <c r="F34" s="4">
        <f t="shared" si="3"/>
        <v>48487228.400000006</v>
      </c>
    </row>
    <row r="35" spans="1:9" x14ac:dyDescent="0.25">
      <c r="A35" s="5">
        <v>34</v>
      </c>
      <c r="B35" s="5">
        <v>2012</v>
      </c>
      <c r="C35" s="5">
        <v>10</v>
      </c>
      <c r="D35" s="4">
        <v>97412858.960000038</v>
      </c>
      <c r="F35" s="4">
        <f t="shared" si="3"/>
        <v>64848161.616666675</v>
      </c>
    </row>
    <row r="36" spans="1:9" x14ac:dyDescent="0.25">
      <c r="A36" s="5">
        <v>35</v>
      </c>
      <c r="B36" s="5">
        <v>2012</v>
      </c>
      <c r="C36" s="5">
        <v>11</v>
      </c>
      <c r="D36" s="4">
        <v>46925878.99000001</v>
      </c>
      <c r="F36" s="4">
        <f t="shared" si="3"/>
        <v>63939730.68666669</v>
      </c>
    </row>
    <row r="37" spans="1:9" x14ac:dyDescent="0.25">
      <c r="A37" s="5">
        <v>36</v>
      </c>
      <c r="B37" s="5">
        <v>2012</v>
      </c>
      <c r="C37" s="5">
        <v>12</v>
      </c>
      <c r="D37" s="4">
        <v>46128514.25</v>
      </c>
      <c r="F37" s="4">
        <f t="shared" si="3"/>
        <v>63489084.066666685</v>
      </c>
    </row>
    <row r="38" spans="1:9" x14ac:dyDescent="0.25">
      <c r="A38" s="25">
        <v>37</v>
      </c>
      <c r="B38" s="25">
        <v>2013</v>
      </c>
      <c r="C38" s="25">
        <v>1</v>
      </c>
      <c r="D38" s="25"/>
      <c r="E38" s="26">
        <f>$H$2 * A37 + $I$2</f>
        <v>68564150.067479014</v>
      </c>
      <c r="H38" s="5"/>
      <c r="I38" s="5"/>
    </row>
    <row r="39" spans="1:9" x14ac:dyDescent="0.25">
      <c r="A39" s="25">
        <v>38</v>
      </c>
      <c r="B39" s="25">
        <v>2013</v>
      </c>
      <c r="C39" s="25">
        <v>2</v>
      </c>
      <c r="D39" s="25"/>
      <c r="E39" s="26">
        <f>$H$2 * A38 + $I$2</f>
        <v>68131296.430338964</v>
      </c>
      <c r="H39" s="5"/>
      <c r="I39" s="5"/>
    </row>
    <row r="40" spans="1:9" x14ac:dyDescent="0.25">
      <c r="A40" s="25">
        <v>39</v>
      </c>
      <c r="B40" s="25">
        <v>2013</v>
      </c>
      <c r="C40" s="25">
        <v>3</v>
      </c>
      <c r="D40" s="25"/>
      <c r="E40" s="26">
        <f>$H$2 * A39 + $I$2</f>
        <v>67698442.793198898</v>
      </c>
      <c r="H40" s="5"/>
      <c r="I40" s="5"/>
    </row>
    <row r="41" spans="1:9" x14ac:dyDescent="0.25">
      <c r="A41" s="25">
        <v>40</v>
      </c>
      <c r="B41" s="25">
        <v>2013</v>
      </c>
      <c r="C41" s="25">
        <v>4</v>
      </c>
      <c r="D41" s="25"/>
      <c r="E41" s="26">
        <f>$H$2 * A40 + $I$2</f>
        <v>67265589.156058848</v>
      </c>
      <c r="H41" s="5"/>
      <c r="I41" s="5"/>
    </row>
    <row r="42" spans="1:9" x14ac:dyDescent="0.25">
      <c r="A42" s="25">
        <v>41</v>
      </c>
      <c r="B42" s="25">
        <v>2013</v>
      </c>
      <c r="C42" s="25">
        <v>5</v>
      </c>
      <c r="D42" s="25"/>
      <c r="E42" s="26">
        <f>$H$2 * A41 + $I$2</f>
        <v>66832735.51891879</v>
      </c>
      <c r="H42" s="5"/>
      <c r="I42" s="5"/>
    </row>
    <row r="43" spans="1:9" x14ac:dyDescent="0.25">
      <c r="A43" s="25">
        <v>42</v>
      </c>
      <c r="B43" s="25">
        <v>2013</v>
      </c>
      <c r="C43" s="25">
        <v>6</v>
      </c>
      <c r="D43" s="25"/>
      <c r="E43" s="26">
        <f>$H$2 * A42 + $I$2</f>
        <v>66399881.881778732</v>
      </c>
      <c r="H43" s="5"/>
      <c r="I43" s="5"/>
    </row>
    <row r="44" spans="1:9" x14ac:dyDescent="0.25">
      <c r="A44" s="25">
        <v>43</v>
      </c>
      <c r="B44" s="25">
        <v>2013</v>
      </c>
      <c r="C44" s="25">
        <v>7</v>
      </c>
      <c r="D44" s="25"/>
      <c r="E44" s="26">
        <f>$H$2 * A43 + $I$2</f>
        <v>65967028.244638681</v>
      </c>
      <c r="H44" s="5"/>
      <c r="I44" s="5"/>
    </row>
    <row r="45" spans="1:9" x14ac:dyDescent="0.25">
      <c r="A45" s="25">
        <v>44</v>
      </c>
      <c r="B45" s="25">
        <v>2013</v>
      </c>
      <c r="C45" s="25">
        <v>8</v>
      </c>
      <c r="D45" s="25"/>
      <c r="E45" s="26">
        <f>$H$2 * A44 + $I$2</f>
        <v>65534174.607498616</v>
      </c>
      <c r="H45" s="5"/>
      <c r="I45" s="5"/>
    </row>
    <row r="46" spans="1:9" x14ac:dyDescent="0.25">
      <c r="A46" s="25">
        <v>45</v>
      </c>
      <c r="B46" s="25">
        <v>2013</v>
      </c>
      <c r="C46" s="25">
        <v>9</v>
      </c>
      <c r="D46" s="25"/>
      <c r="E46" s="26">
        <f>$H$2 * A45 + $I$2</f>
        <v>65101320.970358565</v>
      </c>
      <c r="H46" s="5"/>
      <c r="I46" s="5"/>
    </row>
    <row r="47" spans="1:9" x14ac:dyDescent="0.25">
      <c r="A47" s="25">
        <v>46</v>
      </c>
      <c r="B47" s="25">
        <v>2013</v>
      </c>
      <c r="C47" s="25">
        <v>10</v>
      </c>
      <c r="D47" s="25"/>
      <c r="E47" s="26">
        <f>$H$2 * A46 + $I$2</f>
        <v>64668467.333218507</v>
      </c>
      <c r="H47" s="5"/>
      <c r="I47" s="5"/>
    </row>
    <row r="48" spans="1:9" x14ac:dyDescent="0.25">
      <c r="A48" s="25">
        <v>47</v>
      </c>
      <c r="B48" s="25">
        <v>2013</v>
      </c>
      <c r="C48" s="25">
        <v>11</v>
      </c>
      <c r="D48" s="25"/>
      <c r="E48" s="26">
        <f>$H$2 * A47 + $I$2</f>
        <v>64235613.696078449</v>
      </c>
      <c r="H48" s="5"/>
      <c r="I48" s="5"/>
    </row>
    <row r="49" spans="1:9" x14ac:dyDescent="0.25">
      <c r="A49" s="25">
        <v>48</v>
      </c>
      <c r="B49" s="25">
        <v>2013</v>
      </c>
      <c r="C49" s="25">
        <v>12</v>
      </c>
      <c r="D49" s="25"/>
      <c r="E49" s="26">
        <f>$H$2 * A48 + $I$2</f>
        <v>63802760.058938399</v>
      </c>
      <c r="H49" s="5"/>
      <c r="I49" s="5"/>
    </row>
  </sheetData>
  <sheetProtection algorithmName="SHA-512" hashValue="WyTOk3Nf1F2zyof947O2KuTWn/LWiziTjGlYWe+KJaTCgXs9srj8PaWaWzCEeJBTtxvSFC4Y5L/jayMMS39dQg==" saltValue="KzlV9lENZmbD21InWqClpA==" spinCount="100000" sheet="1" objects="1" scenarios="1"/>
  <phoneticPr fontId="4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7916-284F-44A1-8F7D-CBE5F174642D}">
  <dimension ref="A26:O38"/>
  <sheetViews>
    <sheetView showGridLines="0" topLeftCell="A64" workbookViewId="0">
      <selection activeCell="J39" sqref="J39"/>
    </sheetView>
  </sheetViews>
  <sheetFormatPr defaultRowHeight="15" x14ac:dyDescent="0.25"/>
  <cols>
    <col min="1" max="1" width="21.7109375" bestFit="1" customWidth="1"/>
    <col min="2" max="2" width="13.5703125" bestFit="1" customWidth="1"/>
    <col min="3" max="5" width="15.42578125" bestFit="1" customWidth="1"/>
    <col min="6" max="6" width="6.7109375" bestFit="1" customWidth="1"/>
    <col min="7" max="7" width="23.85546875" bestFit="1" customWidth="1"/>
    <col min="8" max="8" width="6" bestFit="1" customWidth="1"/>
    <col min="9" max="9" width="23.85546875" bestFit="1" customWidth="1"/>
    <col min="10" max="10" width="12" bestFit="1" customWidth="1"/>
    <col min="12" max="12" width="13.85546875" bestFit="1" customWidth="1"/>
    <col min="15" max="15" width="16.85546875" bestFit="1" customWidth="1"/>
    <col min="22" max="22" width="21.42578125" bestFit="1" customWidth="1"/>
    <col min="23" max="23" width="13.5703125" bestFit="1" customWidth="1"/>
    <col min="24" max="26" width="15.42578125" bestFit="1" customWidth="1"/>
    <col min="27" max="27" width="16.85546875" bestFit="1" customWidth="1"/>
    <col min="28" max="28" width="23.85546875" bestFit="1" customWidth="1"/>
    <col min="29" max="29" width="6" bestFit="1" customWidth="1"/>
    <col min="30" max="30" width="23.85546875" bestFit="1" customWidth="1"/>
    <col min="31" max="31" width="12" bestFit="1" customWidth="1"/>
  </cols>
  <sheetData>
    <row r="26" spans="1:15" x14ac:dyDescent="0.25">
      <c r="A26" s="28" t="s">
        <v>88</v>
      </c>
      <c r="B26" s="28" t="s">
        <v>85</v>
      </c>
      <c r="C26" s="28" t="s">
        <v>87</v>
      </c>
      <c r="D26" s="28" t="s">
        <v>86</v>
      </c>
      <c r="E26" s="27" t="s">
        <v>79</v>
      </c>
      <c r="F26" s="17" t="s">
        <v>80</v>
      </c>
      <c r="G26" s="28" t="s">
        <v>81</v>
      </c>
      <c r="H26" s="28" t="s">
        <v>82</v>
      </c>
      <c r="I26" s="28" t="s">
        <v>83</v>
      </c>
      <c r="J26" s="28" t="s">
        <v>84</v>
      </c>
      <c r="L26" s="33" t="s">
        <v>89</v>
      </c>
      <c r="M26" s="33" t="s">
        <v>14</v>
      </c>
      <c r="N26" s="33" t="s">
        <v>13</v>
      </c>
      <c r="O26" s="33" t="s">
        <v>77</v>
      </c>
    </row>
    <row r="27" spans="1:15" x14ac:dyDescent="0.25">
      <c r="A27" s="4">
        <v>70728418.253179297</v>
      </c>
      <c r="B27" s="4">
        <v>-432853.63714005629</v>
      </c>
      <c r="C27" s="4">
        <v>84146881.004521042</v>
      </c>
      <c r="D27" s="4">
        <v>48330059.310000002</v>
      </c>
      <c r="E27" s="4">
        <v>22398358.943179294</v>
      </c>
      <c r="F27" s="31">
        <v>0.46344571604001394</v>
      </c>
      <c r="G27" s="4">
        <v>501686483347499.88</v>
      </c>
      <c r="H27" s="32">
        <v>0.43243469284460012</v>
      </c>
      <c r="I27" s="4">
        <v>533730590288480.31</v>
      </c>
      <c r="J27" s="5">
        <v>23102610.031952672</v>
      </c>
      <c r="L27" s="25">
        <v>37</v>
      </c>
      <c r="M27" s="25">
        <v>2013</v>
      </c>
      <c r="N27" s="25">
        <v>1</v>
      </c>
      <c r="O27" s="26">
        <v>68564150.067479014</v>
      </c>
    </row>
    <row r="28" spans="1:15" x14ac:dyDescent="0.25">
      <c r="A28" s="4">
        <v>70295564.616039246</v>
      </c>
      <c r="B28" s="5"/>
      <c r="C28" s="4"/>
      <c r="D28" s="4">
        <v>49651171.779999994</v>
      </c>
      <c r="E28" s="4">
        <v>20644392.836039253</v>
      </c>
      <c r="F28" s="31">
        <v>0.41578863289496476</v>
      </c>
      <c r="G28" s="4">
        <v>426190955568708.81</v>
      </c>
      <c r="H28" s="5"/>
      <c r="I28" s="4"/>
      <c r="J28" s="5"/>
      <c r="L28" s="25">
        <v>38</v>
      </c>
      <c r="M28" s="25">
        <v>2013</v>
      </c>
      <c r="N28" s="25">
        <v>2</v>
      </c>
      <c r="O28" s="26">
        <v>68131296.430338964</v>
      </c>
    </row>
    <row r="29" spans="1:15" x14ac:dyDescent="0.25">
      <c r="A29" s="4">
        <v>69862710.978899181</v>
      </c>
      <c r="B29" s="5"/>
      <c r="C29" s="4"/>
      <c r="D29" s="4">
        <v>47480454.110000007</v>
      </c>
      <c r="E29" s="4">
        <v>22382256.868899174</v>
      </c>
      <c r="F29" s="31">
        <v>0.47139938504053136</v>
      </c>
      <c r="G29" s="4">
        <v>500965422545384.25</v>
      </c>
      <c r="H29" s="5"/>
      <c r="I29" s="4"/>
      <c r="J29" s="5"/>
      <c r="L29" s="25">
        <v>39</v>
      </c>
      <c r="M29" s="25">
        <v>2013</v>
      </c>
      <c r="N29" s="25">
        <v>3</v>
      </c>
      <c r="O29" s="26">
        <v>67698442.793198898</v>
      </c>
    </row>
    <row r="30" spans="1:15" x14ac:dyDescent="0.25">
      <c r="A30" s="4">
        <v>69429857.34175913</v>
      </c>
      <c r="B30" s="5"/>
      <c r="C30" s="4"/>
      <c r="D30" s="4">
        <v>97412858.960000038</v>
      </c>
      <c r="E30" s="4">
        <v>27983001.618240908</v>
      </c>
      <c r="F30" s="31">
        <v>0.28726188633608807</v>
      </c>
      <c r="G30" s="4">
        <v>783048379566473.25</v>
      </c>
      <c r="H30" s="5"/>
      <c r="I30" s="4"/>
      <c r="J30" s="5"/>
      <c r="L30" s="25">
        <v>40</v>
      </c>
      <c r="M30" s="25">
        <v>2013</v>
      </c>
      <c r="N30" s="25">
        <v>4</v>
      </c>
      <c r="O30" s="26">
        <v>67265589.156058848</v>
      </c>
    </row>
    <row r="31" spans="1:15" x14ac:dyDescent="0.25">
      <c r="A31" s="4">
        <v>68997003.70461908</v>
      </c>
      <c r="B31" s="5"/>
      <c r="C31" s="4"/>
      <c r="D31" s="4">
        <v>46925878.99000001</v>
      </c>
      <c r="E31" s="4">
        <v>22071124.71461907</v>
      </c>
      <c r="F31" s="31">
        <v>0.47034014470613256</v>
      </c>
      <c r="G31" s="4">
        <v>487134546168268.75</v>
      </c>
      <c r="H31" s="5"/>
      <c r="I31" s="4"/>
      <c r="J31" s="5"/>
      <c r="L31" s="25">
        <v>41</v>
      </c>
      <c r="M31" s="25">
        <v>2013</v>
      </c>
      <c r="N31" s="25">
        <v>5</v>
      </c>
      <c r="O31" s="26">
        <v>66832735.51891879</v>
      </c>
    </row>
    <row r="32" spans="1:15" x14ac:dyDescent="0.25">
      <c r="A32" s="4">
        <v>68564150.067479014</v>
      </c>
      <c r="B32" s="5"/>
      <c r="C32" s="4"/>
      <c r="D32" s="4">
        <v>46128514.25</v>
      </c>
      <c r="E32" s="4">
        <v>22435635.817479014</v>
      </c>
      <c r="F32" s="31">
        <v>0.48637239204986998</v>
      </c>
      <c r="G32" s="4">
        <v>503357754534547.25</v>
      </c>
      <c r="H32" s="5"/>
      <c r="I32" s="4"/>
      <c r="J32" s="5"/>
      <c r="L32" s="25">
        <v>42</v>
      </c>
      <c r="M32" s="25">
        <v>2013</v>
      </c>
      <c r="N32" s="25">
        <v>6</v>
      </c>
      <c r="O32" s="26">
        <v>66399881.881778732</v>
      </c>
    </row>
    <row r="33" spans="12:15" x14ac:dyDescent="0.25">
      <c r="L33" s="25">
        <v>43</v>
      </c>
      <c r="M33" s="25">
        <v>2013</v>
      </c>
      <c r="N33" s="25">
        <v>7</v>
      </c>
      <c r="O33" s="26">
        <v>65967028.244638681</v>
      </c>
    </row>
    <row r="34" spans="12:15" x14ac:dyDescent="0.25">
      <c r="L34" s="25">
        <v>44</v>
      </c>
      <c r="M34" s="25">
        <v>2013</v>
      </c>
      <c r="N34" s="25">
        <v>8</v>
      </c>
      <c r="O34" s="26">
        <v>65534174.607498616</v>
      </c>
    </row>
    <row r="35" spans="12:15" x14ac:dyDescent="0.25">
      <c r="L35" s="25">
        <v>45</v>
      </c>
      <c r="M35" s="25">
        <v>2013</v>
      </c>
      <c r="N35" s="25">
        <v>9</v>
      </c>
      <c r="O35" s="26">
        <v>65101320.970358565</v>
      </c>
    </row>
    <row r="36" spans="12:15" x14ac:dyDescent="0.25">
      <c r="L36" s="25">
        <v>46</v>
      </c>
      <c r="M36" s="25">
        <v>2013</v>
      </c>
      <c r="N36" s="25">
        <v>10</v>
      </c>
      <c r="O36" s="26">
        <v>64668467.333218507</v>
      </c>
    </row>
    <row r="37" spans="12:15" x14ac:dyDescent="0.25">
      <c r="L37" s="25">
        <v>47</v>
      </c>
      <c r="M37" s="25">
        <v>2013</v>
      </c>
      <c r="N37" s="25">
        <v>11</v>
      </c>
      <c r="O37" s="26">
        <v>64235613.696078449</v>
      </c>
    </row>
    <row r="38" spans="12:15" x14ac:dyDescent="0.25">
      <c r="L38" s="25">
        <v>48</v>
      </c>
      <c r="M38" s="25">
        <v>2013</v>
      </c>
      <c r="N38" s="25">
        <v>12</v>
      </c>
      <c r="O38" s="26">
        <v>63802760.058938399</v>
      </c>
    </row>
  </sheetData>
  <sheetProtection algorithmName="SHA-512" hashValue="lcOvQPWdb+1uBVMJyiZmnGq8xaVoQqqgnydgTpA9DO6SECAW4ICkHMyHo9wzuS9D4OCGql84ge3ZAy5QwOEcdQ==" saltValue="oE2rQnk8IKDd7qWEvqfQ7A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E184-F95D-47D1-9628-87989EEC38F3}">
  <dimension ref="AM48"/>
  <sheetViews>
    <sheetView showGridLines="0" zoomScale="70" zoomScaleNormal="70" workbookViewId="0">
      <selection activeCell="AL2" sqref="AL2"/>
    </sheetView>
  </sheetViews>
  <sheetFormatPr defaultRowHeight="15" x14ac:dyDescent="0.25"/>
  <sheetData>
    <row r="48" spans="39:39" x14ac:dyDescent="0.25">
      <c r="AM48" s="18"/>
    </row>
  </sheetData>
  <sheetProtection algorithmName="SHA-512" hashValue="tzSnTaaZEObeiTL2iNkOmYA4sWx67VkQZu0OFU3DGjBLiwldYtQVMsqhRM3Zsbm4O3BNiNS+yzPYu3cF9E2JNw==" saltValue="p8IyEduMW9snQLeGJjWGPQ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1DB04-8D8D-4135-B050-AD2A5DDE3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Walmart_Sales</vt:lpstr>
      <vt:lpstr>Home</vt:lpstr>
      <vt:lpstr>Descritiva</vt:lpstr>
      <vt:lpstr>Revisão Descritiva</vt:lpstr>
      <vt:lpstr>Diagnóstica</vt:lpstr>
      <vt:lpstr>Revisão Diagnóstica</vt:lpstr>
      <vt:lpstr>Preditiva</vt:lpstr>
      <vt:lpstr>Revisão Preditiva</vt:lpstr>
      <vt:lpstr>Prescritiva</vt:lpstr>
      <vt:lpstr>'Revisão Descritiva'!Area_de_impressao</vt:lpstr>
      <vt:lpstr>'Revisão Diagnóstica'!Area_de_impressao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Lima</dc:creator>
  <cp:lastModifiedBy>Pedro Lima</cp:lastModifiedBy>
  <dcterms:created xsi:type="dcterms:W3CDTF">2025-11-26T23:46:33Z</dcterms:created>
  <dcterms:modified xsi:type="dcterms:W3CDTF">2025-12-02T00:03:29Z</dcterms:modified>
</cp:coreProperties>
</file>